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comments+xml" PartName="/xl/comments/comment1.xml"/>
  <Override ContentType="application/vnd.openxmlformats-officedocument.spreadsheetml.worksheet+xml" PartName="/xl/worksheets/sheet4.xml"/>
  <Override ContentType="application/vnd.openxmlformats-officedocument.spreadsheetml.comments+xml" PartName="/xl/comments/comment2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externalLink+xml" PartName="/xl/externalLinks/externalLink1.xml"/>
  <Override ContentType="application/vnd.openxmlformats-officedocument.spreadsheetml.sheet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 autoFilterDateGrouping="1" firstSheet="0" minimized="0" showHorizontalScroll="1" showSheetTabs="1" showVerticalScroll="1" tabRatio="800" visibility="visible" windowHeight="10050" windowWidth="23970" xWindow="0" yWindow="0"/>
  </bookViews>
  <sheets>
    <sheet xmlns:r="http://schemas.openxmlformats.org/officeDocument/2006/relationships" name="Instrucciones" sheetId="1" state="visible" r:id="rId1"/>
    <sheet xmlns:r="http://schemas.openxmlformats.org/officeDocument/2006/relationships" name="Shipping.csv" sheetId="2" state="visible" r:id="rId2"/>
    <sheet xmlns:r="http://schemas.openxmlformats.org/officeDocument/2006/relationships" name="Base" sheetId="3" state="visible" r:id="rId3"/>
    <sheet xmlns:r="http://schemas.openxmlformats.org/officeDocument/2006/relationships" name="Análisis" sheetId="4" state="visible" r:id="rId4"/>
    <sheet xmlns:r="http://schemas.openxmlformats.org/officeDocument/2006/relationships" name="Resumen" sheetId="5" state="visible" r:id="rId5"/>
    <sheet xmlns:r="http://schemas.openxmlformats.org/officeDocument/2006/relationships" name="4 bandas" sheetId="6" state="visible" r:id="rId6"/>
    <sheet xmlns:r="http://schemas.openxmlformats.org/officeDocument/2006/relationships" name="Comparacion" sheetId="7" state="hidden" r:id="rId7"/>
    <sheet xmlns:r="http://schemas.openxmlformats.org/officeDocument/2006/relationships" name="Detalle" sheetId="8" state="visible" r:id="rId8"/>
  </sheets>
  <externalReferences>
    <externalReference xmlns:r="http://schemas.openxmlformats.org/officeDocument/2006/relationships" r:id="rId9"/>
  </externalReferences>
  <definedNames>
    <definedName hidden="1" localSheetId="1" name="_xlnm._FilterDatabase">Shipping.csv!$A$1:$K$1371</definedName>
    <definedName hidden="1" localSheetId="2" name="_xlnm._FilterDatabase">Base!$E$9:$BG$115</definedName>
    <definedName hidden="1" localSheetId="3" name="_xlnm._FilterDatabase">Análisis!$B$4:$AH$160</definedName>
  </definedNames>
  <calcPr calcId="179021" fullCalcOnLoad="1"/>
</workbook>
</file>

<file path=xl/sharedStrings.xml><?xml version="1.0" encoding="utf-8"?>
<sst xmlns="http://schemas.openxmlformats.org/spreadsheetml/2006/main" uniqueCount="389">
  <si>
    <t>INSTRUCCIONES PARA EL BOT</t>
  </si>
  <si>
    <t>*Proceso corre 1 vez por semana</t>
  </si>
  <si>
    <t>"Manual"</t>
  </si>
  <si>
    <t>Validar los parámetros y actualizarlos (columnas A y B de la pestaña "Base")</t>
  </si>
  <si>
    <t>Macro</t>
  </si>
  <si>
    <t>Limpiar columnas P, AB y AN de la pestaña "Análisis"</t>
  </si>
  <si>
    <t>Cargar información de Pricing Compass en las columnas A a la I de la pestaña "Shipping.csv" (*estos valores se deben cambiar 1 vez por semana)</t>
  </si>
  <si>
    <t>Actualizar tabla dinámica de pestaña "Detalle" (solo actualizar, no cambiar orden de columnas)</t>
  </si>
  <si>
    <t>Manual</t>
  </si>
  <si>
    <t>Cargar información de Costos logísticos en las columnas H a la K de la pestaña "Base" (*estos valores se deben cambiar 1 vez al mes)</t>
  </si>
  <si>
    <t>Pegar valores de las columnas O, AA y AM en las columnas P, AB y AN de la pestaña "Análisis"</t>
  </si>
  <si>
    <t>Revisar valores de las columnas P, AB y AN de la pestaña "Análisis" y modificar los que sean necesarios (ej: los casos manuales)</t>
  </si>
  <si>
    <t>*Finalizado el proceso de análisis y cambios, se comienza a generar el archivo de carga</t>
  </si>
  <si>
    <t>Pegar valores de la columna D a la F de la pestaña "Costos-Zona" del Generador en las columnas K a la M de la misma pestaña ("Costos-Zona") del archivo "Generador ShippingMatrix ATG…"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</si>
  <si>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</si>
  <si>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</si>
  <si>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</si>
  <si>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</si>
  <si>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</si>
  <si>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</si>
  <si>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</si>
  <si>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</si>
  <si>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</si>
  <si>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</si>
  <si>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</si>
  <si>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</si>
  <si>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</si>
  <si>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</si>
  <si>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</si>
  <si>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</si>
  <si>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</si>
  <si>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</si>
  <si>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</si>
  <si>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</si>
  <si>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</si>
  <si>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Dafiti</t>
  </si>
  <si>
    <t>REGION DE ANTOFAGASTA (II)</t>
  </si>
  <si>
    <t>ANTOFAGASTA</t>
  </si>
  <si>
    <t>NE186SH29GICCL</t>
  </si>
  <si>
    <t>Dafiti - Zapato Casual Negro New Walk</t>
  </si>
  <si>
    <t>Calzado</t>
  </si>
  <si>
    <t>SI(SI.ERROR(O(HALLAR("LED";F190);HALLAR("55";F190));0)&gt;0;"BT";SI(SI.ERROR(O(HALLAR("Cama";F190);HALLAR("Centro";F190));0)&gt;0;"SBT";"?"))</t>
  </si>
  <si>
    <t>CALAMA</t>
  </si>
  <si>
    <t>SI(Y(ESERROR(HALLAR("iphone";F2;1));ESERROR(HALLAR("Rack";F2;1));ESERROR(HALLAR("LED";F2;1));ESERROR(HALLAR("Lavadora";F2;1));ESERROR(HALLAR("zapato";F2;1)));"SBT";SI(Y(ESERROR(HALLAR("iphone";F2;1));ESERROR(HALLAR("zapato";F2;1)));"BT";SI(ESERROR(HALLAR("iphone";F2;1));"Calzado";"MT")))</t>
  </si>
  <si>
    <t>REGION DE ARICA Y PARINACOTA (XV)</t>
  </si>
  <si>
    <t>ARICA</t>
  </si>
  <si>
    <t>REGION DE ATACAMA (III)</t>
  </si>
  <si>
    <t>COPIAPÓ</t>
  </si>
  <si>
    <t>VALLENAR</t>
  </si>
  <si>
    <t>REGION DE AYSEN (XI)</t>
  </si>
  <si>
    <t>COYHAIQUE</t>
  </si>
  <si>
    <t>REGION DE COQUIMBO (IV)</t>
  </si>
  <si>
    <t>COQUIMBO</t>
  </si>
  <si>
    <t>ILLAPEL</t>
  </si>
  <si>
    <t>LA SERENA</t>
  </si>
  <si>
    <t>LOS VILOS</t>
  </si>
  <si>
    <t>OVALLE</t>
  </si>
  <si>
    <t>SALAMANCA</t>
  </si>
  <si>
    <t>REGION DE LA ARAUCANIA (IX)</t>
  </si>
  <si>
    <t>ANGOL</t>
  </si>
  <si>
    <t>PUCÓN</t>
  </si>
  <si>
    <t>TEMUCO</t>
  </si>
  <si>
    <t>VILLARRICA</t>
  </si>
  <si>
    <t>REGION DE LOS LAGOS (X)</t>
  </si>
  <si>
    <t>CASTRO</t>
  </si>
  <si>
    <t>OSORNO</t>
  </si>
  <si>
    <t>PUERTO MONTT</t>
  </si>
  <si>
    <t>PUERTO VARAS</t>
  </si>
  <si>
    <t>REGION DE LOS RIOS (XIV)</t>
  </si>
  <si>
    <t>LA UNIÓN</t>
  </si>
  <si>
    <t>VALDIVIA</t>
  </si>
  <si>
    <t>REGION DE MAGALLANES Y LA ANTARTICA CHILENA (XII)</t>
  </si>
  <si>
    <t>PUNTA ARENAS</t>
  </si>
  <si>
    <t>REGION DE TARAPACA (I)</t>
  </si>
  <si>
    <t>IQUIQUE</t>
  </si>
  <si>
    <t>REGION DE VALPARAISO (V)</t>
  </si>
  <si>
    <t>CON-CON</t>
  </si>
  <si>
    <t>LIMACHE</t>
  </si>
  <si>
    <t>LOS ANDES</t>
  </si>
  <si>
    <t>QUILLOTA</t>
  </si>
  <si>
    <t>QUILPUE</t>
  </si>
  <si>
    <t>SAN ANTONIO</t>
  </si>
  <si>
    <t>SAN FELIPE</t>
  </si>
  <si>
    <t>VALPARAISO</t>
  </si>
  <si>
    <t>VILLA ALEMANA</t>
  </si>
  <si>
    <t>VIÑA DEL MAR</t>
  </si>
  <si>
    <t>REGION DEL BIOBIO (VIII)</t>
  </si>
  <si>
    <t>ARAUCO</t>
  </si>
  <si>
    <t>CHIGUAYANTE</t>
  </si>
  <si>
    <t>CHILLÁN</t>
  </si>
  <si>
    <t>CONCEPCIÓN</t>
  </si>
  <si>
    <t>CORONEL</t>
  </si>
  <si>
    <t>LEBU</t>
  </si>
  <si>
    <t>LOS ÁNGELES</t>
  </si>
  <si>
    <t>SAN PEDRO DE LA PAZ</t>
  </si>
  <si>
    <t>TALCAHUANO</t>
  </si>
  <si>
    <t>REGION DEL LIBERTADOR GRAL. BDO. O'HIGGINS (VI)</t>
  </si>
  <si>
    <t>MACHALÍ</t>
  </si>
  <si>
    <t>RANCAGUA</t>
  </si>
  <si>
    <t>RENGO</t>
  </si>
  <si>
    <t>SAN FERNANDO</t>
  </si>
  <si>
    <t>REGION DEL MAULE (VII)</t>
  </si>
  <si>
    <t>CURICÓ</t>
  </si>
  <si>
    <t>LINARES</t>
  </si>
  <si>
    <t>TALCA</t>
  </si>
  <si>
    <t>REGION METROPOLITANA</t>
  </si>
  <si>
    <t>BUIN</t>
  </si>
  <si>
    <t>CERRILLOS</t>
  </si>
  <si>
    <t>CERRO NAVIA</t>
  </si>
  <si>
    <t>COLINA</t>
  </si>
  <si>
    <t>CONCHALI</t>
  </si>
  <si>
    <t>EL BOSQUE</t>
  </si>
  <si>
    <t>ESTACION CENTRAL</t>
  </si>
  <si>
    <t>HUECHURABA</t>
  </si>
  <si>
    <t>INDEPENDENCIA</t>
  </si>
  <si>
    <t>LA CISTERNA</t>
  </si>
  <si>
    <t>LA FLORIDA</t>
  </si>
  <si>
    <t>LA GRANJA</t>
  </si>
  <si>
    <t>LA PINTANA</t>
  </si>
  <si>
    <t>LA REINA</t>
  </si>
  <si>
    <t>LAMPA</t>
  </si>
  <si>
    <t>LAS CONDES</t>
  </si>
  <si>
    <t>LO BARNECHEA</t>
  </si>
  <si>
    <t>LO ESPEJO</t>
  </si>
  <si>
    <t>LO PRADO</t>
  </si>
  <si>
    <t>MACUL</t>
  </si>
  <si>
    <t>MAIPU</t>
  </si>
  <si>
    <t>MELIPILLA</t>
  </si>
  <si>
    <t>NUNOA</t>
  </si>
  <si>
    <t>PADRE HURTADO</t>
  </si>
  <si>
    <t>PAINE</t>
  </si>
  <si>
    <t>PEDRO AGUIRRE CERDA</t>
  </si>
  <si>
    <t>PENAFLOR</t>
  </si>
  <si>
    <t>PENALOLEN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</si>
  <si>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</si>
  <si>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</si>
  <si>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</si>
  <si>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</si>
  <si>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</si>
  <si>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</si>
  <si>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</si>
  <si>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</si>
  <si>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</si>
  <si>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</si>
  <si>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</si>
  <si>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</si>
  <si>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</si>
  <si>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</si>
  <si>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Falabella</t>
  </si>
  <si>
    <t>Falabella - Zapato Negro 4510 negro 39</t>
  </si>
  <si>
    <t>LA DEHESA</t>
  </si>
  <si>
    <t>Falabella - iPhone SE 32GB Space Gray Liberado Gris</t>
  </si>
  <si>
    <t>MT</t>
  </si>
  <si>
    <t>Falabella - Mesa de Comedor Rectangular Lisboa</t>
  </si>
  <si>
    <t>SBT</t>
  </si>
  <si>
    <t>Falabella - LED 55" 55UK7500 4K Ultra HD Smart TV</t>
  </si>
  <si>
    <t>BT</t>
  </si>
  <si>
    <t>Paris</t>
  </si>
  <si>
    <t>Paris - LED 55" BGH BLE5518RTUXI Smart TV Ultra HD 4K</t>
  </si>
  <si>
    <t>Paris - Zapato Guante Negro Vestir</t>
  </si>
  <si>
    <t>Paris - Sofá Reclinable Tela Camel 3 Cuerpos Attimo</t>
  </si>
  <si>
    <t>Paris - iPhone 7 32GB Negro 4,7" Liberado</t>
  </si>
  <si>
    <t>Ripley</t>
  </si>
  <si>
    <t>Ripley - ZAPATO GUANTE VESTIR 39</t>
  </si>
  <si>
    <t>2000369552613P</t>
  </si>
  <si>
    <t>Ripley - MOTOROLA MOTO G5S MOVISTAR 5.2"</t>
  </si>
  <si>
    <t>2000366985872P</t>
  </si>
  <si>
    <t>Ripley - REFRIGERADOR DAEWOO FRS-K7500DXA</t>
  </si>
  <si>
    <t>2000367844833P</t>
  </si>
  <si>
    <t>Ripley - LED AOC LE55U7970 55"</t>
  </si>
  <si>
    <t>Tmax FACL</t>
  </si>
  <si>
    <t>*Probar valores</t>
  </si>
  <si>
    <t>y%</t>
  </si>
  <si>
    <t>x</t>
  </si>
  <si>
    <t>a</t>
  </si>
  <si>
    <t>*Definición negocio</t>
  </si>
  <si>
    <t>b</t>
  </si>
  <si>
    <t>c</t>
  </si>
  <si>
    <t>+ lento; 1-2 días; Tarifas distintas</t>
  </si>
  <si>
    <t>+ lento; 1-2 días; Tarifas iguales</t>
  </si>
  <si>
    <t>+ lento; 3 o más días</t>
  </si>
  <si>
    <t>= a competencia; Tarifas distintas</t>
  </si>
  <si>
    <t>= a competencia; Tarifas iguales</t>
  </si>
  <si>
    <t>+ rápido; 1-2 días; Tarifas distintas</t>
  </si>
  <si>
    <t>+ rápido; 1-2 días; Tarifas iguales</t>
  </si>
  <si>
    <t>+ rápido; 3-4 días</t>
  </si>
  <si>
    <t>+ rápido; 5 o más días</t>
  </si>
  <si>
    <t>*Completar en base a análisis que tiene Eduardo</t>
  </si>
  <si>
    <t>T mínimo (igual al mercado) + 10%</t>
  </si>
  <si>
    <t>T mínimo (igual al mercado) - x%</t>
  </si>
  <si>
    <t>Revisión manual</t>
  </si>
  <si>
    <t>T máximo (igual al mercado)</t>
  </si>
  <si>
    <t>T máximo (igual al mercado) + a%</t>
  </si>
  <si>
    <t>T máximo (igual al mercado) + b%</t>
  </si>
  <si>
    <t>T máximo (igual al mercado) + c%</t>
  </si>
  <si>
    <t>Comunas para resumen</t>
  </si>
  <si>
    <t>Costo logístico (tarifas mínimas Falabella)</t>
  </si>
  <si>
    <t>Tarifas máximas Falabella</t>
  </si>
  <si>
    <t>Tmin del mercado (sin Falabella)</t>
  </si>
  <si>
    <t>Tmax mercado (sin Falabella)</t>
  </si>
  <si>
    <t>Escenario 1</t>
  </si>
  <si>
    <t>Escenario 2</t>
  </si>
  <si>
    <t>Escenario 3</t>
  </si>
  <si>
    <t>Escenario 4</t>
  </si>
  <si>
    <t>Escenario 5</t>
  </si>
  <si>
    <t>Escenario 6</t>
  </si>
  <si>
    <t>Escenario 7</t>
  </si>
  <si>
    <t>Escenario 8</t>
  </si>
  <si>
    <t>Escenario 9</t>
  </si>
  <si>
    <t>RM</t>
  </si>
  <si>
    <t>Regs</t>
  </si>
  <si>
    <t>Com. con tilde</t>
  </si>
  <si>
    <t>Comuna</t>
  </si>
  <si>
    <t>Zona</t>
  </si>
  <si>
    <t>Cód.</t>
  </si>
  <si>
    <t>Tamaño</t>
  </si>
  <si>
    <t>Escenario</t>
  </si>
  <si>
    <t>Col</t>
  </si>
  <si>
    <t>N°</t>
  </si>
  <si>
    <t>Norte</t>
  </si>
  <si>
    <t>w</t>
  </si>
  <si>
    <t>aa</t>
  </si>
  <si>
    <t>CONCEPCION</t>
  </si>
  <si>
    <t>ae</t>
  </si>
  <si>
    <t>COPIAPO</t>
  </si>
  <si>
    <t>ai</t>
  </si>
  <si>
    <t>ÑUÑOA</t>
  </si>
  <si>
    <t>Sur</t>
  </si>
  <si>
    <t>am</t>
  </si>
  <si>
    <t>aq</t>
  </si>
  <si>
    <t>au</t>
  </si>
  <si>
    <t>CHILLAN</t>
  </si>
  <si>
    <t>ay</t>
  </si>
  <si>
    <t>bc</t>
  </si>
  <si>
    <t>PEÑALOLEN</t>
  </si>
  <si>
    <t>y</t>
  </si>
  <si>
    <t>ac</t>
  </si>
  <si>
    <t>ag</t>
  </si>
  <si>
    <t>ak</t>
  </si>
  <si>
    <t>Centro</t>
  </si>
  <si>
    <t>ao</t>
  </si>
  <si>
    <t>Rango</t>
  </si>
  <si>
    <t>as</t>
  </si>
  <si>
    <t>Tabla rangos de tarifas</t>
  </si>
  <si>
    <t>aw</t>
  </si>
  <si>
    <t>Rango ini</t>
  </si>
  <si>
    <t>Tarifa</t>
  </si>
  <si>
    <t>ba</t>
  </si>
  <si>
    <t>be</t>
  </si>
  <si>
    <t>ab</t>
  </si>
  <si>
    <t>LOS ANGELES</t>
  </si>
  <si>
    <t>af</t>
  </si>
  <si>
    <t>aj</t>
  </si>
  <si>
    <t>an</t>
  </si>
  <si>
    <t>ar</t>
  </si>
  <si>
    <t>av</t>
  </si>
  <si>
    <t>CURICO</t>
  </si>
  <si>
    <t>bd</t>
  </si>
  <si>
    <t>RM-Extra Urbano</t>
  </si>
  <si>
    <t>z</t>
  </si>
  <si>
    <t>RM-Urbano</t>
  </si>
  <si>
    <t>ad</t>
  </si>
  <si>
    <t>ah</t>
  </si>
  <si>
    <t>al</t>
  </si>
  <si>
    <t>ap</t>
  </si>
  <si>
    <t>at</t>
  </si>
  <si>
    <t>ESTACIÓN CENTRAL</t>
  </si>
  <si>
    <t>ax</t>
  </si>
  <si>
    <t>bb</t>
  </si>
  <si>
    <t>bf</t>
  </si>
  <si>
    <t>PEÑAFLOR</t>
  </si>
  <si>
    <t>repetido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</si>
  <si>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</si>
  <si>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</si>
  <si>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</si>
  <si>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</si>
  <si>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</si>
  <si>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</si>
  <si>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</si>
  <si>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Costo</t>
  </si>
  <si>
    <t>FALABELLA</t>
  </si>
  <si>
    <t>RIPLEY</t>
  </si>
  <si>
    <t>PARIS</t>
  </si>
  <si>
    <t>Análisis</t>
  </si>
  <si>
    <t>Código</t>
  </si>
  <si>
    <t>$ Despacho</t>
  </si>
  <si>
    <t>Dias Despacho</t>
  </si>
  <si>
    <t>Min $ Despacho</t>
  </si>
  <si>
    <t>Tipo Escenario</t>
  </si>
  <si>
    <t>Distancia</t>
  </si>
  <si>
    <t>Tarifa Sugerida</t>
  </si>
  <si>
    <t>Nueva Tarifa</t>
  </si>
  <si>
    <t>¿Cumple Criterio Tamaño -1?</t>
  </si>
  <si>
    <t>No Aplica</t>
  </si>
  <si>
    <t>Regiones</t>
  </si>
  <si>
    <t>rev</t>
  </si>
  <si>
    <t>1° Pegar en pestaña "Cambios" de archivo "Generador ShippingMatrix ATG"</t>
  </si>
  <si>
    <t>*Validar que el valor de despacho Falabella sea el correcto</t>
  </si>
  <si>
    <t>COD.</t>
  </si>
  <si>
    <t>COMUNA</t>
  </si>
  <si>
    <t>Cambios</t>
  </si>
  <si>
    <t>$ Despacho Original</t>
  </si>
  <si>
    <t>$ Despacho Modificado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</si>
  <si>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</si>
  <si>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</si>
  <si>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</si>
  <si>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</si>
  <si>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</si>
  <si>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</si>
  <si>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</si>
  <si>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</si>
  <si>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</si>
  <si>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</si>
  <si>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</si>
  <si>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</si>
  <si>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*Pegar en mail</t>
  </si>
  <si>
    <t>Peñalolen</t>
  </si>
  <si>
    <t>Colina</t>
  </si>
  <si>
    <t>San Miguel</t>
  </si>
  <si>
    <t>Quilicura</t>
  </si>
  <si>
    <t>PROMEDIO
RM</t>
  </si>
  <si>
    <t>Región Metropolitana</t>
  </si>
  <si>
    <t>La Serena (IV)</t>
  </si>
  <si>
    <t>Viña del Mar (V)</t>
  </si>
  <si>
    <t>Valparaiso (V)</t>
  </si>
  <si>
    <t>Rancagua (VI)</t>
  </si>
  <si>
    <t>Otras regiones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</si>
  <si>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</si>
  <si>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</si>
  <si>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</si>
  <si>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</si>
  <si>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</si>
  <si>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</si>
  <si>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</si>
  <si>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</si>
  <si>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</si>
  <si>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</si>
  <si>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</si>
  <si>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</si>
  <si>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</si>
  <si>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</si>
  <si>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PROMEDIO
 OTRAS REGIONES</t>
  </si>
  <si>
    <t>BANDA</t>
  </si>
  <si>
    <t>COTA ACTUAL</t>
  </si>
  <si>
    <t>COTA MODIFICADA</t>
  </si>
  <si>
    <t>TARIFA ACTUAL
BT</t>
  </si>
  <si>
    <t>TARIFA MODIFICADA
BT</t>
  </si>
  <si>
    <t>TARIFA ACTUAL
SBT</t>
  </si>
  <si>
    <t>TARIFA MODIFICADA
SBT</t>
  </si>
  <si>
    <t>A1</t>
  </si>
  <si>
    <t>-</t>
  </si>
  <si>
    <t>A2</t>
  </si>
  <si>
    <t>P1</t>
  </si>
  <si>
    <t>P2</t>
  </si>
  <si>
    <t>Modelo</t>
  </si>
  <si>
    <t>Gio</t>
  </si>
  <si>
    <t>MT vs BT</t>
  </si>
  <si>
    <t>BT vs SBT</t>
  </si>
  <si>
    <t>MT1</t>
  </si>
  <si>
    <t>MT2</t>
  </si>
  <si>
    <t>MT3</t>
  </si>
  <si>
    <t>Delta MT</t>
  </si>
  <si>
    <t>Estado MT</t>
  </si>
  <si>
    <t>BT1</t>
  </si>
  <si>
    <t>BT2</t>
  </si>
  <si>
    <t>BT3</t>
  </si>
  <si>
    <t>Delta BT</t>
  </si>
  <si>
    <t>Estado BT</t>
  </si>
  <si>
    <t>SBT1</t>
  </si>
  <si>
    <t>SBT2</t>
  </si>
  <si>
    <t>SBT3</t>
  </si>
  <si>
    <t>Delta SBT</t>
  </si>
  <si>
    <t>Estado SBT</t>
  </si>
  <si>
    <t>Comparación 16-08-2018</t>
  </si>
  <si>
    <t>Cant. manual comunas</t>
  </si>
  <si>
    <t>Total comunas modelo</t>
  </si>
  <si>
    <t>% comunas manual</t>
  </si>
  <si>
    <t>Total</t>
  </si>
  <si>
    <t>Mayor con el modelo*</t>
  </si>
  <si>
    <t>Menor con el modelo*</t>
  </si>
  <si>
    <t>Delta*</t>
  </si>
  <si>
    <t>*Comparación con 69 comunas</t>
  </si>
  <si>
    <t>Mayores Delta</t>
  </si>
  <si>
    <t>Errores entre SBT y MT</t>
  </si>
  <si>
    <t>Errores entre BT y MT</t>
  </si>
  <si>
    <t>NO MODIFICAR EL ORDEN DE LA TABLA</t>
  </si>
  <si>
    <t>Etiquetas de columna</t>
  </si>
  <si>
    <t>Suma de costo</t>
  </si>
  <si>
    <t>Suma de dias</t>
  </si>
</sst>
</file>

<file path=xl/styles.xml><?xml version="1.0" encoding="utf-8"?>
<styleSheet xmlns="http://schemas.openxmlformats.org/spreadsheetml/2006/main">
  <numFmts count="14">
    <numFmt formatCode="_ * #,##0_ ;_ * \-#,##0_ ;_ * &quot;-&quot;??_ ;_ @_ " numFmtId="164"/>
    <numFmt formatCode="&quot;$&quot;\ #,##0" numFmtId="165"/>
    <numFmt formatCode="&quot;$&quot;\ #,##0;\-&quot;$&quot;\ #,##0" numFmtId="166"/>
    <numFmt formatCode="_-&quot;$&quot;\ * #,##0_-;\-&quot;$&quot;\ * #,##0_-;_-&quot;$&quot;\ * &quot;-&quot;??_-;_-@_-" numFmtId="167"/>
    <numFmt formatCode="_-* #,##0_-;\-* #,##0_-;_-* &quot;-&quot;??_-;_-@_-" numFmtId="168"/>
    <numFmt formatCode="_-[$$-340A]\ * #,##0.00_-;\-[$$-340A]\ * #,##0.00_-;_-[$$-340A]\ * &quot;-&quot;??_-;_-@_-" numFmtId="169"/>
    <numFmt formatCode="_-[$$-340A]\ * #,##0_-;\-[$$-340A]\ * #,##0_-;_-[$$-340A]\ * &quot;-&quot;??_-;_-@_-" numFmtId="170"/>
    <numFmt formatCode="#,##0_ ;\-#,##0\ " numFmtId="171"/>
    <numFmt formatCode="_-* #,##0.0_-;\-* #,##0.0_-;_-* &quot;-&quot;??_-;_-@_-" numFmtId="172"/>
    <numFmt formatCode="0.0%" numFmtId="173"/>
    <numFmt formatCode="YYYY-MM-DD HH:MM:SS" numFmtId="174"/>
    <numFmt formatCode="_-* #,##0.00_-;\-* #,##0.00_-;_-* &quot;-&quot;??_-;_-@_-" numFmtId="175"/>
    <numFmt formatCode="_-&quot;$&quot;\ * #,##0.00_-;\-&quot;$&quot;\ * #,##0.00_-;_-&quot;$&quot;\ * &quot;-&quot;??_-;_-@_-" numFmtId="176"/>
    <numFmt formatCode="_ * #,##0.00_ ;_ * \-#,##0.00_ ;_ * &quot;-&quot;??_ ;_ @_ " numFmtId="177"/>
  </numFmts>
  <fonts count="3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rgb="FF000000"/>
      <sz val="11"/>
    </font>
    <font>
      <name val="Calibri"/>
      <family val="2"/>
      <sz val="11"/>
    </font>
    <font>
      <name val="Calibri"/>
      <family val="2"/>
      <color rgb="FF000000"/>
      <sz val="11"/>
      <scheme val="minor"/>
    </font>
    <font>
      <name val="Tahoma"/>
      <family val="2"/>
      <color indexed="81"/>
      <sz val="9"/>
    </font>
    <font>
      <name val="Calibri"/>
      <family val="2"/>
      <color theme="0"/>
      <sz val="10"/>
      <scheme val="minor"/>
    </font>
    <font>
      <name val="Calibri"/>
      <family val="2"/>
      <color rgb="FFFF0000"/>
      <sz val="10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color rgb="FFFF0000"/>
      <sz val="12"/>
      <scheme val="minor"/>
    </font>
    <font>
      <name val="Calibri"/>
      <family val="2"/>
      <color theme="1"/>
      <sz val="8"/>
      <scheme val="minor"/>
    </font>
    <font>
      <name val="Calibri"/>
      <family val="2"/>
      <color rgb="FF000000"/>
      <sz val="10"/>
    </font>
    <font>
      <name val="Calibri"/>
      <family val="2"/>
      <b val="1"/>
      <color rgb="FF000000"/>
      <sz val="8"/>
    </font>
    <font>
      <name val="Calibri"/>
      <family val="2"/>
      <color rgb="FFFF000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7"/>
      <scheme val="minor"/>
    </font>
    <font>
      <name val="Calibri"/>
      <family val="2"/>
      <color theme="0" tint="-0.249977111117893"/>
      <sz val="11"/>
      <scheme val="minor"/>
    </font>
    <font>
      <name val="Tahoma"/>
      <family val="2"/>
      <b val="1"/>
      <color indexed="81"/>
      <sz val="9"/>
    </font>
    <font>
      <name val="Calibri"/>
      <family val="2"/>
      <sz val="10"/>
      <scheme val="minor"/>
    </font>
    <font>
      <name val="Calibri"/>
      <family val="2"/>
      <color theme="1" tint="0.3499862666707358"/>
      <sz val="11"/>
      <scheme val="minor"/>
    </font>
    <font>
      <name val="Calibri"/>
      <family val="2"/>
      <strike val="1"/>
      <color theme="0" tint="-0.249977111117893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rgb="FFFF0000"/>
      <sz val="10"/>
    </font>
    <font>
      <name val="Calibri"/>
      <family val="2"/>
      <color theme="9" tint="-0.249977111117893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u val="single"/>
      <scheme val="minor"/>
    </font>
    <font>
      <b val="1"/>
    </font>
  </fonts>
  <fills count="17">
    <fill>
      <patternFill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"/>
        <bgColor theme="4"/>
      </patternFill>
    </fill>
    <fill>
      <patternFill patternType="solid">
        <fgColor theme="3" tint="0.7999816888943144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/>
      <right style="thin"/>
      <top style="thin"/>
      <bottom style="thin"/>
      <diagonal/>
    </border>
  </borders>
  <cellStyleXfs count="10">
    <xf borderId="0" fillId="0" fontId="1" numFmtId="0"/>
    <xf borderId="0" fillId="0" fontId="1" numFmtId="175"/>
    <xf borderId="0" fillId="0" fontId="1" numFmtId="176"/>
    <xf borderId="0" fillId="0" fontId="2" numFmtId="0"/>
    <xf borderId="0" fillId="0" fontId="2" numFmtId="177"/>
    <xf borderId="0" fillId="0" fontId="1" numFmtId="175"/>
    <xf borderId="0" fillId="0" fontId="1" numFmtId="176"/>
    <xf borderId="0" fillId="0" fontId="1" numFmtId="176"/>
    <xf borderId="0" fillId="0" fontId="1" numFmtId="175"/>
    <xf borderId="0" fillId="0" fontId="1" numFmtId="0"/>
  </cellStyleXfs>
  <cellXfs count="395">
    <xf borderId="0" fillId="0" fontId="0" numFmtId="0" pivotButton="0" quotePrefix="0" xfId="0"/>
    <xf applyAlignment="1" borderId="0" fillId="0" fontId="4" numFmtId="0" pivotButton="0" quotePrefix="0" xfId="3">
      <alignment horizontal="center" vertical="center"/>
    </xf>
    <xf borderId="0" fillId="0" fontId="2" numFmtId="0" pivotButton="0" quotePrefix="0" xfId="3"/>
    <xf applyAlignment="1" borderId="0" fillId="0" fontId="4" numFmtId="0" pivotButton="0" quotePrefix="0" xfId="3">
      <alignment horizontal="center" vertical="center"/>
    </xf>
    <xf applyAlignment="1" borderId="0" fillId="0" fontId="4" numFmtId="0" pivotButton="0" quotePrefix="0" xfId="3">
      <alignment horizontal="left" vertical="center"/>
    </xf>
    <xf borderId="0" fillId="0" fontId="4" numFmtId="0" pivotButton="0" quotePrefix="0" xfId="3"/>
    <xf borderId="0" fillId="0" fontId="7" numFmtId="0" pivotButton="0" quotePrefix="0" xfId="0"/>
    <xf borderId="0" fillId="0" fontId="7" numFmtId="22" pivotButton="0" quotePrefix="0" xfId="0"/>
    <xf borderId="0" fillId="0" fontId="2" numFmtId="22" pivotButton="0" quotePrefix="0" xfId="3"/>
    <xf borderId="0" fillId="0" fontId="2" numFmtId="14" pivotButton="0" quotePrefix="0" xfId="3"/>
    <xf applyAlignment="1" borderId="0" fillId="0" fontId="4" numFmtId="164" pivotButton="0" quotePrefix="0" xfId="4">
      <alignment horizontal="left" vertical="center"/>
    </xf>
    <xf applyAlignment="1" borderId="0" fillId="4" fontId="3" numFmtId="0" pivotButton="0" quotePrefix="0" xfId="3">
      <alignment horizontal="center" vertical="center"/>
    </xf>
    <xf borderId="1" fillId="0" fontId="0" numFmtId="0" pivotButton="0" quotePrefix="0" xfId="0"/>
    <xf borderId="1" fillId="6" fontId="0" numFmtId="0" pivotButton="0" quotePrefix="0" xfId="0"/>
    <xf borderId="1" fillId="3" fontId="0" numFmtId="0" pivotButton="0" quotePrefix="0" xfId="0"/>
    <xf borderId="0" fillId="0" fontId="0" numFmtId="0" pivotButton="1" quotePrefix="0" xfId="0"/>
    <xf applyAlignment="1" borderId="0" fillId="0" fontId="0" numFmtId="0" pivotButton="0" quotePrefix="0" xfId="0">
      <alignment horizontal="left"/>
    </xf>
    <xf borderId="0" fillId="0" fontId="0" numFmtId="0" pivotButton="0" quotePrefix="0" xfId="0"/>
    <xf applyAlignment="1" borderId="0" fillId="6" fontId="3" numFmtId="0" pivotButton="0" quotePrefix="0" xfId="3">
      <alignment horizontal="center" vertical="center"/>
    </xf>
    <xf applyAlignment="1" borderId="0" fillId="6" fontId="3" numFmtId="164" pivotButton="0" quotePrefix="0" xfId="4">
      <alignment horizontal="center" vertical="center"/>
    </xf>
    <xf applyAlignment="1" borderId="0" fillId="0" fontId="9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 wrapText="1"/>
    </xf>
    <xf applyAlignment="1" borderId="11" fillId="0" fontId="4" numFmtId="0" pivotButton="0" quotePrefix="0" xfId="0">
      <alignment horizontal="center" vertical="center"/>
    </xf>
    <xf applyAlignment="1" borderId="11" fillId="0" fontId="4" numFmtId="165" pivotButton="0" quotePrefix="0" xfId="0">
      <alignment horizontal="center" vertical="center"/>
    </xf>
    <xf applyAlignment="1" borderId="12" fillId="0" fontId="4" numFmtId="165" pivotButton="0" quotePrefix="0" xfId="0">
      <alignment horizontal="center" vertical="center"/>
    </xf>
    <xf applyAlignment="1" borderId="0" fillId="0" fontId="4" numFmtId="166" pivotButton="0" quotePrefix="0" xfId="0">
      <alignment horizontal="center" vertical="center"/>
    </xf>
    <xf applyAlignment="1" borderId="0" fillId="0" fontId="4" numFmtId="167" pivotButton="0" quotePrefix="0" xfId="2">
      <alignment horizontal="center" vertical="center"/>
    </xf>
    <xf applyAlignment="1" borderId="0" fillId="0" fontId="4" numFmtId="168" pivotButton="0" quotePrefix="0" xfId="1">
      <alignment horizontal="center" vertical="center"/>
    </xf>
    <xf applyAlignment="1" borderId="0" fillId="4" fontId="9" numFmtId="167" pivotButton="0" quotePrefix="0" xfId="2">
      <alignment horizontal="center" vertical="center"/>
    </xf>
    <xf applyAlignment="1" borderId="0" fillId="4" fontId="9" numFmtId="168" pivotButton="0" quotePrefix="0" xfId="1">
      <alignment horizontal="center" vertical="center"/>
    </xf>
    <xf applyAlignment="1" borderId="0" fillId="4" fontId="4" numFmtId="0" pivotButton="0" quotePrefix="0" xfId="0">
      <alignment horizontal="center" vertical="center"/>
    </xf>
    <xf borderId="1" fillId="4" fontId="0" numFmtId="0" pivotButton="0" quotePrefix="0" xfId="0"/>
    <xf borderId="1" fillId="4" fontId="4" numFmtId="0" pivotButton="0" quotePrefix="0" xfId="3"/>
    <xf applyAlignment="1" borderId="0" fillId="0" fontId="10" numFmtId="0" pivotButton="0" quotePrefix="0" xfId="3">
      <alignment horizontal="left" vertical="center"/>
    </xf>
    <xf applyAlignment="1" borderId="0" fillId="4" fontId="11" numFmtId="0" pivotButton="0" quotePrefix="0" xfId="3">
      <alignment horizontal="center" vertical="center"/>
    </xf>
    <xf borderId="0" fillId="0" fontId="12" numFmtId="0" pivotButton="0" quotePrefix="0" xfId="3"/>
    <xf applyAlignment="1" borderId="11" fillId="0" fontId="4" numFmtId="0" pivotButton="0" quotePrefix="0" xfId="0">
      <alignment horizontal="center" vertical="center"/>
    </xf>
    <xf applyAlignment="1" borderId="11" fillId="0" fontId="4" numFmtId="165" pivotButton="0" quotePrefix="0" xfId="0">
      <alignment horizontal="center" vertical="center"/>
    </xf>
    <xf applyAlignment="1" borderId="0" fillId="4" fontId="9" numFmtId="0" pivotButton="0" quotePrefix="0" xfId="0">
      <alignment horizontal="center" vertical="center"/>
    </xf>
    <xf applyAlignment="1" borderId="2" fillId="8" fontId="15" numFmtId="0" pivotButton="0" quotePrefix="0" xfId="0">
      <alignment horizontal="center" vertical="center" wrapText="1"/>
    </xf>
    <xf applyAlignment="1" borderId="4" fillId="0" fontId="15" numFmtId="167" pivotButton="0" quotePrefix="0" xfId="2">
      <alignment horizontal="center" vertical="center" wrapText="1"/>
    </xf>
    <xf applyAlignment="1" borderId="5" fillId="0" fontId="15" numFmtId="168" pivotButton="0" quotePrefix="0" xfId="1">
      <alignment horizontal="center" vertical="center" wrapText="1"/>
    </xf>
    <xf applyAlignment="1" borderId="5" fillId="0" fontId="15" numFmtId="167" pivotButton="0" quotePrefix="0" xfId="2">
      <alignment horizontal="center" vertical="center" wrapText="1"/>
    </xf>
    <xf applyAlignment="1" borderId="20" fillId="0" fontId="14" numFmtId="167" pivotButton="0" quotePrefix="0" xfId="2">
      <alignment horizontal="center" vertical="center"/>
    </xf>
    <xf applyAlignment="1" borderId="20" fillId="0" fontId="14" numFmtId="168" pivotButton="0" quotePrefix="0" xfId="1">
      <alignment horizontal="center" vertical="center"/>
    </xf>
    <xf applyAlignment="1" borderId="21" fillId="0" fontId="14" numFmtId="168" pivotButton="0" quotePrefix="0" xfId="1">
      <alignment horizontal="center" vertical="center"/>
    </xf>
    <xf applyAlignment="1" borderId="19" fillId="0" fontId="14" numFmtId="167" pivotButton="0" quotePrefix="0" xfId="2">
      <alignment horizontal="center" vertical="center"/>
    </xf>
    <xf applyAlignment="1" borderId="22" fillId="0" fontId="14" numFmtId="168" pivotButton="0" quotePrefix="0" xfId="1">
      <alignment horizontal="center" vertical="center"/>
    </xf>
    <xf applyAlignment="1" borderId="23" fillId="0" fontId="14" numFmtId="167" pivotButton="0" quotePrefix="0" xfId="2">
      <alignment horizontal="center" vertical="center"/>
    </xf>
    <xf applyAlignment="1" borderId="24" fillId="0" fontId="14" numFmtId="167" pivotButton="0" quotePrefix="0" xfId="2">
      <alignment horizontal="center" vertical="center"/>
    </xf>
    <xf applyAlignment="1" borderId="24" fillId="0" fontId="14" numFmtId="168" pivotButton="0" quotePrefix="0" xfId="1">
      <alignment horizontal="center" vertical="center"/>
    </xf>
    <xf applyAlignment="1" borderId="25" fillId="0" fontId="14" numFmtId="168" pivotButton="0" quotePrefix="0" xfId="1">
      <alignment horizontal="center" vertical="center"/>
    </xf>
    <xf applyAlignment="1" borderId="9" fillId="0" fontId="14" numFmtId="167" pivotButton="0" quotePrefix="0" xfId="2">
      <alignment horizontal="center" vertical="center"/>
    </xf>
    <xf applyAlignment="1" borderId="10" fillId="0" fontId="14" numFmtId="168" pivotButton="0" quotePrefix="0" xfId="1">
      <alignment horizontal="center" vertical="center"/>
    </xf>
    <xf applyAlignment="1" borderId="26" fillId="0" fontId="14" numFmtId="167" pivotButton="0" quotePrefix="0" xfId="2">
      <alignment horizontal="center" vertical="center"/>
    </xf>
    <xf applyAlignment="1" borderId="27" fillId="0" fontId="14" numFmtId="167" pivotButton="0" quotePrefix="0" xfId="2">
      <alignment horizontal="center" vertical="center"/>
    </xf>
    <xf applyAlignment="1" borderId="27" fillId="0" fontId="14" numFmtId="168" pivotButton="0" quotePrefix="0" xfId="1">
      <alignment horizontal="center" vertical="center"/>
    </xf>
    <xf applyAlignment="1" borderId="28" fillId="0" fontId="14" numFmtId="168" pivotButton="0" quotePrefix="0" xfId="1">
      <alignment horizontal="center" vertical="center"/>
    </xf>
    <xf applyAlignment="1" borderId="14" fillId="0" fontId="14" numFmtId="167" pivotButton="0" quotePrefix="0" xfId="2">
      <alignment horizontal="center" vertical="center"/>
    </xf>
    <xf applyAlignment="1" borderId="15" fillId="0" fontId="14" numFmtId="168" pivotButton="0" quotePrefix="0" xfId="1">
      <alignment horizontal="center" vertical="center"/>
    </xf>
    <xf applyAlignment="1" borderId="29" fillId="0" fontId="14" numFmtId="167" pivotButton="0" quotePrefix="0" xfId="2">
      <alignment horizontal="center" vertical="center"/>
    </xf>
    <xf applyAlignment="1" borderId="0" fillId="0" fontId="14" numFmtId="167" pivotButton="0" quotePrefix="0" xfId="2">
      <alignment horizontal="center" vertical="center"/>
    </xf>
    <xf applyAlignment="1" borderId="0" fillId="0" fontId="14" numFmtId="168" pivotButton="0" quotePrefix="0" xfId="1">
      <alignment horizontal="center" vertical="center"/>
    </xf>
    <xf applyAlignment="1" borderId="3" fillId="8" fontId="14" numFmtId="0" pivotButton="0" quotePrefix="0" xfId="0">
      <alignment horizontal="center" vertical="center" wrapText="1"/>
    </xf>
    <xf applyAlignment="1" borderId="18" fillId="0" fontId="14" numFmtId="167" pivotButton="0" quotePrefix="0" xfId="2">
      <alignment horizontal="center" vertical="center"/>
    </xf>
    <xf applyAlignment="1" borderId="5" fillId="0" fontId="14" numFmtId="168" pivotButton="0" quotePrefix="0" xfId="1">
      <alignment horizontal="center" vertical="center"/>
    </xf>
    <xf applyAlignment="1" borderId="5" fillId="0" fontId="14" numFmtId="167" pivotButton="0" quotePrefix="0" xfId="2">
      <alignment horizontal="center" vertical="center"/>
    </xf>
    <xf applyAlignment="1" borderId="6" fillId="0" fontId="14" numFmtId="168" pivotButton="0" quotePrefix="0" xfId="1">
      <alignment horizontal="center" vertical="center"/>
    </xf>
    <xf applyAlignment="1" borderId="4" fillId="0" fontId="14" numFmtId="167" pivotButton="0" quotePrefix="0" xfId="2">
      <alignment horizontal="center" vertical="center"/>
    </xf>
    <xf applyAlignment="1" borderId="7" fillId="0" fontId="14" numFmtId="168" pivotButton="0" quotePrefix="0" xfId="1">
      <alignment horizontal="center" vertical="center"/>
    </xf>
    <xf borderId="1" fillId="4" fontId="4" numFmtId="0" pivotButton="0" quotePrefix="0" xfId="0"/>
    <xf borderId="1" fillId="0" fontId="4" numFmtId="0" pivotButton="0" quotePrefix="0" xfId="0"/>
    <xf applyAlignment="1" borderId="7" fillId="0" fontId="15" numFmtId="168" pivotButton="0" quotePrefix="0" xfId="1">
      <alignment horizontal="center" vertical="center" wrapText="1"/>
    </xf>
    <xf applyAlignment="1" borderId="8" fillId="8" fontId="14" numFmtId="0" pivotButton="0" quotePrefix="0" xfId="0">
      <alignment horizontal="center" vertical="center"/>
    </xf>
    <xf applyAlignment="1" borderId="13" fillId="8" fontId="14" numFmtId="0" pivotButton="0" quotePrefix="0" xfId="0">
      <alignment horizontal="center" vertical="center"/>
    </xf>
    <xf applyAlignment="1" borderId="32" fillId="8" fontId="14" numFmtId="0" pivotButton="0" quotePrefix="0" xfId="0">
      <alignment horizontal="center" vertical="center"/>
    </xf>
    <xf applyAlignment="1" borderId="1" fillId="4" fontId="0" numFmtId="0" pivotButton="0" quotePrefix="0" xfId="0">
      <alignment horizontal="center"/>
    </xf>
    <xf borderId="0" fillId="0" fontId="0" numFmtId="9" pivotButton="0" quotePrefix="0" xfId="0"/>
    <xf borderId="1" fillId="12" fontId="0" numFmtId="0" pivotButton="0" quotePrefix="0" xfId="0"/>
    <xf applyAlignment="1" borderId="11" fillId="0" fontId="4" numFmtId="166" pivotButton="0" quotePrefix="0" xfId="0">
      <alignment horizontal="center" vertical="center"/>
    </xf>
    <xf borderId="0" fillId="0" fontId="0" numFmtId="169" pivotButton="0" quotePrefix="0" xfId="0"/>
    <xf borderId="1" fillId="13" fontId="17" numFmtId="0" pivotButton="0" quotePrefix="0" xfId="0"/>
    <xf borderId="1" fillId="0" fontId="0" numFmtId="170" pivotButton="0" quotePrefix="0" xfId="0"/>
    <xf borderId="1" fillId="0" fontId="0" numFmtId="170" pivotButton="0" quotePrefix="0" xfId="0"/>
    <xf borderId="0" fillId="3" fontId="19" numFmtId="0" pivotButton="0" quotePrefix="0" xfId="0"/>
    <xf borderId="1" fillId="4" fontId="0" numFmtId="9" pivotButton="0" quotePrefix="0" xfId="0"/>
    <xf borderId="0" fillId="0" fontId="16" numFmtId="0" pivotButton="0" quotePrefix="0" xfId="0"/>
    <xf borderId="33" fillId="4" fontId="0" numFmtId="0" pivotButton="0" quotePrefix="0" xfId="0"/>
    <xf applyAlignment="1" borderId="24" fillId="0" fontId="4" numFmtId="166" pivotButton="0" quotePrefix="0" xfId="2">
      <alignment horizontal="center" vertical="center"/>
    </xf>
    <xf applyAlignment="1" borderId="24" fillId="0" fontId="4" numFmtId="171" pivotButton="0" quotePrefix="0" xfId="1">
      <alignment horizontal="center" vertical="center"/>
    </xf>
    <xf applyAlignment="1" borderId="11" fillId="0" fontId="4" numFmtId="166" pivotButton="0" quotePrefix="0" xfId="2">
      <alignment horizontal="center" vertical="center"/>
    </xf>
    <xf applyAlignment="1" borderId="11" fillId="0" fontId="4" numFmtId="171" pivotButton="0" quotePrefix="0" xfId="1">
      <alignment horizontal="center" vertical="center"/>
    </xf>
    <xf applyAlignment="1" borderId="1" fillId="4" fontId="13" numFmtId="167" pivotButton="0" quotePrefix="0" xfId="2">
      <alignment horizontal="center" vertical="center" wrapText="1"/>
    </xf>
    <xf applyAlignment="1" borderId="1" fillId="4" fontId="13" numFmtId="168" pivotButton="0" quotePrefix="0" xfId="1">
      <alignment horizontal="center" vertical="center" wrapText="1"/>
    </xf>
    <xf applyAlignment="1" borderId="1" fillId="4" fontId="4" numFmtId="0" pivotButton="0" quotePrefix="0" xfId="0">
      <alignment horizontal="center" vertical="center" wrapText="1"/>
    </xf>
    <xf borderId="1" fillId="4" fontId="0" numFmtId="170" pivotButton="0" quotePrefix="0" xfId="0"/>
    <xf applyAlignment="1" borderId="11" fillId="0" fontId="4" numFmtId="0" pivotButton="0" quotePrefix="0" xfId="0">
      <alignment horizontal="center" vertical="center"/>
    </xf>
    <xf applyAlignment="1" borderId="11" fillId="0" fontId="4" numFmtId="166" pivotButton="0" quotePrefix="0" xfId="0">
      <alignment horizontal="center" vertical="center"/>
    </xf>
    <xf applyAlignment="1" borderId="1" fillId="4" fontId="21" numFmtId="0" pivotButton="0" quotePrefix="0" xfId="0">
      <alignment horizontal="center" vertical="center" wrapText="1"/>
    </xf>
    <xf borderId="0" fillId="4" fontId="22" numFmtId="0" pivotButton="0" quotePrefix="0" xfId="0"/>
    <xf borderId="0" fillId="3" fontId="23" numFmtId="0" pivotButton="0" quotePrefix="0" xfId="0"/>
    <xf applyAlignment="1" borderId="1" fillId="4" fontId="0" numFmtId="0" pivotButton="0" quotePrefix="0" xfId="0">
      <alignment horizontal="center"/>
    </xf>
    <xf applyAlignment="1" borderId="11" fillId="6" fontId="4" numFmtId="165" pivotButton="0" quotePrefix="0" xfId="0">
      <alignment horizontal="center" vertical="center"/>
    </xf>
    <xf applyAlignment="1" borderId="11" fillId="6" fontId="4" numFmtId="166" pivotButton="0" quotePrefix="0" xfId="0">
      <alignment horizontal="center" vertical="center"/>
    </xf>
    <xf borderId="36" fillId="4" fontId="0" numFmtId="0" pivotButton="0" quotePrefix="0" xfId="0"/>
    <xf borderId="1" fillId="0" fontId="24" numFmtId="170" pivotButton="0" quotePrefix="0" xfId="0"/>
    <xf borderId="1" fillId="4" fontId="0" numFmtId="0" pivotButton="0" quotePrefix="0" xfId="0"/>
    <xf borderId="1" fillId="6" fontId="24" numFmtId="170" pivotButton="0" quotePrefix="0" xfId="0"/>
    <xf borderId="0" fillId="0" fontId="4" numFmtId="0" pivotButton="0" quotePrefix="0" xfId="0"/>
    <xf borderId="0" fillId="0" fontId="0" numFmtId="0" pivotButton="0" quotePrefix="0" xfId="0"/>
    <xf borderId="0" fillId="0" fontId="24" numFmtId="170" pivotButton="0" quotePrefix="0" xfId="0"/>
    <xf borderId="37" fillId="4" fontId="4" numFmtId="0" pivotButton="0" quotePrefix="0" xfId="3"/>
    <xf borderId="1" fillId="6" fontId="18" numFmtId="0" pivotButton="0" quotePrefix="0" xfId="0"/>
    <xf borderId="1" fillId="6" fontId="0" numFmtId="9" pivotButton="0" quotePrefix="0" xfId="0"/>
    <xf borderId="1" fillId="6" fontId="0" numFmtId="170" pivotButton="0" quotePrefix="0" xfId="0"/>
    <xf borderId="0" fillId="6" fontId="5" numFmtId="0" pivotButton="0" quotePrefix="0" xfId="0"/>
    <xf applyAlignment="1" borderId="0" fillId="6" fontId="5" numFmtId="0" pivotButton="0" quotePrefix="0" xfId="0">
      <alignment horizontal="right"/>
    </xf>
    <xf borderId="0" fillId="6" fontId="5" numFmtId="22" pivotButton="0" quotePrefix="0" xfId="0"/>
    <xf borderId="0" fillId="6" fontId="0" numFmtId="0" pivotButton="0" quotePrefix="0" xfId="0"/>
    <xf borderId="0" fillId="6" fontId="6" numFmtId="0" pivotButton="0" quotePrefix="0" xfId="0"/>
    <xf applyAlignment="1" borderId="0" fillId="6" fontId="6" numFmtId="0" pivotButton="0" quotePrefix="0" xfId="0">
      <alignment horizontal="right"/>
    </xf>
    <xf borderId="0" fillId="6" fontId="6" numFmtId="22" pivotButton="0" quotePrefix="0" xfId="0"/>
    <xf applyAlignment="1" borderId="0" fillId="6" fontId="5" numFmtId="0" pivotButton="0" quotePrefix="0" xfId="0">
      <alignment wrapText="1"/>
    </xf>
    <xf borderId="0" fillId="0" fontId="19" numFmtId="0" pivotButton="0" quotePrefix="0" xfId="0"/>
    <xf borderId="1" fillId="0" fontId="4" numFmtId="0" pivotButton="0" quotePrefix="0" xfId="0"/>
    <xf applyAlignment="1" borderId="38" fillId="8" fontId="14" numFmtId="0" pivotButton="0" quotePrefix="0" xfId="0">
      <alignment horizontal="center" vertical="center"/>
    </xf>
    <xf applyAlignment="1" borderId="18" fillId="0" fontId="15" numFmtId="167" pivotButton="0" quotePrefix="0" xfId="2">
      <alignment horizontal="center" vertical="center" wrapText="1"/>
    </xf>
    <xf applyAlignment="1" borderId="39" fillId="8" fontId="14" numFmtId="0" pivotButton="0" quotePrefix="0" xfId="0">
      <alignment horizontal="center" vertical="center"/>
    </xf>
    <xf applyAlignment="1" borderId="40" fillId="8" fontId="14" numFmtId="0" pivotButton="0" quotePrefix="0" xfId="0">
      <alignment horizontal="center" vertical="center"/>
    </xf>
    <xf applyAlignment="1" borderId="41" fillId="8" fontId="14" numFmtId="0" pivotButton="0" quotePrefix="0" xfId="0">
      <alignment horizontal="center" vertical="center"/>
    </xf>
    <xf applyAlignment="1" borderId="42" fillId="8" fontId="15" numFmtId="0" pivotButton="0" quotePrefix="0" xfId="0">
      <alignment horizontal="center" vertical="center" wrapText="1"/>
    </xf>
    <xf applyAlignment="1" borderId="43" fillId="8" fontId="15" numFmtId="0" pivotButton="0" quotePrefix="0" xfId="0">
      <alignment horizontal="center" vertical="center" wrapText="1"/>
    </xf>
    <xf applyAlignment="1" borderId="42" fillId="0" fontId="14" numFmtId="167" pivotButton="0" quotePrefix="0" xfId="2">
      <alignment horizontal="center" vertical="center"/>
    </xf>
    <xf applyAlignment="1" borderId="44" fillId="0" fontId="14" numFmtId="167" pivotButton="0" quotePrefix="0" xfId="2">
      <alignment horizontal="center" vertical="center"/>
    </xf>
    <xf applyAlignment="1" borderId="44" fillId="0" fontId="14" numFmtId="168" pivotButton="0" quotePrefix="0" xfId="1">
      <alignment horizontal="center" vertical="center"/>
    </xf>
    <xf applyAlignment="1" borderId="43" fillId="0" fontId="14" numFmtId="168" pivotButton="0" quotePrefix="0" xfId="1">
      <alignment horizontal="center" vertical="center"/>
    </xf>
    <xf applyAlignment="1" borderId="38" fillId="0" fontId="14" numFmtId="167" pivotButton="0" quotePrefix="0" xfId="2">
      <alignment horizontal="center" vertical="center"/>
    </xf>
    <xf applyAlignment="1" borderId="1" fillId="0" fontId="14" numFmtId="167" pivotButton="0" quotePrefix="0" xfId="2">
      <alignment horizontal="center" vertical="center"/>
    </xf>
    <xf applyAlignment="1" borderId="1" fillId="0" fontId="14" numFmtId="168" pivotButton="0" quotePrefix="0" xfId="1">
      <alignment horizontal="center" vertical="center"/>
    </xf>
    <xf applyAlignment="1" borderId="39" fillId="0" fontId="14" numFmtId="168" pivotButton="0" quotePrefix="0" xfId="1">
      <alignment horizontal="center" vertical="center"/>
    </xf>
    <xf applyAlignment="1" borderId="40" fillId="0" fontId="14" numFmtId="167" pivotButton="0" quotePrefix="0" xfId="2">
      <alignment horizontal="center" vertical="center"/>
    </xf>
    <xf applyAlignment="1" borderId="45" fillId="0" fontId="14" numFmtId="167" pivotButton="0" quotePrefix="0" xfId="2">
      <alignment horizontal="center" vertical="center"/>
    </xf>
    <xf applyAlignment="1" borderId="45" fillId="0" fontId="14" numFmtId="168" pivotButton="0" quotePrefix="0" xfId="1">
      <alignment horizontal="center" vertical="center"/>
    </xf>
    <xf applyAlignment="1" borderId="41" fillId="0" fontId="14" numFmtId="168" pivotButton="0" quotePrefix="0" xfId="1">
      <alignment horizontal="center" vertical="center"/>
    </xf>
    <xf borderId="0" fillId="0" fontId="0" numFmtId="0" pivotButton="0" quotePrefix="0" xfId="0"/>
    <xf applyAlignment="1" borderId="0" fillId="0" fontId="24" numFmtId="0" pivotButton="0" quotePrefix="0" xfId="0">
      <alignment horizontal="left" indent="1" vertical="center"/>
    </xf>
    <xf applyAlignment="1" borderId="0" fillId="0" fontId="24" numFmtId="0" pivotButton="0" quotePrefix="0" xfId="0">
      <alignment horizontal="center" vertical="center"/>
    </xf>
    <xf applyAlignment="1" borderId="3" fillId="15" fontId="25" numFmtId="0" pivotButton="0" quotePrefix="0" xfId="0">
      <alignment horizontal="left" indent="1" vertical="center" wrapText="1"/>
    </xf>
    <xf applyAlignment="1" borderId="50" fillId="16" fontId="26" numFmtId="168" pivotButton="0" quotePrefix="0" xfId="8">
      <alignment horizontal="center" vertical="center" wrapText="1"/>
    </xf>
    <xf applyAlignment="1" borderId="49" fillId="16" fontId="26" numFmtId="168" pivotButton="0" quotePrefix="0" xfId="8">
      <alignment horizontal="center" vertical="center" wrapText="1"/>
    </xf>
    <xf applyAlignment="1" borderId="52" fillId="0" fontId="24" numFmtId="0" pivotButton="0" quotePrefix="0" xfId="0">
      <alignment horizontal="left" indent="1" vertical="center"/>
    </xf>
    <xf applyAlignment="1" borderId="57" fillId="0" fontId="24" numFmtId="0" pivotButton="0" quotePrefix="0" xfId="0">
      <alignment horizontal="center" vertical="center"/>
    </xf>
    <xf applyAlignment="1" borderId="3" fillId="16" fontId="24" numFmtId="0" pivotButton="0" quotePrefix="0" xfId="0">
      <alignment horizontal="left" indent="1"/>
    </xf>
    <xf applyAlignment="1" borderId="55" fillId="0" fontId="24" numFmtId="168" pivotButton="0" quotePrefix="0" xfId="5">
      <alignment horizontal="center" vertical="center"/>
    </xf>
    <xf applyAlignment="1" borderId="47" fillId="16" fontId="26" numFmtId="168" pivotButton="0" quotePrefix="0" xfId="5">
      <alignment horizontal="center" vertical="center" wrapText="1"/>
    </xf>
    <xf applyAlignment="1" borderId="47" fillId="16" fontId="24" numFmtId="168" pivotButton="0" quotePrefix="0" xfId="5">
      <alignment horizontal="center" vertical="center"/>
    </xf>
    <xf applyAlignment="1" borderId="51" fillId="16" fontId="26" numFmtId="168" pivotButton="0" quotePrefix="0" xfId="5">
      <alignment horizontal="center" vertical="center" wrapText="1"/>
    </xf>
    <xf applyAlignment="1" borderId="58" fillId="0" fontId="24" numFmtId="168" pivotButton="0" quotePrefix="0" xfId="5">
      <alignment horizontal="center" vertical="center"/>
    </xf>
    <xf applyAlignment="1" borderId="51" fillId="16" fontId="24" numFmtId="168" pivotButton="0" quotePrefix="0" xfId="5">
      <alignment horizontal="center" vertical="center"/>
    </xf>
    <xf applyAlignment="1" borderId="50" fillId="16" fontId="24" numFmtId="172" pivotButton="0" quotePrefix="0" xfId="5">
      <alignment horizontal="center" vertical="center"/>
    </xf>
    <xf applyAlignment="1" borderId="49" fillId="16" fontId="24" numFmtId="172" pivotButton="0" quotePrefix="0" xfId="5">
      <alignment horizontal="center" vertical="center"/>
    </xf>
    <xf borderId="0" fillId="0" fontId="24" numFmtId="0" pivotButton="0" quotePrefix="0" xfId="0"/>
    <xf borderId="0" fillId="0" fontId="24" numFmtId="0" pivotButton="0" quotePrefix="0" xfId="0"/>
    <xf applyAlignment="1" borderId="52" fillId="0" fontId="24" numFmtId="0" pivotButton="0" quotePrefix="0" xfId="0">
      <alignment horizontal="left" indent="1"/>
    </xf>
    <xf applyAlignment="1" borderId="55" fillId="3" fontId="24" numFmtId="168" pivotButton="0" quotePrefix="0" xfId="5">
      <alignment horizontal="center" vertical="center"/>
    </xf>
    <xf applyAlignment="1" borderId="56" fillId="3" fontId="24" numFmtId="0" pivotButton="0" quotePrefix="0" xfId="0">
      <alignment horizontal="center" vertical="center"/>
    </xf>
    <xf applyAlignment="1" borderId="0" fillId="0" fontId="27" numFmtId="167" pivotButton="0" quotePrefix="0" xfId="2">
      <alignment horizontal="center" vertical="center"/>
    </xf>
    <xf borderId="0" fillId="0" fontId="28" numFmtId="0" pivotButton="0" quotePrefix="0" xfId="0"/>
    <xf applyAlignment="1" borderId="0" fillId="0" fontId="0" numFmtId="0" pivotButton="0" quotePrefix="0" xfId="0">
      <alignment horizontal="left" indent="3"/>
    </xf>
    <xf applyAlignment="1" borderId="0" fillId="0" fontId="4" numFmtId="0" pivotButton="0" quotePrefix="0" xfId="3">
      <alignment horizontal="left" vertical="center"/>
    </xf>
    <xf borderId="0" fillId="6" fontId="7" numFmtId="0" pivotButton="0" quotePrefix="0" xfId="0"/>
    <xf applyAlignment="1" borderId="0" fillId="6" fontId="7" numFmtId="0" pivotButton="0" quotePrefix="0" xfId="0">
      <alignment wrapText="1"/>
    </xf>
    <xf borderId="0" fillId="6" fontId="7" numFmtId="22" pivotButton="0" quotePrefix="0" xfId="0"/>
    <xf applyAlignment="1" borderId="0" fillId="0" fontId="0" numFmtId="0" pivotButton="0" quotePrefix="0" xfId="0">
      <alignment horizontal="center"/>
    </xf>
    <xf borderId="0" fillId="0" fontId="0" numFmtId="0" pivotButton="0" quotePrefix="0" xfId="0"/>
    <xf borderId="61" fillId="0" fontId="0" numFmtId="0" pivotButton="0" quotePrefix="0" xfId="0"/>
    <xf borderId="62" fillId="0" fontId="0" numFmtId="0" pivotButton="0" quotePrefix="0" xfId="0"/>
    <xf borderId="62" fillId="0" fontId="0" numFmtId="0" pivotButton="0" quotePrefix="0" xfId="0"/>
    <xf borderId="63" fillId="0" fontId="0" numFmtId="0" pivotButton="0" quotePrefix="0" xfId="0"/>
    <xf borderId="53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54" fillId="0" fontId="0" numFmtId="0" pivotButton="0" quotePrefix="0" xfId="0"/>
    <xf borderId="59" fillId="0" fontId="0" numFmtId="0" pivotButton="0" quotePrefix="0" xfId="0"/>
    <xf borderId="64" fillId="0" fontId="0" numFmtId="0" pivotButton="0" quotePrefix="0" xfId="0"/>
    <xf borderId="64" fillId="0" fontId="0" numFmtId="0" pivotButton="0" quotePrefix="0" xfId="0"/>
    <xf borderId="60" fillId="0" fontId="0" numFmtId="0" pivotButton="0" quotePrefix="0" xfId="0"/>
    <xf borderId="54" fillId="0" fontId="0" numFmtId="0" pivotButton="0" quotePrefix="0" xfId="0"/>
    <xf borderId="60" fillId="0" fontId="0" numFmtId="0" pivotButton="0" quotePrefix="0" xfId="0"/>
    <xf borderId="53" fillId="0" fontId="0" numFmtId="0" pivotButton="0" quotePrefix="0" xfId="0"/>
    <xf borderId="59" fillId="0" fontId="0" numFmtId="0" pivotButton="0" quotePrefix="0" xfId="0"/>
    <xf borderId="0" fillId="0" fontId="0" numFmtId="170" pivotButton="0" quotePrefix="0" xfId="0"/>
    <xf borderId="1" fillId="0" fontId="0" numFmtId="173" pivotButton="0" quotePrefix="0" xfId="9"/>
    <xf borderId="1" fillId="4" fontId="29" numFmtId="0" pivotButton="0" quotePrefix="0" xfId="0"/>
    <xf borderId="0" fillId="0" fontId="4" numFmtId="0" pivotButton="0" quotePrefix="0" xfId="0"/>
    <xf borderId="0" fillId="0" fontId="30" numFmtId="0" pivotButton="0" quotePrefix="0" xfId="0"/>
    <xf borderId="1" fillId="0" fontId="0" numFmtId="167" pivotButton="0" quotePrefix="0" xfId="2"/>
    <xf borderId="1" fillId="4" fontId="29" numFmtId="170" pivotButton="0" quotePrefix="0" xfId="0"/>
    <xf borderId="0" fillId="6" fontId="5" numFmtId="11" pivotButton="0" quotePrefix="0" xfId="0"/>
    <xf borderId="0" fillId="6" fontId="6" numFmtId="11" pivotButton="0" quotePrefix="0" xfId="0"/>
    <xf borderId="0" fillId="4" fontId="29" numFmtId="0" pivotButton="0" quotePrefix="0" xfId="0"/>
    <xf borderId="35" fillId="0" fontId="4" numFmtId="0" pivotButton="0" quotePrefix="0" xfId="0"/>
    <xf borderId="65" fillId="0" fontId="4" numFmtId="0" pivotButton="0" quotePrefix="0" xfId="0"/>
    <xf borderId="38" fillId="0" fontId="4" numFmtId="0" pivotButton="0" quotePrefix="0" xfId="0"/>
    <xf borderId="39" fillId="0" fontId="4" numFmtId="0" pivotButton="0" quotePrefix="0" xfId="0"/>
    <xf borderId="39" fillId="0" fontId="0" numFmtId="0" pivotButton="0" quotePrefix="0" xfId="0"/>
    <xf borderId="66" fillId="0" fontId="4" numFmtId="0" pivotButton="0" quotePrefix="0" xfId="0"/>
    <xf borderId="67" fillId="0" fontId="4" numFmtId="0" pivotButton="0" quotePrefix="0" xfId="0"/>
    <xf borderId="40" fillId="0" fontId="4" numFmtId="0" pivotButton="0" quotePrefix="0" xfId="0"/>
    <xf borderId="45" fillId="0" fontId="4" numFmtId="0" pivotButton="0" quotePrefix="0" xfId="0"/>
    <xf borderId="41" fillId="0" fontId="4" numFmtId="0" pivotButton="0" quotePrefix="0" xfId="0"/>
    <xf applyAlignment="1" borderId="68" fillId="4" fontId="29" numFmtId="0" pivotButton="0" quotePrefix="0" xfId="0">
      <alignment vertical="center"/>
    </xf>
    <xf applyAlignment="1" borderId="69" fillId="4" fontId="29" numFmtId="0" pivotButton="0" quotePrefix="0" xfId="0">
      <alignment vertical="center"/>
    </xf>
    <xf applyAlignment="1" borderId="69" fillId="4" fontId="29" numFmtId="0" pivotButton="0" quotePrefix="0" xfId="0">
      <alignment vertical="center" wrapText="1"/>
    </xf>
    <xf applyAlignment="1" borderId="70" fillId="4" fontId="29" numFmtId="0" pivotButton="0" quotePrefix="0" xfId="0">
      <alignment vertical="center" wrapText="1"/>
    </xf>
    <xf borderId="71" fillId="0" fontId="4" numFmtId="0" pivotButton="0" quotePrefix="0" xfId="0"/>
    <xf borderId="42" fillId="0" fontId="4" numFmtId="0" pivotButton="0" quotePrefix="0" xfId="0"/>
    <xf borderId="44" fillId="0" fontId="4" numFmtId="0" pivotButton="0" quotePrefix="0" xfId="0"/>
    <xf borderId="44" fillId="0" fontId="4" numFmtId="0" pivotButton="0" quotePrefix="1" xfId="0"/>
    <xf borderId="43" fillId="0" fontId="4" numFmtId="0" pivotButton="0" quotePrefix="0" xfId="0"/>
    <xf borderId="45" fillId="0" fontId="0" numFmtId="0" pivotButton="0" quotePrefix="0" xfId="0"/>
    <xf borderId="41" fillId="0" fontId="0" numFmtId="0" pivotButton="0" quotePrefix="0" xfId="0"/>
    <xf borderId="68" fillId="0" fontId="4" numFmtId="0" pivotButton="0" quotePrefix="0" xfId="0"/>
    <xf borderId="72" fillId="0" fontId="4" numFmtId="0" pivotButton="0" quotePrefix="0" xfId="0"/>
    <xf borderId="16" fillId="0" fontId="4" numFmtId="0" pivotButton="0" quotePrefix="0" xfId="0"/>
    <xf borderId="73" fillId="0" fontId="4" numFmtId="0" pivotButton="0" quotePrefix="0" xfId="0"/>
    <xf applyAlignment="1" borderId="69" fillId="0" fontId="4" numFmtId="0" pivotButton="0" quotePrefix="0" xfId="0">
      <alignment vertical="center"/>
    </xf>
    <xf applyAlignment="1" borderId="17" fillId="0" fontId="4" numFmtId="0" pivotButton="0" quotePrefix="0" xfId="0">
      <alignment vertical="center"/>
    </xf>
    <xf applyAlignment="1" borderId="69" fillId="0" fontId="4" numFmtId="0" pivotButton="0" quotePrefix="1" xfId="0">
      <alignment vertical="center"/>
    </xf>
    <xf applyAlignment="1" borderId="17" fillId="0" fontId="4" numFmtId="0" pivotButton="0" quotePrefix="1" xfId="0">
      <alignment vertical="center"/>
    </xf>
    <xf applyAlignment="1" borderId="1" fillId="0" fontId="4" numFmtId="0" pivotButton="0" quotePrefix="0" xfId="0">
      <alignment vertical="center"/>
    </xf>
    <xf applyAlignment="1" borderId="1" fillId="0" fontId="4" numFmtId="0" pivotButton="0" quotePrefix="1" xfId="0">
      <alignment vertical="center"/>
    </xf>
    <xf applyAlignment="1" borderId="1" fillId="4" fontId="4" numFmtId="0" pivotButton="0" quotePrefix="0" xfId="0">
      <alignment horizontal="center"/>
    </xf>
    <xf applyAlignment="1" borderId="1" fillId="13" fontId="17" numFmtId="0" pivotButton="0" quotePrefix="0" xfId="0">
      <alignment horizontal="center"/>
    </xf>
    <xf applyAlignment="1" borderId="1" fillId="3" fontId="0" numFmtId="0" pivotButton="0" quotePrefix="0" xfId="0">
      <alignment horizontal="center"/>
    </xf>
    <xf applyAlignment="1" borderId="1" fillId="12" fontId="0" numFmtId="0" pivotButton="0" quotePrefix="0" xfId="0">
      <alignment horizontal="center"/>
    </xf>
    <xf applyAlignment="1" borderId="33" fillId="13" fontId="17" numFmtId="0" pivotButton="0" quotePrefix="0" xfId="0">
      <alignment horizontal="center"/>
    </xf>
    <xf applyAlignment="1" borderId="34" fillId="13" fontId="17" numFmtId="0" pivotButton="0" quotePrefix="0" xfId="0">
      <alignment horizontal="center"/>
    </xf>
    <xf applyAlignment="1" borderId="35" fillId="13" fontId="17" numFmtId="0" pivotButton="0" quotePrefix="0" xfId="0">
      <alignment horizontal="center"/>
    </xf>
    <xf applyAlignment="1" borderId="1" fillId="4" fontId="0" numFmtId="0" pivotButton="0" quotePrefix="0" xfId="0">
      <alignment horizontal="center"/>
    </xf>
    <xf applyAlignment="1" borderId="33" fillId="4" fontId="0" numFmtId="0" pivotButton="0" quotePrefix="0" xfId="0">
      <alignment horizontal="center"/>
    </xf>
    <xf applyAlignment="1" borderId="34" fillId="4" fontId="0" numFmtId="0" pivotButton="0" quotePrefix="0" xfId="0">
      <alignment horizontal="center"/>
    </xf>
    <xf applyAlignment="1" borderId="35" fillId="4" fontId="0" numFmtId="0" pivotButton="0" quotePrefix="0" xfId="0">
      <alignment horizontal="center"/>
    </xf>
    <xf applyAlignment="1" borderId="33" fillId="12" fontId="0" numFmtId="0" pivotButton="0" quotePrefix="0" xfId="0">
      <alignment horizontal="center"/>
    </xf>
    <xf applyAlignment="1" borderId="34" fillId="12" fontId="0" numFmtId="0" pivotButton="0" quotePrefix="0" xfId="0">
      <alignment horizontal="center"/>
    </xf>
    <xf applyAlignment="1" borderId="35" fillId="12" fontId="0" numFmtId="0" pivotButton="0" quotePrefix="0" xfId="0">
      <alignment horizontal="center"/>
    </xf>
    <xf applyAlignment="1" borderId="1" fillId="13" fontId="17" numFmtId="0" pivotButton="0" quotePrefix="1" xfId="0">
      <alignment horizontal="center"/>
    </xf>
    <xf applyAlignment="1" borderId="1" fillId="3" fontId="0" numFmtId="0" pivotButton="0" quotePrefix="1" xfId="0">
      <alignment horizontal="center"/>
    </xf>
    <xf applyAlignment="1" borderId="1" fillId="12" fontId="0" numFmtId="0" pivotButton="0" quotePrefix="1" xfId="0">
      <alignment horizontal="center"/>
    </xf>
    <xf applyAlignment="1" borderId="33" fillId="4" fontId="4" numFmtId="167" pivotButton="0" quotePrefix="0" xfId="2">
      <alignment horizontal="left" vertical="center"/>
    </xf>
    <xf applyAlignment="1" borderId="34" fillId="4" fontId="4" numFmtId="167" pivotButton="0" quotePrefix="0" xfId="2">
      <alignment horizontal="left" vertical="center"/>
    </xf>
    <xf applyAlignment="1" borderId="35" fillId="4" fontId="4" numFmtId="167" pivotButton="0" quotePrefix="0" xfId="2">
      <alignment horizontal="left" vertical="center"/>
    </xf>
    <xf applyAlignment="1" borderId="33" fillId="4" fontId="4" numFmtId="0" pivotButton="0" quotePrefix="0" xfId="0">
      <alignment horizontal="left" vertical="center"/>
    </xf>
    <xf applyAlignment="1" borderId="34" fillId="4" fontId="4" numFmtId="0" pivotButton="0" quotePrefix="0" xfId="0">
      <alignment horizontal="left" vertical="center"/>
    </xf>
    <xf applyAlignment="1" borderId="35" fillId="4" fontId="4" numFmtId="0" pivotButton="0" quotePrefix="0" xfId="0">
      <alignment horizontal="left" vertical="center"/>
    </xf>
    <xf applyAlignment="1" borderId="33" fillId="4" fontId="4" numFmtId="0" pivotButton="0" quotePrefix="0" xfId="0">
      <alignment horizontal="center" vertical="center"/>
    </xf>
    <xf applyAlignment="1" borderId="34" fillId="4" fontId="4" numFmtId="0" pivotButton="0" quotePrefix="0" xfId="0">
      <alignment horizontal="center" vertical="center"/>
    </xf>
    <xf applyAlignment="1" borderId="35" fillId="4" fontId="4" numFmtId="0" pivotButton="0" quotePrefix="0" xfId="0">
      <alignment horizontal="center" vertical="center"/>
    </xf>
    <xf applyAlignment="1" borderId="33" fillId="4" fontId="4" numFmtId="9" pivotButton="0" quotePrefix="0" xfId="0">
      <alignment horizontal="center" vertical="center"/>
    </xf>
    <xf applyAlignment="1" borderId="34" fillId="4" fontId="4" numFmtId="9" pivotButton="0" quotePrefix="0" xfId="0">
      <alignment horizontal="center" vertical="center"/>
    </xf>
    <xf applyAlignment="1" borderId="35" fillId="4" fontId="4" numFmtId="9" pivotButton="0" quotePrefix="0" xfId="0">
      <alignment horizontal="center" vertical="center"/>
    </xf>
    <xf applyAlignment="1" borderId="1" fillId="2" fontId="4" numFmtId="167" pivotButton="0" quotePrefix="0" xfId="2">
      <alignment horizontal="center" vertical="center"/>
    </xf>
    <xf applyAlignment="1" borderId="1" fillId="2" fontId="4" numFmtId="0" pivotButton="0" quotePrefix="0" xfId="0">
      <alignment horizontal="center" vertical="center"/>
    </xf>
    <xf applyAlignment="1" borderId="1" fillId="7" fontId="4" numFmtId="167" pivotButton="0" quotePrefix="0" xfId="2">
      <alignment horizontal="center" vertical="center"/>
    </xf>
    <xf applyAlignment="1" borderId="1" fillId="7" fontId="4" numFmtId="0" pivotButton="0" quotePrefix="0" xfId="0">
      <alignment horizontal="center" vertical="center"/>
    </xf>
    <xf applyAlignment="1" borderId="1" fillId="5" fontId="4" numFmtId="167" pivotButton="0" quotePrefix="0" xfId="2">
      <alignment horizontal="center" vertical="center"/>
    </xf>
    <xf applyAlignment="1" borderId="1" fillId="5" fontId="4" numFmtId="0" pivotButton="0" quotePrefix="0" xfId="0">
      <alignment horizontal="center" vertical="center"/>
    </xf>
    <xf applyAlignment="1" borderId="18" fillId="9" fontId="14" numFmtId="0" pivotButton="0" quotePrefix="0" xfId="0">
      <alignment horizontal="center" vertical="center"/>
    </xf>
    <xf applyAlignment="1" borderId="5" fillId="9" fontId="14" numFmtId="0" pivotButton="0" quotePrefix="0" xfId="0">
      <alignment horizontal="center" vertical="center"/>
    </xf>
    <xf applyAlignment="1" borderId="5" fillId="10" fontId="14" numFmtId="0" pivotButton="0" quotePrefix="0" xfId="0">
      <alignment horizontal="center" vertical="center"/>
    </xf>
    <xf applyAlignment="1" borderId="5" fillId="11" fontId="14" numFmtId="0" pivotButton="0" quotePrefix="0" xfId="0">
      <alignment horizontal="center" vertical="center"/>
    </xf>
    <xf applyAlignment="1" borderId="7" fillId="11" fontId="14" numFmtId="0" pivotButton="0" quotePrefix="0" xfId="0">
      <alignment horizontal="center" vertical="center"/>
    </xf>
    <xf applyAlignment="1" borderId="4" fillId="9" fontId="14" numFmtId="0" pivotButton="0" quotePrefix="0" xfId="0">
      <alignment horizontal="center" vertical="center"/>
    </xf>
    <xf applyAlignment="1" borderId="6" fillId="11" fontId="14" numFmtId="0" pivotButton="0" quotePrefix="0" xfId="0">
      <alignment horizontal="center" vertical="center"/>
    </xf>
    <xf applyAlignment="1" borderId="4" fillId="8" fontId="14" numFmtId="0" pivotButton="0" quotePrefix="0" xfId="0">
      <alignment horizontal="center" vertical="center"/>
    </xf>
    <xf applyAlignment="1" borderId="18" fillId="8" fontId="14" numFmtId="0" pivotButton="0" quotePrefix="0" xfId="0">
      <alignment horizontal="center" vertical="center"/>
    </xf>
    <xf applyAlignment="1" borderId="5" fillId="8" fontId="14" numFmtId="0" pivotButton="0" quotePrefix="0" xfId="0">
      <alignment horizontal="center" vertical="center"/>
    </xf>
    <xf applyAlignment="1" borderId="6" fillId="8" fontId="14" numFmtId="0" pivotButton="0" quotePrefix="0" xfId="0">
      <alignment horizontal="center" vertical="center"/>
    </xf>
    <xf applyAlignment="1" borderId="7" fillId="8" fontId="14" numFmtId="0" pivotButton="0" quotePrefix="0" xfId="0">
      <alignment horizontal="center" vertical="center"/>
    </xf>
    <xf applyAlignment="1" borderId="16" fillId="9" fontId="14" numFmtId="0" pivotButton="0" quotePrefix="0" xfId="0">
      <alignment horizontal="center" vertical="center"/>
    </xf>
    <xf applyAlignment="1" borderId="31" fillId="9" fontId="14" numFmtId="0" pivotButton="0" quotePrefix="0" xfId="0">
      <alignment horizontal="center" vertical="center"/>
    </xf>
    <xf applyAlignment="1" borderId="17" fillId="9" fontId="14" numFmtId="0" pivotButton="0" quotePrefix="0" xfId="0">
      <alignment horizontal="center" vertical="center"/>
    </xf>
    <xf applyAlignment="1" borderId="17" fillId="10" fontId="14" numFmtId="0" pivotButton="0" quotePrefix="0" xfId="0">
      <alignment horizontal="center" vertical="center"/>
    </xf>
    <xf applyAlignment="1" borderId="17" fillId="11" fontId="14" numFmtId="0" pivotButton="0" quotePrefix="0" xfId="0">
      <alignment horizontal="center" vertical="center"/>
    </xf>
    <xf applyAlignment="1" borderId="30" fillId="11" fontId="14" numFmtId="0" pivotButton="0" quotePrefix="0" xfId="0">
      <alignment horizontal="center" vertical="center"/>
    </xf>
    <xf applyAlignment="1" borderId="47" fillId="14" fontId="24" numFmtId="0" pivotButton="0" quotePrefix="0" xfId="0">
      <alignment horizontal="center" vertical="center"/>
    </xf>
    <xf applyAlignment="1" borderId="48" fillId="14" fontId="24" numFmtId="0" pivotButton="0" quotePrefix="0" xfId="0">
      <alignment horizontal="center" vertical="center"/>
    </xf>
    <xf applyAlignment="1" borderId="49" fillId="14" fontId="24" numFmtId="0" pivotButton="0" quotePrefix="0" xfId="0">
      <alignment horizontal="center" vertical="center"/>
    </xf>
    <xf applyAlignment="1" borderId="47" fillId="3" fontId="24" numFmtId="0" pivotButton="0" quotePrefix="0" xfId="0">
      <alignment horizontal="center" vertical="center"/>
    </xf>
    <xf applyAlignment="1" borderId="50" fillId="3" fontId="24" numFmtId="0" pivotButton="0" quotePrefix="0" xfId="0">
      <alignment horizontal="center" vertical="center"/>
    </xf>
    <xf applyAlignment="1" borderId="49" fillId="3" fontId="24" numFmtId="0" pivotButton="0" quotePrefix="0" xfId="0">
      <alignment horizontal="center" vertical="center"/>
    </xf>
    <xf applyAlignment="1" borderId="51" fillId="3" fontId="24" numFmtId="0" pivotButton="0" quotePrefix="0" xfId="0">
      <alignment horizontal="center" vertical="center"/>
    </xf>
    <xf applyAlignment="1" borderId="53" fillId="0" fontId="24" numFmtId="0" pivotButton="0" quotePrefix="0" xfId="0">
      <alignment horizontal="left" indent="3" vertical="center"/>
    </xf>
    <xf applyAlignment="1" borderId="54" fillId="0" fontId="24" numFmtId="0" pivotButton="0" quotePrefix="0" xfId="0">
      <alignment horizontal="left" indent="3" vertical="center"/>
    </xf>
    <xf applyAlignment="1" borderId="2" fillId="15" fontId="25" numFmtId="0" pivotButton="0" quotePrefix="0" xfId="0">
      <alignment horizontal="center" vertical="center" wrapText="1"/>
    </xf>
    <xf applyAlignment="1" borderId="46" fillId="15" fontId="25" numFmtId="0" pivotButton="0" quotePrefix="0" xfId="0">
      <alignment horizontal="center" vertical="center" wrapText="1"/>
    </xf>
    <xf applyAlignment="1" borderId="2" fillId="16" fontId="24" numFmtId="0" pivotButton="0" quotePrefix="0" xfId="0">
      <alignment horizontal="center"/>
    </xf>
    <xf applyAlignment="1" borderId="46" fillId="16" fontId="24" numFmtId="0" pivotButton="0" quotePrefix="0" xfId="0">
      <alignment horizontal="center"/>
    </xf>
    <xf applyAlignment="1" borderId="59" fillId="0" fontId="24" numFmtId="0" pivotButton="0" quotePrefix="0" xfId="0">
      <alignment horizontal="left" indent="3" vertical="center"/>
    </xf>
    <xf applyAlignment="1" borderId="60" fillId="0" fontId="24" numFmtId="0" pivotButton="0" quotePrefix="0" xfId="0">
      <alignment horizontal="left" indent="3" vertical="center"/>
    </xf>
    <xf applyAlignment="1" borderId="0" fillId="0" fontId="0" numFmtId="0" pivotButton="0" quotePrefix="0" xfId="0">
      <alignment horizontal="center"/>
    </xf>
    <xf applyAlignment="1" borderId="0" fillId="0" fontId="4" numFmtId="164" pivotButton="0" quotePrefix="0" xfId="4">
      <alignment horizontal="left" vertical="center"/>
    </xf>
    <xf applyAlignment="1" borderId="74" fillId="6" fontId="31" numFmtId="0" pivotButton="0" quotePrefix="0" xfId="3">
      <alignment horizontal="center" vertical="top"/>
    </xf>
    <xf applyAlignment="1" borderId="74" fillId="6" fontId="31" numFmtId="164" pivotButton="0" quotePrefix="0" xfId="4">
      <alignment horizontal="center" vertical="top"/>
    </xf>
    <xf applyAlignment="1" borderId="74" fillId="4" fontId="31" numFmtId="0" pivotButton="0" quotePrefix="0" xfId="3">
      <alignment horizontal="center" vertical="top"/>
    </xf>
    <xf borderId="0" fillId="6" fontId="5" numFmtId="174" pivotButton="0" quotePrefix="0" xfId="0"/>
    <xf borderId="0" fillId="6" fontId="6" numFmtId="174" pivotButton="0" quotePrefix="0" xfId="0"/>
    <xf borderId="0" fillId="0" fontId="0" numFmtId="169" pivotButton="0" quotePrefix="0" xfId="0"/>
    <xf borderId="1" fillId="6" fontId="0" numFmtId="170" pivotButton="0" quotePrefix="0" xfId="0"/>
    <xf borderId="1" fillId="0" fontId="0" numFmtId="170" pivotButton="0" quotePrefix="0" xfId="0"/>
    <xf borderId="1" fillId="4" fontId="0" numFmtId="170" pivotButton="0" quotePrefix="0" xfId="0"/>
    <xf borderId="1" fillId="0" fontId="24" numFmtId="170" pivotButton="0" quotePrefix="0" xfId="0"/>
    <xf borderId="0" fillId="0" fontId="24" numFmtId="170" pivotButton="0" quotePrefix="0" xfId="0"/>
    <xf borderId="1" fillId="6" fontId="24" numFmtId="170" pivotButton="0" quotePrefix="0" xfId="0"/>
    <xf applyAlignment="1" borderId="0" fillId="0" fontId="4" numFmtId="167" pivotButton="0" quotePrefix="0" xfId="2">
      <alignment horizontal="center" vertical="center"/>
    </xf>
    <xf applyAlignment="1" borderId="0" fillId="0" fontId="4" numFmtId="168" pivotButton="0" quotePrefix="0" xfId="1">
      <alignment horizontal="center" vertical="center"/>
    </xf>
    <xf applyAlignment="1" borderId="0" fillId="4" fontId="9" numFmtId="167" pivotButton="0" quotePrefix="0" xfId="2">
      <alignment horizontal="center" vertical="center"/>
    </xf>
    <xf applyAlignment="1" borderId="0" fillId="4" fontId="9" numFmtId="168" pivotButton="0" quotePrefix="0" xfId="1">
      <alignment horizontal="center" vertical="center"/>
    </xf>
    <xf applyAlignment="1" borderId="33" fillId="4" fontId="4" numFmtId="167" pivotButton="0" quotePrefix="0" xfId="2">
      <alignment horizontal="left" vertical="center"/>
    </xf>
    <xf applyAlignment="1" borderId="1" fillId="5" fontId="4" numFmtId="167" pivotButton="0" quotePrefix="0" xfId="2">
      <alignment horizontal="center" vertical="center"/>
    </xf>
    <xf applyAlignment="1" borderId="1" fillId="2" fontId="4" numFmtId="167" pivotButton="0" quotePrefix="0" xfId="2">
      <alignment horizontal="center" vertical="center"/>
    </xf>
    <xf applyAlignment="1" borderId="1" fillId="7" fontId="4" numFmtId="167" pivotButton="0" quotePrefix="0" xfId="2">
      <alignment horizontal="center" vertical="center"/>
    </xf>
    <xf applyAlignment="1" borderId="1" fillId="4" fontId="13" numFmtId="167" pivotButton="0" quotePrefix="0" xfId="2">
      <alignment horizontal="center" vertical="center" wrapText="1"/>
    </xf>
    <xf applyAlignment="1" borderId="1" fillId="4" fontId="13" numFmtId="168" pivotButton="0" quotePrefix="0" xfId="1">
      <alignment horizontal="center" vertical="center" wrapText="1"/>
    </xf>
    <xf applyAlignment="1" borderId="24" fillId="0" fontId="4" numFmtId="166" pivotButton="0" quotePrefix="0" xfId="2">
      <alignment horizontal="center" vertical="center"/>
    </xf>
    <xf applyAlignment="1" borderId="11" fillId="0" fontId="4" numFmtId="166" pivotButton="0" quotePrefix="0" xfId="2">
      <alignment horizontal="center" vertical="center"/>
    </xf>
    <xf applyAlignment="1" borderId="11" fillId="0" fontId="4" numFmtId="166" pivotButton="0" quotePrefix="0" xfId="0">
      <alignment horizontal="center" vertical="center"/>
    </xf>
    <xf applyAlignment="1" borderId="11" fillId="6" fontId="4" numFmtId="166" pivotButton="0" quotePrefix="0" xfId="0">
      <alignment horizontal="center" vertical="center"/>
    </xf>
    <xf applyAlignment="1" borderId="11" fillId="0" fontId="4" numFmtId="165" pivotButton="0" quotePrefix="0" xfId="0">
      <alignment horizontal="center" vertical="center"/>
    </xf>
    <xf applyAlignment="1" borderId="0" fillId="0" fontId="4" numFmtId="166" pivotButton="0" quotePrefix="0" xfId="0">
      <alignment horizontal="center" vertical="center"/>
    </xf>
    <xf applyAlignment="1" borderId="11" fillId="6" fontId="4" numFmtId="165" pivotButton="0" quotePrefix="0" xfId="0">
      <alignment horizontal="center" vertical="center"/>
    </xf>
    <xf applyAlignment="1" borderId="12" fillId="0" fontId="4" numFmtId="165" pivotButton="0" quotePrefix="0" xfId="0">
      <alignment horizontal="center" vertical="center"/>
    </xf>
    <xf applyAlignment="1" borderId="4" fillId="0" fontId="15" numFmtId="167" pivotButton="0" quotePrefix="0" xfId="2">
      <alignment horizontal="center" vertical="center" wrapText="1"/>
    </xf>
    <xf applyAlignment="1" borderId="5" fillId="0" fontId="15" numFmtId="168" pivotButton="0" quotePrefix="0" xfId="1">
      <alignment horizontal="center" vertical="center" wrapText="1"/>
    </xf>
    <xf applyAlignment="1" borderId="5" fillId="0" fontId="15" numFmtId="167" pivotButton="0" quotePrefix="0" xfId="2">
      <alignment horizontal="center" vertical="center" wrapText="1"/>
    </xf>
    <xf applyAlignment="1" borderId="7" fillId="0" fontId="15" numFmtId="168" pivotButton="0" quotePrefix="0" xfId="1">
      <alignment horizontal="center" vertical="center" wrapText="1"/>
    </xf>
    <xf applyAlignment="1" borderId="18" fillId="0" fontId="15" numFmtId="167" pivotButton="0" quotePrefix="0" xfId="2">
      <alignment horizontal="center" vertical="center" wrapText="1"/>
    </xf>
    <xf applyAlignment="1" borderId="47" fillId="16" fontId="26" numFmtId="168" pivotButton="0" quotePrefix="0" xfId="5">
      <alignment horizontal="center" vertical="center" wrapText="1"/>
    </xf>
    <xf applyAlignment="1" borderId="50" fillId="16" fontId="26" numFmtId="168" pivotButton="0" quotePrefix="0" xfId="8">
      <alignment horizontal="center" vertical="center" wrapText="1"/>
    </xf>
    <xf applyAlignment="1" borderId="49" fillId="16" fontId="26" numFmtId="168" pivotButton="0" quotePrefix="0" xfId="8">
      <alignment horizontal="center" vertical="center" wrapText="1"/>
    </xf>
    <xf applyAlignment="1" borderId="51" fillId="16" fontId="26" numFmtId="168" pivotButton="0" quotePrefix="0" xfId="5">
      <alignment horizontal="center" vertical="center" wrapText="1"/>
    </xf>
    <xf applyAlignment="1" borderId="19" fillId="0" fontId="14" numFmtId="167" pivotButton="0" quotePrefix="0" xfId="2">
      <alignment horizontal="center" vertical="center"/>
    </xf>
    <xf applyAlignment="1" borderId="20" fillId="0" fontId="14" numFmtId="167" pivotButton="0" quotePrefix="0" xfId="2">
      <alignment horizontal="center" vertical="center"/>
    </xf>
    <xf applyAlignment="1" borderId="20" fillId="0" fontId="14" numFmtId="168" pivotButton="0" quotePrefix="0" xfId="1">
      <alignment horizontal="center" vertical="center"/>
    </xf>
    <xf applyAlignment="1" borderId="21" fillId="0" fontId="14" numFmtId="168" pivotButton="0" quotePrefix="0" xfId="1">
      <alignment horizontal="center" vertical="center"/>
    </xf>
    <xf applyAlignment="1" borderId="23" fillId="0" fontId="14" numFmtId="167" pivotButton="0" quotePrefix="0" xfId="2">
      <alignment horizontal="center" vertical="center"/>
    </xf>
    <xf applyAlignment="1" borderId="22" fillId="0" fontId="14" numFmtId="168" pivotButton="0" quotePrefix="0" xfId="1">
      <alignment horizontal="center" vertical="center"/>
    </xf>
    <xf applyAlignment="1" borderId="42" fillId="0" fontId="14" numFmtId="167" pivotButton="0" quotePrefix="0" xfId="2">
      <alignment horizontal="center" vertical="center"/>
    </xf>
    <xf applyAlignment="1" borderId="44" fillId="0" fontId="14" numFmtId="167" pivotButton="0" quotePrefix="0" xfId="2">
      <alignment horizontal="center" vertical="center"/>
    </xf>
    <xf applyAlignment="1" borderId="44" fillId="0" fontId="14" numFmtId="168" pivotButton="0" quotePrefix="0" xfId="1">
      <alignment horizontal="center" vertical="center"/>
    </xf>
    <xf applyAlignment="1" borderId="43" fillId="0" fontId="14" numFmtId="168" pivotButton="0" quotePrefix="0" xfId="1">
      <alignment horizontal="center" vertical="center"/>
    </xf>
    <xf applyAlignment="1" borderId="55" fillId="3" fontId="24" numFmtId="168" pivotButton="0" quotePrefix="0" xfId="5">
      <alignment horizontal="center" vertical="center"/>
    </xf>
    <xf applyAlignment="1" borderId="55" fillId="0" fontId="24" numFmtId="168" pivotButton="0" quotePrefix="0" xfId="5">
      <alignment horizontal="center" vertical="center"/>
    </xf>
    <xf applyAlignment="1" borderId="58" fillId="0" fontId="24" numFmtId="168" pivotButton="0" quotePrefix="0" xfId="5">
      <alignment horizontal="center" vertical="center"/>
    </xf>
    <xf applyAlignment="1" borderId="9" fillId="0" fontId="14" numFmtId="167" pivotButton="0" quotePrefix="0" xfId="2">
      <alignment horizontal="center" vertical="center"/>
    </xf>
    <xf applyAlignment="1" borderId="24" fillId="0" fontId="14" numFmtId="167" pivotButton="0" quotePrefix="0" xfId="2">
      <alignment horizontal="center" vertical="center"/>
    </xf>
    <xf applyAlignment="1" borderId="24" fillId="0" fontId="14" numFmtId="168" pivotButton="0" quotePrefix="0" xfId="1">
      <alignment horizontal="center" vertical="center"/>
    </xf>
    <xf applyAlignment="1" borderId="25" fillId="0" fontId="14" numFmtId="168" pivotButton="0" quotePrefix="0" xfId="1">
      <alignment horizontal="center" vertical="center"/>
    </xf>
    <xf applyAlignment="1" borderId="26" fillId="0" fontId="14" numFmtId="167" pivotButton="0" quotePrefix="0" xfId="2">
      <alignment horizontal="center" vertical="center"/>
    </xf>
    <xf applyAlignment="1" borderId="10" fillId="0" fontId="14" numFmtId="168" pivotButton="0" quotePrefix="0" xfId="1">
      <alignment horizontal="center" vertical="center"/>
    </xf>
    <xf applyAlignment="1" borderId="38" fillId="0" fontId="14" numFmtId="167" pivotButton="0" quotePrefix="0" xfId="2">
      <alignment horizontal="center" vertical="center"/>
    </xf>
    <xf applyAlignment="1" borderId="1" fillId="0" fontId="14" numFmtId="167" pivotButton="0" quotePrefix="0" xfId="2">
      <alignment horizontal="center" vertical="center"/>
    </xf>
    <xf applyAlignment="1" borderId="1" fillId="0" fontId="14" numFmtId="168" pivotButton="0" quotePrefix="0" xfId="1">
      <alignment horizontal="center" vertical="center"/>
    </xf>
    <xf applyAlignment="1" borderId="39" fillId="0" fontId="14" numFmtId="168" pivotButton="0" quotePrefix="0" xfId="1">
      <alignment horizontal="center" vertical="center"/>
    </xf>
    <xf applyAlignment="1" borderId="14" fillId="0" fontId="14" numFmtId="167" pivotButton="0" quotePrefix="0" xfId="2">
      <alignment horizontal="center" vertical="center"/>
    </xf>
    <xf applyAlignment="1" borderId="27" fillId="0" fontId="14" numFmtId="167" pivotButton="0" quotePrefix="0" xfId="2">
      <alignment horizontal="center" vertical="center"/>
    </xf>
    <xf applyAlignment="1" borderId="27" fillId="0" fontId="14" numFmtId="168" pivotButton="0" quotePrefix="0" xfId="1">
      <alignment horizontal="center" vertical="center"/>
    </xf>
    <xf applyAlignment="1" borderId="28" fillId="0" fontId="14" numFmtId="168" pivotButton="0" quotePrefix="0" xfId="1">
      <alignment horizontal="center" vertical="center"/>
    </xf>
    <xf applyAlignment="1" borderId="29" fillId="0" fontId="14" numFmtId="167" pivotButton="0" quotePrefix="0" xfId="2">
      <alignment horizontal="center" vertical="center"/>
    </xf>
    <xf applyAlignment="1" borderId="15" fillId="0" fontId="14" numFmtId="168" pivotButton="0" quotePrefix="0" xfId="1">
      <alignment horizontal="center" vertical="center"/>
    </xf>
    <xf applyAlignment="1" borderId="0" fillId="0" fontId="27" numFmtId="167" pivotButton="0" quotePrefix="0" xfId="2">
      <alignment horizontal="center" vertical="center"/>
    </xf>
    <xf applyAlignment="1" borderId="0" fillId="0" fontId="14" numFmtId="167" pivotButton="0" quotePrefix="0" xfId="2">
      <alignment horizontal="center" vertical="center"/>
    </xf>
    <xf applyAlignment="1" borderId="0" fillId="0" fontId="14" numFmtId="168" pivotButton="0" quotePrefix="0" xfId="1">
      <alignment horizontal="center" vertical="center"/>
    </xf>
    <xf applyAlignment="1" borderId="4" fillId="0" fontId="14" numFmtId="167" pivotButton="0" quotePrefix="0" xfId="2">
      <alignment horizontal="center" vertical="center"/>
    </xf>
    <xf applyAlignment="1" borderId="18" fillId="0" fontId="14" numFmtId="167" pivotButton="0" quotePrefix="0" xfId="2">
      <alignment horizontal="center" vertical="center"/>
    </xf>
    <xf applyAlignment="1" borderId="5" fillId="0" fontId="14" numFmtId="168" pivotButton="0" quotePrefix="0" xfId="1">
      <alignment horizontal="center" vertical="center"/>
    </xf>
    <xf applyAlignment="1" borderId="5" fillId="0" fontId="14" numFmtId="167" pivotButton="0" quotePrefix="0" xfId="2">
      <alignment horizontal="center" vertical="center"/>
    </xf>
    <xf applyAlignment="1" borderId="6" fillId="0" fontId="14" numFmtId="168" pivotButton="0" quotePrefix="0" xfId="1">
      <alignment horizontal="center" vertical="center"/>
    </xf>
    <xf applyAlignment="1" borderId="7" fillId="0" fontId="14" numFmtId="168" pivotButton="0" quotePrefix="0" xfId="1">
      <alignment horizontal="center" vertical="center"/>
    </xf>
    <xf applyAlignment="1" borderId="47" fillId="16" fontId="24" numFmtId="168" pivotButton="0" quotePrefix="0" xfId="5">
      <alignment horizontal="center" vertical="center"/>
    </xf>
    <xf applyAlignment="1" borderId="50" fillId="16" fontId="24" numFmtId="172" pivotButton="0" quotePrefix="0" xfId="5">
      <alignment horizontal="center" vertical="center"/>
    </xf>
    <xf applyAlignment="1" borderId="49" fillId="16" fontId="24" numFmtId="172" pivotButton="0" quotePrefix="0" xfId="5">
      <alignment horizontal="center" vertical="center"/>
    </xf>
    <xf applyAlignment="1" borderId="51" fillId="16" fontId="24" numFmtId="168" pivotButton="0" quotePrefix="0" xfId="5">
      <alignment horizontal="center" vertical="center"/>
    </xf>
    <xf applyAlignment="1" borderId="40" fillId="0" fontId="14" numFmtId="167" pivotButton="0" quotePrefix="0" xfId="2">
      <alignment horizontal="center" vertical="center"/>
    </xf>
    <xf applyAlignment="1" borderId="45" fillId="0" fontId="14" numFmtId="167" pivotButton="0" quotePrefix="0" xfId="2">
      <alignment horizontal="center" vertical="center"/>
    </xf>
    <xf applyAlignment="1" borderId="45" fillId="0" fontId="14" numFmtId="168" pivotButton="0" quotePrefix="0" xfId="1">
      <alignment horizontal="center" vertical="center"/>
    </xf>
    <xf applyAlignment="1" borderId="41" fillId="0" fontId="14" numFmtId="168" pivotButton="0" quotePrefix="0" xfId="1">
      <alignment horizontal="center" vertical="center"/>
    </xf>
    <xf borderId="1" fillId="0" fontId="0" numFmtId="173" pivotButton="0" quotePrefix="0" xfId="9"/>
    <xf borderId="0" fillId="0" fontId="0" numFmtId="170" pivotButton="0" quotePrefix="0" xfId="0"/>
    <xf borderId="1" fillId="4" fontId="29" numFmtId="170" pivotButton="0" quotePrefix="0" xfId="0"/>
    <xf borderId="1" fillId="0" fontId="0" numFmtId="167" pivotButton="0" quotePrefix="0" xfId="2"/>
    <xf borderId="0" fillId="6" fontId="5" numFmtId="174" pivotButton="0" quotePrefix="0" xfId="0"/>
    <xf borderId="0" fillId="6" fontId="6" numFmtId="174" pivotButton="0" quotePrefix="0" xfId="0"/>
  </cellXfs>
  <cellStyles count="10">
    <cellStyle builtinId="0" name="Normal" xfId="0"/>
    <cellStyle builtinId="3" name="Millares" xfId="1"/>
    <cellStyle builtinId="4" name="Moneda" xfId="2"/>
    <cellStyle name="Normal 2" xfId="3"/>
    <cellStyle name="Millares 2" xfId="4"/>
    <cellStyle name="Millares 3" xfId="5"/>
    <cellStyle name="Moneda 3" xfId="6"/>
    <cellStyle name="Moneda 2" xfId="7"/>
    <cellStyle name="Millares 2 2" xfId="8"/>
    <cellStyle builtinId="5" name="Porcentaje" xfId="9"/>
  </cellStyles>
  <dxfs count="27">
    <dxf>
      <font>
        <b val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PivotStyle="PivotStyleMedium9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/xl/worksheets/sheet7.xml" Type="http://schemas.openxmlformats.org/officeDocument/2006/relationships/worksheet"/><Relationship Id="rId8" Target="/xl/worksheets/sheet8.xml" Type="http://schemas.openxmlformats.org/officeDocument/2006/relationships/worksheet"/><Relationship Id="rId9" Target="/xl/externalLinks/externalLink1.xml" Type="http://schemas.openxmlformats.org/officeDocument/2006/relationships/externalLink"/><Relationship Id="rId10" Target="sharedStrings.xml" Type="http://schemas.openxmlformats.org/officeDocument/2006/relationships/sharedStrings"/><Relationship Id="rId11" Target="styles.xml" Type="http://schemas.openxmlformats.org/officeDocument/2006/relationships/styles"/><Relationship Id="rId12" Target="theme/theme1.xml" Type="http://schemas.openxmlformats.org/officeDocument/2006/relationships/theme"/></Relationships>
</file>

<file path=xl/comments/comment1.xml><?xml version="1.0" encoding="utf-8"?>
<comments xmlns="http://schemas.openxmlformats.org/spreadsheetml/2006/main">
  <authors>
    <author>Autor</author>
  </authors>
  <commentList>
    <comment authorId="0" ref="B2" shapeId="0">
      <text>
        <t>Autor:
Definición JLM</t>
      </text>
    </comment>
    <comment authorId="0" ref="B3" shapeId="0">
      <text>
        <t>Autor:
Definición JLM</t>
      </text>
    </comment>
  </commentList>
</comments>
</file>

<file path=xl/comments/comment2.xml><?xml version="1.0" encoding="utf-8"?>
<comments xmlns="http://schemas.openxmlformats.org/spreadsheetml/2006/main">
  <authors>
    <author>Autor</author>
  </authors>
  <commentList>
    <comment authorId="0" ref="N4" shapeId="0">
      <text>
        <t>Autor:
Rangos
BI19:BK27 es BT
BI28:BK36 es MT
BI37:BK45 es SBT</t>
      </text>
    </comment>
    <comment authorId="0" ref="O4" shapeId="0">
      <text>
        <t>Autor:
Rango D:BF es la tabla Base
Rango W8:BF8 son los posibles escenarios de la Base</t>
      </text>
    </comment>
    <comment authorId="0" ref="P4" shapeId="0">
      <text>
        <t>Ingresar solo en caso de generar cambio.
</t>
      </text>
    </comment>
    <comment authorId="0" ref="Z4" shapeId="0">
      <text>
        <t>Autor:
Rangos
BI19:BK27 es BT
BI28:BK36 es MT
BI37:BK45 es SBT</t>
      </text>
    </comment>
    <comment authorId="0" ref="AA4" shapeId="0">
      <text>
        <t>Autor:
Rango D:BF es la tabla Base
Rango W8:BF8 son los posibles escenarios de la Base</t>
      </text>
    </comment>
    <comment authorId="0" ref="AB4" shapeId="0">
      <text>
        <t>Ingresar solo en caso de generar cambio.
</t>
      </text>
    </comment>
    <comment authorId="0" ref="AL4" shapeId="0">
      <text>
        <t>Autor:
Rangos
BI19:BK27 es BT
BI28:BK36 es MT
BI37:BK45 es SBT</t>
      </text>
    </comment>
    <comment authorId="0" ref="AM4" shapeId="0">
      <text>
        <t>Autor:
Rango D:BF es la tabla Base
Rango W8:BF8 son los posibles escenarios de la Base</t>
      </text>
    </comment>
    <comment authorId="0" ref="AN4" shapeId="0">
      <text>
        <t>Ingresar solo en caso de generar cambio.
</t>
      </text>
    </comment>
  </commentList>
</comments>
</file>

<file path=xl/externalLinks/_rels/externalLink1.xml.rels><Relationships xmlns="http://schemas.openxmlformats.org/package/2006/relationships"><Relationship Id="rId1" Target="/Users/lpazcerda/AppData/Local/Microsoft/Windows/INetCache/Content.Outlook/SLWLS40T/Reporte%20de%20competitividad%20(2).xlsx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SUMEN ACTUAL"/>
      <sheetName val="DETALLE ACTUAL"/>
      <sheetName val="CAMBIOS REALIZADOS"/>
      <sheetName val="Input cuadro de Mando Ops DVD"/>
    </sheetNames>
    <sheetDataSet>
      <sheetData sheetId="0"/>
      <sheetData sheetId="1"/>
      <sheetData sheetId="2">
        <row r="2">
          <cell r="C2" t="str">
            <v>Costo</v>
          </cell>
          <cell r="D2" t="str">
            <v>MT</v>
          </cell>
          <cell r="E2">
            <v>0</v>
          </cell>
          <cell r="F2">
            <v>0</v>
          </cell>
          <cell r="G2" t="str">
            <v>BT</v>
          </cell>
          <cell r="H2">
            <v>0</v>
          </cell>
          <cell r="I2">
            <v>0</v>
          </cell>
          <cell r="J2" t="str">
            <v>SBT</v>
          </cell>
          <cell r="K2">
            <v>0</v>
          </cell>
          <cell r="L2">
            <v>0</v>
          </cell>
        </row>
        <row r="3">
          <cell r="C3" t="str">
            <v>COMUNA</v>
          </cell>
          <cell r="D3" t="str">
            <v>Costo Logístico</v>
          </cell>
          <cell r="E3" t="str">
            <v>$ Despacho original</v>
          </cell>
          <cell r="F3" t="str">
            <v>$ Despacho modificado</v>
          </cell>
          <cell r="G3" t="str">
            <v>Costo Logístico</v>
          </cell>
          <cell r="H3" t="str">
            <v>$ Despacho original</v>
          </cell>
          <cell r="I3" t="str">
            <v>$ Despacho modificado</v>
          </cell>
          <cell r="J3" t="str">
            <v>Costo Logístico</v>
          </cell>
          <cell r="K3" t="str">
            <v>$ Despacho original</v>
          </cell>
          <cell r="L3" t="str">
            <v>$ Despacho modificado</v>
          </cell>
        </row>
        <row r="4">
          <cell r="C4" t="str">
            <v>SANTIAGO</v>
          </cell>
          <cell r="D4">
            <v>3660.7426836763957</v>
          </cell>
          <cell r="E4">
            <v>3990</v>
          </cell>
          <cell r="F4">
            <v>3990</v>
          </cell>
          <cell r="G4">
            <v>7182.3638992458864</v>
          </cell>
          <cell r="H4">
            <v>7790</v>
          </cell>
          <cell r="I4">
            <v>8990</v>
          </cell>
          <cell r="J4">
            <v>10155.603300219382</v>
          </cell>
          <cell r="K4">
            <v>9990</v>
          </cell>
          <cell r="L4">
            <v>10490</v>
          </cell>
        </row>
        <row r="5">
          <cell r="C5" t="str">
            <v>LAS CONDES</v>
          </cell>
          <cell r="D5">
            <v>3380.879692841208</v>
          </cell>
          <cell r="E5">
            <v>3990</v>
          </cell>
          <cell r="F5">
            <v>3990</v>
          </cell>
          <cell r="G5">
            <v>7438.1714720722621</v>
          </cell>
          <cell r="H5">
            <v>7490</v>
          </cell>
          <cell r="I5">
            <v>8990</v>
          </cell>
          <cell r="J5">
            <v>9331.0844008321928</v>
          </cell>
          <cell r="K5">
            <v>9990</v>
          </cell>
          <cell r="L5">
            <v>10490</v>
          </cell>
        </row>
        <row r="6">
          <cell r="C6" t="str">
            <v>PROVIDENCIA</v>
          </cell>
          <cell r="D6">
            <v>4240.6877778645912</v>
          </cell>
          <cell r="E6">
            <v>3990</v>
          </cell>
          <cell r="F6">
            <v>3990</v>
          </cell>
          <cell r="G6">
            <v>8358.9181027233117</v>
          </cell>
          <cell r="H6">
            <v>7990</v>
          </cell>
          <cell r="I6">
            <v>8990</v>
          </cell>
          <cell r="J6">
            <v>12369.214088633471</v>
          </cell>
          <cell r="K6">
            <v>9990</v>
          </cell>
          <cell r="L6">
            <v>10490</v>
          </cell>
        </row>
        <row r="7">
          <cell r="C7" t="str">
            <v>MAIPU</v>
          </cell>
          <cell r="D7">
            <v>2405.388047421216</v>
          </cell>
          <cell r="E7">
            <v>3990</v>
          </cell>
          <cell r="F7">
            <v>3990</v>
          </cell>
          <cell r="G7">
            <v>7187.9807362085521</v>
          </cell>
          <cell r="H7">
            <v>7790</v>
          </cell>
          <cell r="I7">
            <v>8990</v>
          </cell>
          <cell r="J7">
            <v>10521.741770434724</v>
          </cell>
          <cell r="K7">
            <v>9990</v>
          </cell>
          <cell r="L7">
            <v>10490</v>
          </cell>
        </row>
        <row r="8">
          <cell r="C8" t="str">
            <v>ÑUÑOA</v>
          </cell>
          <cell r="D8">
            <v>3487.7532166814262</v>
          </cell>
          <cell r="E8">
            <v>3990</v>
          </cell>
          <cell r="F8">
            <v>3990</v>
          </cell>
          <cell r="G8">
            <v>7552.4955947372837</v>
          </cell>
          <cell r="H8">
            <v>7790</v>
          </cell>
          <cell r="I8">
            <v>8990</v>
          </cell>
          <cell r="J8">
            <v>9884.9468688333982</v>
          </cell>
          <cell r="K8">
            <v>9990</v>
          </cell>
          <cell r="L8">
            <v>10490</v>
          </cell>
        </row>
        <row r="9">
          <cell r="C9" t="str">
            <v>PUENTE ALTO</v>
          </cell>
          <cell r="D9">
            <v>2879.4693468574173</v>
          </cell>
          <cell r="E9">
            <v>3990</v>
          </cell>
          <cell r="F9">
            <v>3990</v>
          </cell>
          <cell r="G9">
            <v>6097.7027483324082</v>
          </cell>
          <cell r="H9">
            <v>7790</v>
          </cell>
          <cell r="I9">
            <v>8990</v>
          </cell>
          <cell r="J9">
            <v>9637.864192003155</v>
          </cell>
          <cell r="K9">
            <v>9990</v>
          </cell>
          <cell r="L9">
            <v>10490</v>
          </cell>
        </row>
        <row r="10">
          <cell r="C10" t="str">
            <v>LA FLORIDA</v>
          </cell>
          <cell r="D10">
            <v>2500.9727488739713</v>
          </cell>
          <cell r="E10">
            <v>3990</v>
          </cell>
          <cell r="F10">
            <v>3990</v>
          </cell>
          <cell r="G10">
            <v>6983.1921858303676</v>
          </cell>
          <cell r="H10">
            <v>7490</v>
          </cell>
          <cell r="I10">
            <v>8990</v>
          </cell>
          <cell r="J10">
            <v>9623.1470253098978</v>
          </cell>
          <cell r="K10">
            <v>9990</v>
          </cell>
          <cell r="L10">
            <v>10490</v>
          </cell>
        </row>
        <row r="11">
          <cell r="C11" t="str">
            <v>VITACURA</v>
          </cell>
          <cell r="D11">
            <v>2962.2758200103331</v>
          </cell>
          <cell r="E11">
            <v>3990</v>
          </cell>
          <cell r="F11">
            <v>3990</v>
          </cell>
          <cell r="G11">
            <v>6314.6413900256357</v>
          </cell>
          <cell r="H11">
            <v>7490</v>
          </cell>
          <cell r="I11">
            <v>8990</v>
          </cell>
          <cell r="J11">
            <v>9186.8479790299352</v>
          </cell>
          <cell r="K11">
            <v>9990</v>
          </cell>
          <cell r="L11">
            <v>10490</v>
          </cell>
        </row>
        <row r="12">
          <cell r="C12" t="str">
            <v>PUDAHUEL</v>
          </cell>
          <cell r="D12">
            <v>2576.1330794442761</v>
          </cell>
          <cell r="E12">
            <v>3990</v>
          </cell>
          <cell r="F12">
            <v>3990</v>
          </cell>
          <cell r="G12">
            <v>7362.5091814377683</v>
          </cell>
          <cell r="H12">
            <v>7490</v>
          </cell>
          <cell r="I12">
            <v>8990</v>
          </cell>
          <cell r="J12">
            <v>10964.169305143949</v>
          </cell>
          <cell r="K12">
            <v>9990</v>
          </cell>
          <cell r="L12">
            <v>10490</v>
          </cell>
        </row>
        <row r="13">
          <cell r="C13" t="str">
            <v>PEÑALOLEN</v>
          </cell>
          <cell r="D13">
            <v>2995.0498307999219</v>
          </cell>
          <cell r="E13">
            <v>3990</v>
          </cell>
          <cell r="F13">
            <v>3990</v>
          </cell>
          <cell r="G13">
            <v>6280.4356642892253</v>
          </cell>
          <cell r="H13">
            <v>7790</v>
          </cell>
          <cell r="I13">
            <v>8990</v>
          </cell>
          <cell r="J13">
            <v>9416.5350954374044</v>
          </cell>
          <cell r="K13">
            <v>9990</v>
          </cell>
          <cell r="L13">
            <v>10490</v>
          </cell>
        </row>
        <row r="14">
          <cell r="C14" t="str">
            <v>SAN MIGUEL</v>
          </cell>
          <cell r="D14">
            <v>2715.6365719962187</v>
          </cell>
          <cell r="E14">
            <v>4990</v>
          </cell>
          <cell r="F14">
            <v>4490</v>
          </cell>
          <cell r="G14">
            <v>6265.9080452317767</v>
          </cell>
          <cell r="H14">
            <v>7790</v>
          </cell>
          <cell r="I14">
            <v>8490</v>
          </cell>
          <cell r="J14">
            <v>9515.6083246874641</v>
          </cell>
          <cell r="K14">
            <v>9990</v>
          </cell>
          <cell r="L14">
            <v>9490</v>
          </cell>
        </row>
        <row r="15">
          <cell r="C15" t="str">
            <v>SAN BERNARDO</v>
          </cell>
          <cell r="D15">
            <v>3671.9164635398083</v>
          </cell>
          <cell r="E15">
            <v>3990</v>
          </cell>
          <cell r="F15">
            <v>3990</v>
          </cell>
          <cell r="G15">
            <v>6555.2638371795374</v>
          </cell>
          <cell r="H15">
            <v>7790</v>
          </cell>
          <cell r="I15">
            <v>8990</v>
          </cell>
          <cell r="J15">
            <v>10185.811230067331</v>
          </cell>
          <cell r="K15">
            <v>9990</v>
          </cell>
          <cell r="L15">
            <v>10490</v>
          </cell>
        </row>
        <row r="16">
          <cell r="C16" t="str">
            <v>QUILICURA</v>
          </cell>
          <cell r="D16">
            <v>2967.8723322692454</v>
          </cell>
          <cell r="E16">
            <v>3990</v>
          </cell>
          <cell r="F16">
            <v>3990</v>
          </cell>
          <cell r="G16">
            <v>7755.4122582446553</v>
          </cell>
          <cell r="H16">
            <v>7790</v>
          </cell>
          <cell r="I16">
            <v>8990</v>
          </cell>
          <cell r="J16">
            <v>10938.398615102205</v>
          </cell>
          <cell r="K16">
            <v>9990</v>
          </cell>
          <cell r="L16">
            <v>10490</v>
          </cell>
        </row>
        <row r="17">
          <cell r="C17" t="str">
            <v>COLINA</v>
          </cell>
          <cell r="D17">
            <v>3258.9221117211678</v>
          </cell>
          <cell r="E17">
            <v>3990</v>
          </cell>
          <cell r="F17">
            <v>4490</v>
          </cell>
          <cell r="G17">
            <v>5899.128995347467</v>
          </cell>
          <cell r="H17">
            <v>7990</v>
          </cell>
          <cell r="I17">
            <v>9990</v>
          </cell>
          <cell r="J17">
            <v>9655.0469180873788</v>
          </cell>
          <cell r="K17">
            <v>10990</v>
          </cell>
          <cell r="L17">
            <v>11990</v>
          </cell>
        </row>
        <row r="18">
          <cell r="C18" t="str">
            <v>RECOLETA</v>
          </cell>
          <cell r="D18">
            <v>2533.4237664988909</v>
          </cell>
          <cell r="E18">
            <v>3990</v>
          </cell>
          <cell r="F18">
            <v>3990</v>
          </cell>
          <cell r="G18">
            <v>7490.485778849401</v>
          </cell>
          <cell r="H18">
            <v>7490</v>
          </cell>
          <cell r="I18">
            <v>8990</v>
          </cell>
          <cell r="J18">
            <v>11109.286512669638</v>
          </cell>
          <cell r="K18">
            <v>9990</v>
          </cell>
          <cell r="L18">
            <v>10490</v>
          </cell>
        </row>
        <row r="19">
          <cell r="C19" t="str">
            <v>LO BARNECHEA</v>
          </cell>
          <cell r="D19">
            <v>3183.5975127251654</v>
          </cell>
          <cell r="E19">
            <v>3990</v>
          </cell>
          <cell r="F19">
            <v>3990</v>
          </cell>
          <cell r="G19">
            <v>6774.870661145952</v>
          </cell>
          <cell r="H19">
            <v>7490</v>
          </cell>
          <cell r="I19">
            <v>8990</v>
          </cell>
          <cell r="J19">
            <v>9754.5129959600581</v>
          </cell>
          <cell r="K19">
            <v>9990</v>
          </cell>
          <cell r="L19">
            <v>10490</v>
          </cell>
        </row>
        <row r="20">
          <cell r="C20" t="str">
            <v>LA REINA</v>
          </cell>
          <cell r="D20">
            <v>2999.9184067204237</v>
          </cell>
          <cell r="E20">
            <v>3990</v>
          </cell>
          <cell r="F20">
            <v>3990</v>
          </cell>
          <cell r="G20">
            <v>7167.4402556107379</v>
          </cell>
          <cell r="H20">
            <v>7790</v>
          </cell>
          <cell r="I20">
            <v>8990</v>
          </cell>
          <cell r="J20">
            <v>9993.1968612039691</v>
          </cell>
          <cell r="K20">
            <v>9990</v>
          </cell>
          <cell r="L20">
            <v>10490</v>
          </cell>
        </row>
        <row r="21">
          <cell r="C21" t="str">
            <v>HUECHURABA</v>
          </cell>
          <cell r="D21">
            <v>3622.2810237665904</v>
          </cell>
          <cell r="E21">
            <v>3990</v>
          </cell>
          <cell r="F21">
            <v>3990</v>
          </cell>
          <cell r="G21">
            <v>7517.9991899121687</v>
          </cell>
          <cell r="H21">
            <v>7490</v>
          </cell>
          <cell r="I21">
            <v>8990</v>
          </cell>
          <cell r="J21">
            <v>12068.012539261257</v>
          </cell>
          <cell r="K21">
            <v>9990</v>
          </cell>
          <cell r="L21">
            <v>10490</v>
          </cell>
        </row>
        <row r="22">
          <cell r="C22" t="str">
            <v>QUINTA NORMAL</v>
          </cell>
          <cell r="D22">
            <v>2896.6550472558956</v>
          </cell>
          <cell r="E22">
            <v>3990</v>
          </cell>
          <cell r="F22">
            <v>3990</v>
          </cell>
          <cell r="G22">
            <v>8394.6957565304219</v>
          </cell>
          <cell r="H22">
            <v>7490</v>
          </cell>
          <cell r="I22">
            <v>8990</v>
          </cell>
          <cell r="J22">
            <v>10980.625923212707</v>
          </cell>
          <cell r="K22">
            <v>9990</v>
          </cell>
          <cell r="L22">
            <v>10490</v>
          </cell>
        </row>
        <row r="23">
          <cell r="C23" t="str">
            <v>RENCA</v>
          </cell>
          <cell r="D23">
            <v>3217.2257064619835</v>
          </cell>
          <cell r="E23">
            <v>3990</v>
          </cell>
          <cell r="F23">
            <v>3990</v>
          </cell>
          <cell r="G23">
            <v>7970.6933300100827</v>
          </cell>
          <cell r="H23">
            <v>7790</v>
          </cell>
          <cell r="I23">
            <v>8990</v>
          </cell>
          <cell r="J23">
            <v>11439.030555043348</v>
          </cell>
          <cell r="K23">
            <v>9990</v>
          </cell>
          <cell r="L23">
            <v>10490</v>
          </cell>
        </row>
        <row r="24">
          <cell r="C24" t="str">
            <v>ESTACIÓN CENTRAL</v>
          </cell>
          <cell r="D24">
            <v>2783.8223154324155</v>
          </cell>
          <cell r="E24">
            <v>3990</v>
          </cell>
          <cell r="F24">
            <v>3990</v>
          </cell>
          <cell r="G24">
            <v>7842.4149320539655</v>
          </cell>
          <cell r="H24">
            <v>7790</v>
          </cell>
          <cell r="I24">
            <v>8990</v>
          </cell>
          <cell r="J24">
            <v>11342.579322128346</v>
          </cell>
          <cell r="K24">
            <v>9990</v>
          </cell>
          <cell r="L24">
            <v>9990</v>
          </cell>
        </row>
        <row r="25">
          <cell r="C25" t="str">
            <v>EL BOSQUE</v>
          </cell>
          <cell r="D25">
            <v>3342.2319006420103</v>
          </cell>
          <cell r="E25">
            <v>4490</v>
          </cell>
          <cell r="F25">
            <v>4490</v>
          </cell>
          <cell r="G25">
            <v>7096.5630252062319</v>
          </cell>
          <cell r="H25">
            <v>7490</v>
          </cell>
          <cell r="I25">
            <v>8990</v>
          </cell>
          <cell r="J25">
            <v>9923.4056565731225</v>
          </cell>
          <cell r="K25">
            <v>9990</v>
          </cell>
          <cell r="L25">
            <v>10490</v>
          </cell>
        </row>
        <row r="26">
          <cell r="C26" t="str">
            <v>MACUL</v>
          </cell>
          <cell r="D26">
            <v>2975.4383939078443</v>
          </cell>
          <cell r="E26">
            <v>3990</v>
          </cell>
          <cell r="F26">
            <v>3990</v>
          </cell>
          <cell r="G26">
            <v>6601.7127439572287</v>
          </cell>
          <cell r="H26">
            <v>7490</v>
          </cell>
          <cell r="I26">
            <v>8990</v>
          </cell>
          <cell r="J26">
            <v>9270.577653327362</v>
          </cell>
          <cell r="K26">
            <v>9990</v>
          </cell>
          <cell r="L26">
            <v>10490</v>
          </cell>
        </row>
        <row r="27">
          <cell r="C27" t="str">
            <v>LA CISTERNA</v>
          </cell>
          <cell r="D27">
            <v>2481.5680242367457</v>
          </cell>
          <cell r="E27">
            <v>4490</v>
          </cell>
          <cell r="F27">
            <v>4490</v>
          </cell>
          <cell r="G27">
            <v>7360.5802186004184</v>
          </cell>
          <cell r="H27">
            <v>7490</v>
          </cell>
          <cell r="I27">
            <v>8990</v>
          </cell>
          <cell r="J27">
            <v>10441.885777528787</v>
          </cell>
          <cell r="K27">
            <v>9990</v>
          </cell>
          <cell r="L27">
            <v>10490</v>
          </cell>
        </row>
        <row r="28">
          <cell r="C28" t="str">
            <v>CONCHALI</v>
          </cell>
          <cell r="D28">
            <v>4044.6362076781647</v>
          </cell>
          <cell r="E28">
            <v>4790</v>
          </cell>
          <cell r="F28">
            <v>4490</v>
          </cell>
          <cell r="G28">
            <v>8316.5796305952081</v>
          </cell>
          <cell r="H28">
            <v>7790</v>
          </cell>
          <cell r="I28">
            <v>8990</v>
          </cell>
          <cell r="J28">
            <v>10958.37175772441</v>
          </cell>
          <cell r="K28">
            <v>9990</v>
          </cell>
          <cell r="L28">
            <v>10490</v>
          </cell>
        </row>
        <row r="29">
          <cell r="C29" t="str">
            <v>INDEPENDENCIA</v>
          </cell>
          <cell r="D29">
            <v>4415.8193668802451</v>
          </cell>
          <cell r="E29">
            <v>4790</v>
          </cell>
          <cell r="F29">
            <v>4490</v>
          </cell>
          <cell r="G29">
            <v>8517.8958163926982</v>
          </cell>
          <cell r="H29">
            <v>7790</v>
          </cell>
          <cell r="I29">
            <v>8990</v>
          </cell>
          <cell r="J29">
            <v>11808.091159684211</v>
          </cell>
          <cell r="K29">
            <v>9990</v>
          </cell>
          <cell r="L29">
            <v>10490</v>
          </cell>
        </row>
        <row r="30">
          <cell r="C30" t="str">
            <v>MELIPILLA</v>
          </cell>
          <cell r="D30">
            <v>4941.0138257562212</v>
          </cell>
          <cell r="E30">
            <v>3990</v>
          </cell>
          <cell r="F30">
            <v>4490</v>
          </cell>
          <cell r="G30">
            <v>6371.3420151156579</v>
          </cell>
          <cell r="H30">
            <v>10590</v>
          </cell>
          <cell r="I30">
            <v>11990</v>
          </cell>
          <cell r="J30">
            <v>10348.165307075478</v>
          </cell>
          <cell r="K30">
            <v>12990</v>
          </cell>
          <cell r="L30">
            <v>12990</v>
          </cell>
        </row>
        <row r="31">
          <cell r="C31" t="str">
            <v>BUIN</v>
          </cell>
          <cell r="D31">
            <v>6812.8582024576663</v>
          </cell>
          <cell r="E31">
            <v>3990</v>
          </cell>
          <cell r="F31">
            <v>3990</v>
          </cell>
          <cell r="G31">
            <v>8717.9711862868007</v>
          </cell>
          <cell r="H31">
            <v>7490</v>
          </cell>
          <cell r="I31">
            <v>8990</v>
          </cell>
          <cell r="J31">
            <v>11113.57749156</v>
          </cell>
          <cell r="K31">
            <v>11990</v>
          </cell>
          <cell r="L31">
            <v>10990</v>
          </cell>
        </row>
        <row r="32">
          <cell r="C32" t="str">
            <v>CERRO NAVIA</v>
          </cell>
          <cell r="D32">
            <v>3183.5034596870187</v>
          </cell>
          <cell r="E32">
            <v>4790</v>
          </cell>
          <cell r="F32">
            <v>4490</v>
          </cell>
          <cell r="G32">
            <v>8097.752009310856</v>
          </cell>
          <cell r="H32">
            <v>7790</v>
          </cell>
          <cell r="I32">
            <v>8990</v>
          </cell>
          <cell r="J32">
            <v>11684.651195</v>
          </cell>
          <cell r="K32">
            <v>9490</v>
          </cell>
          <cell r="L32">
            <v>9990</v>
          </cell>
        </row>
        <row r="33">
          <cell r="C33" t="str">
            <v>LA DEHESA</v>
          </cell>
          <cell r="D33">
            <v>3409.8965818973656</v>
          </cell>
          <cell r="E33">
            <v>3990</v>
          </cell>
          <cell r="F33" t="str">
            <v>Sin Cambios</v>
          </cell>
          <cell r="G33">
            <v>7538.8998718234579</v>
          </cell>
          <cell r="H33">
            <v>8990</v>
          </cell>
          <cell r="I33">
            <v>7990</v>
          </cell>
          <cell r="J33">
            <v>10307.148748255546</v>
          </cell>
          <cell r="K33">
            <v>9990</v>
          </cell>
          <cell r="L33">
            <v>9990</v>
          </cell>
        </row>
        <row r="34">
          <cell r="C34" t="str">
            <v>LA PINTANA</v>
          </cell>
          <cell r="D34">
            <v>2943.4566148776967</v>
          </cell>
          <cell r="E34" t="str">
            <v>Sin Datos</v>
          </cell>
          <cell r="F34" t="str">
            <v>Sin Cambios</v>
          </cell>
          <cell r="G34">
            <v>6742.0781266155227</v>
          </cell>
          <cell r="H34" t="str">
            <v>Sin Datos</v>
          </cell>
          <cell r="I34" t="str">
            <v>Sin Cambios</v>
          </cell>
          <cell r="J34">
            <v>11072.69789249407</v>
          </cell>
          <cell r="K34" t="str">
            <v>Sin Datos</v>
          </cell>
          <cell r="L34" t="str">
            <v>Sin Cambios</v>
          </cell>
        </row>
        <row r="35">
          <cell r="C35" t="str">
            <v>TALAGANTE</v>
          </cell>
          <cell r="D35">
            <v>6452.2513704073554</v>
          </cell>
          <cell r="E35">
            <v>3990</v>
          </cell>
          <cell r="F35">
            <v>3990</v>
          </cell>
          <cell r="G35">
            <v>8304.5202015997129</v>
          </cell>
          <cell r="H35">
            <v>7790</v>
          </cell>
          <cell r="I35">
            <v>7990</v>
          </cell>
          <cell r="J35">
            <v>10207.169051111112</v>
          </cell>
          <cell r="K35">
            <v>10990</v>
          </cell>
          <cell r="L35">
            <v>10490</v>
          </cell>
        </row>
        <row r="36">
          <cell r="C36" t="str">
            <v>LO PRADO</v>
          </cell>
          <cell r="D36">
            <v>2831.5323791363653</v>
          </cell>
          <cell r="E36">
            <v>4790</v>
          </cell>
          <cell r="F36">
            <v>4490</v>
          </cell>
          <cell r="G36">
            <v>8884.2040278001878</v>
          </cell>
          <cell r="H36">
            <v>7790</v>
          </cell>
          <cell r="I36">
            <v>8990</v>
          </cell>
          <cell r="J36">
            <v>12699.022128861146</v>
          </cell>
          <cell r="K36">
            <v>9990</v>
          </cell>
          <cell r="L36">
            <v>9990</v>
          </cell>
        </row>
        <row r="37">
          <cell r="C37" t="str">
            <v>PEÑAFLOR</v>
          </cell>
          <cell r="D37">
            <v>6207.1114169609036</v>
          </cell>
          <cell r="E37">
            <v>3990</v>
          </cell>
          <cell r="F37">
            <v>3990</v>
          </cell>
          <cell r="G37">
            <v>7706.4539031523755</v>
          </cell>
          <cell r="H37">
            <v>7790</v>
          </cell>
          <cell r="I37">
            <v>8990</v>
          </cell>
          <cell r="J37">
            <v>10200.819166208943</v>
          </cell>
          <cell r="K37">
            <v>11990</v>
          </cell>
          <cell r="L37">
            <v>10990</v>
          </cell>
        </row>
        <row r="38">
          <cell r="C38" t="str">
            <v>LAMPA</v>
          </cell>
          <cell r="D38">
            <v>4668.7387834661804</v>
          </cell>
          <cell r="E38">
            <v>3990</v>
          </cell>
          <cell r="F38">
            <v>4490</v>
          </cell>
          <cell r="G38">
            <v>8028.190140278889</v>
          </cell>
          <cell r="H38">
            <v>8790</v>
          </cell>
          <cell r="I38">
            <v>9990</v>
          </cell>
          <cell r="J38">
            <v>10031.990516214841</v>
          </cell>
          <cell r="K38">
            <v>11990</v>
          </cell>
          <cell r="L38">
            <v>11990</v>
          </cell>
        </row>
        <row r="39">
          <cell r="C39" t="str">
            <v>LA GRANJA</v>
          </cell>
          <cell r="D39">
            <v>3209.1321036941381</v>
          </cell>
          <cell r="E39">
            <v>4790</v>
          </cell>
          <cell r="F39">
            <v>4490</v>
          </cell>
          <cell r="G39">
            <v>7113.9092466743732</v>
          </cell>
          <cell r="H39">
            <v>7790</v>
          </cell>
          <cell r="I39">
            <v>8990</v>
          </cell>
          <cell r="J39">
            <v>10099.676239705803</v>
          </cell>
          <cell r="K39">
            <v>9990</v>
          </cell>
          <cell r="L39">
            <v>10490</v>
          </cell>
        </row>
        <row r="40">
          <cell r="C40" t="str">
            <v>CERRILLOS</v>
          </cell>
          <cell r="D40">
            <v>2812.8312543759284</v>
          </cell>
          <cell r="E40">
            <v>4790</v>
          </cell>
          <cell r="F40">
            <v>4490</v>
          </cell>
          <cell r="G40">
            <v>7757.9382160358537</v>
          </cell>
          <cell r="H40">
            <v>7790</v>
          </cell>
          <cell r="I40">
            <v>8990</v>
          </cell>
          <cell r="J40">
            <v>10881.552855697348</v>
          </cell>
          <cell r="K40">
            <v>9990</v>
          </cell>
          <cell r="L40">
            <v>10490</v>
          </cell>
        </row>
        <row r="41">
          <cell r="C41" t="str">
            <v>SAN JOAQUIN</v>
          </cell>
          <cell r="D41">
            <v>3156.4505226569031</v>
          </cell>
          <cell r="E41">
            <v>4490</v>
          </cell>
          <cell r="F41">
            <v>4490</v>
          </cell>
          <cell r="G41">
            <v>6772.3293383921455</v>
          </cell>
          <cell r="H41">
            <v>7490</v>
          </cell>
          <cell r="I41">
            <v>8490</v>
          </cell>
          <cell r="J41">
            <v>10556.505047311211</v>
          </cell>
          <cell r="K41">
            <v>9990</v>
          </cell>
          <cell r="L41">
            <v>9990</v>
          </cell>
        </row>
        <row r="42">
          <cell r="C42" t="str">
            <v>PEDRO AGUIRRE CERDA</v>
          </cell>
          <cell r="D42">
            <v>2735.2584723720338</v>
          </cell>
          <cell r="E42">
            <v>4490</v>
          </cell>
          <cell r="F42">
            <v>4490</v>
          </cell>
          <cell r="G42">
            <v>7969.399966148474</v>
          </cell>
          <cell r="H42">
            <v>7490</v>
          </cell>
          <cell r="I42">
            <v>8490</v>
          </cell>
          <cell r="J42">
            <v>11114.907354263181</v>
          </cell>
          <cell r="K42">
            <v>9990</v>
          </cell>
          <cell r="L42">
            <v>9990</v>
          </cell>
        </row>
        <row r="43">
          <cell r="C43" t="str">
            <v>SAN RAMON</v>
          </cell>
          <cell r="D43">
            <v>3188.7159746569823</v>
          </cell>
          <cell r="E43">
            <v>4490</v>
          </cell>
          <cell r="F43">
            <v>4490</v>
          </cell>
          <cell r="G43">
            <v>7510.204132707182</v>
          </cell>
          <cell r="H43">
            <v>7490</v>
          </cell>
          <cell r="I43">
            <v>8490</v>
          </cell>
          <cell r="J43">
            <v>10458.589608148148</v>
          </cell>
          <cell r="K43">
            <v>9990</v>
          </cell>
          <cell r="L43">
            <v>9990</v>
          </cell>
        </row>
        <row r="44">
          <cell r="C44" t="str">
            <v>VIÑA DEL MAR</v>
          </cell>
          <cell r="D44">
            <v>6044.26588045466</v>
          </cell>
          <cell r="E44">
            <v>3990</v>
          </cell>
          <cell r="F44">
            <v>3990</v>
          </cell>
          <cell r="G44">
            <v>13281.271639205577</v>
          </cell>
          <cell r="H44">
            <v>8990</v>
          </cell>
          <cell r="I44">
            <v>10490</v>
          </cell>
          <cell r="J44">
            <v>13892.802696510851</v>
          </cell>
          <cell r="K44">
            <v>10490</v>
          </cell>
          <cell r="L44">
            <v>11990</v>
          </cell>
        </row>
        <row r="45">
          <cell r="C45" t="str">
            <v>ANTOFAGASTA</v>
          </cell>
          <cell r="D45">
            <v>6736.6314102138513</v>
          </cell>
          <cell r="E45">
            <v>9990</v>
          </cell>
          <cell r="F45">
            <v>10490</v>
          </cell>
          <cell r="G45">
            <v>12785.752851463174</v>
          </cell>
          <cell r="H45">
            <v>21990</v>
          </cell>
          <cell r="I45">
            <v>21990</v>
          </cell>
          <cell r="J45">
            <v>36933.833263730834</v>
          </cell>
          <cell r="K45">
            <v>29990</v>
          </cell>
          <cell r="L45">
            <v>29990</v>
          </cell>
        </row>
        <row r="46">
          <cell r="C46" t="str">
            <v>CONCEPCION</v>
          </cell>
          <cell r="D46">
            <v>3431.1753569503917</v>
          </cell>
          <cell r="E46">
            <v>4490</v>
          </cell>
          <cell r="F46">
            <v>4990</v>
          </cell>
          <cell r="G46">
            <v>7378.6120718732145</v>
          </cell>
          <cell r="H46">
            <v>8990</v>
          </cell>
          <cell r="I46">
            <v>12990</v>
          </cell>
          <cell r="J46">
            <v>13735.629963797091</v>
          </cell>
          <cell r="K46">
            <v>10990</v>
          </cell>
          <cell r="L46">
            <v>14990</v>
          </cell>
        </row>
        <row r="47">
          <cell r="C47" t="str">
            <v>VALPARAISO</v>
          </cell>
          <cell r="D47">
            <v>6675.3341014227826</v>
          </cell>
          <cell r="E47">
            <v>3990</v>
          </cell>
          <cell r="F47">
            <v>3990</v>
          </cell>
          <cell r="G47">
            <v>15161.653866011316</v>
          </cell>
          <cell r="H47">
            <v>8990</v>
          </cell>
          <cell r="I47">
            <v>10490</v>
          </cell>
          <cell r="J47">
            <v>14515.683032939851</v>
          </cell>
          <cell r="K47">
            <v>10490</v>
          </cell>
          <cell r="L47">
            <v>11990</v>
          </cell>
        </row>
        <row r="48">
          <cell r="C48" t="str">
            <v>RANCAGUA</v>
          </cell>
          <cell r="D48">
            <v>3839.2462891724526</v>
          </cell>
          <cell r="E48">
            <v>4490</v>
          </cell>
          <cell r="F48">
            <v>4490</v>
          </cell>
          <cell r="G48">
            <v>8543.1878482134798</v>
          </cell>
          <cell r="H48">
            <v>7990</v>
          </cell>
          <cell r="I48">
            <v>8990</v>
          </cell>
          <cell r="J48">
            <v>11414.80233339599</v>
          </cell>
          <cell r="K48">
            <v>9990</v>
          </cell>
          <cell r="L48">
            <v>11490</v>
          </cell>
        </row>
        <row r="49">
          <cell r="C49" t="str">
            <v>TALCA</v>
          </cell>
          <cell r="D49">
            <v>4842.175163530871</v>
          </cell>
          <cell r="E49">
            <v>4490</v>
          </cell>
          <cell r="F49">
            <v>4990</v>
          </cell>
          <cell r="G49">
            <v>8316.262281700223</v>
          </cell>
          <cell r="H49">
            <v>10990</v>
          </cell>
          <cell r="I49">
            <v>10990</v>
          </cell>
          <cell r="J49">
            <v>16613.09437345936</v>
          </cell>
          <cell r="K49">
            <v>13990</v>
          </cell>
          <cell r="L49">
            <v>13990</v>
          </cell>
        </row>
        <row r="50">
          <cell r="C50" t="str">
            <v>TEMUCO</v>
          </cell>
          <cell r="D50">
            <v>4127.8178332065791</v>
          </cell>
          <cell r="E50">
            <v>7990</v>
          </cell>
          <cell r="F50">
            <v>7990</v>
          </cell>
          <cell r="G50">
            <v>11508.429099475163</v>
          </cell>
          <cell r="H50">
            <v>11990</v>
          </cell>
          <cell r="I50">
            <v>13490</v>
          </cell>
          <cell r="J50">
            <v>20913.380612931436</v>
          </cell>
          <cell r="K50">
            <v>13990</v>
          </cell>
          <cell r="L50">
            <v>15990</v>
          </cell>
        </row>
        <row r="51">
          <cell r="C51" t="str">
            <v>CHILLAN</v>
          </cell>
          <cell r="D51">
            <v>5406.4645606875101</v>
          </cell>
          <cell r="E51">
            <v>4990</v>
          </cell>
          <cell r="F51">
            <v>4990</v>
          </cell>
          <cell r="G51">
            <v>8487.8537772809705</v>
          </cell>
          <cell r="H51">
            <v>8990</v>
          </cell>
          <cell r="I51">
            <v>14990</v>
          </cell>
          <cell r="J51">
            <v>14938.111071862117</v>
          </cell>
          <cell r="K51">
            <v>11490</v>
          </cell>
          <cell r="L51">
            <v>15990</v>
          </cell>
        </row>
        <row r="52">
          <cell r="C52" t="str">
            <v>LA SERENA</v>
          </cell>
          <cell r="D52">
            <v>4869.794079682054</v>
          </cell>
          <cell r="E52">
            <v>6990</v>
          </cell>
          <cell r="F52">
            <v>7990</v>
          </cell>
          <cell r="G52">
            <v>10046.003254691328</v>
          </cell>
          <cell r="H52">
            <v>15990</v>
          </cell>
          <cell r="I52">
            <v>16490</v>
          </cell>
          <cell r="J52">
            <v>22411.676354592521</v>
          </cell>
          <cell r="K52">
            <v>16990</v>
          </cell>
          <cell r="L52">
            <v>17990</v>
          </cell>
        </row>
        <row r="53">
          <cell r="C53" t="str">
            <v>VALDIVIA</v>
          </cell>
          <cell r="D53">
            <v>5081.1363881320794</v>
          </cell>
          <cell r="E53">
            <v>8990</v>
          </cell>
          <cell r="F53">
            <v>8490</v>
          </cell>
          <cell r="G53">
            <v>18158.131864830066</v>
          </cell>
          <cell r="H53">
            <v>15990</v>
          </cell>
          <cell r="I53">
            <v>16990</v>
          </cell>
          <cell r="J53">
            <v>30750.708823252684</v>
          </cell>
          <cell r="K53">
            <v>17990</v>
          </cell>
          <cell r="L53">
            <v>17990</v>
          </cell>
        </row>
        <row r="54">
          <cell r="C54" t="str">
            <v>LOS ANGELES</v>
          </cell>
          <cell r="D54">
            <v>3975.2800323115644</v>
          </cell>
          <cell r="E54">
            <v>4990</v>
          </cell>
          <cell r="F54">
            <v>4990</v>
          </cell>
          <cell r="G54">
            <v>8294.9262584811295</v>
          </cell>
          <cell r="H54">
            <v>9990</v>
          </cell>
          <cell r="I54">
            <v>13990</v>
          </cell>
          <cell r="J54">
            <v>15789.123248384607</v>
          </cell>
          <cell r="K54">
            <v>12990</v>
          </cell>
          <cell r="L54">
            <v>15490</v>
          </cell>
        </row>
        <row r="55">
          <cell r="C55" t="str">
            <v>OSORNO</v>
          </cell>
          <cell r="D55">
            <v>3658.7198409112698</v>
          </cell>
          <cell r="E55">
            <v>10990</v>
          </cell>
          <cell r="F55">
            <v>10490</v>
          </cell>
          <cell r="G55">
            <v>13582.570454824645</v>
          </cell>
          <cell r="H55">
            <v>15990</v>
          </cell>
          <cell r="I55">
            <v>16990</v>
          </cell>
          <cell r="J55">
            <v>29281.669414956574</v>
          </cell>
          <cell r="K55">
            <v>17990</v>
          </cell>
          <cell r="L55">
            <v>18990</v>
          </cell>
        </row>
        <row r="56">
          <cell r="C56" t="str">
            <v>COQUIMBO</v>
          </cell>
          <cell r="D56">
            <v>5032.7408160984869</v>
          </cell>
          <cell r="E56">
            <v>8990</v>
          </cell>
          <cell r="F56">
            <v>7990</v>
          </cell>
          <cell r="G56">
            <v>10247.564904735091</v>
          </cell>
          <cell r="H56">
            <v>16990</v>
          </cell>
          <cell r="I56">
            <v>16490</v>
          </cell>
          <cell r="J56">
            <v>21587.246484212876</v>
          </cell>
          <cell r="K56">
            <v>17990</v>
          </cell>
          <cell r="L56">
            <v>17990</v>
          </cell>
        </row>
        <row r="57">
          <cell r="C57" t="str">
            <v>PUERTO MONTT</v>
          </cell>
          <cell r="D57">
            <v>3943.8792036832037</v>
          </cell>
          <cell r="E57">
            <v>9490</v>
          </cell>
          <cell r="F57">
            <v>8990</v>
          </cell>
          <cell r="G57">
            <v>16446.46730878641</v>
          </cell>
          <cell r="H57">
            <v>11990</v>
          </cell>
          <cell r="I57">
            <v>15990</v>
          </cell>
          <cell r="J57">
            <v>33261.952358624767</v>
          </cell>
          <cell r="K57">
            <v>14990</v>
          </cell>
          <cell r="L57">
            <v>17990</v>
          </cell>
        </row>
        <row r="58">
          <cell r="C58" t="str">
            <v>COPIAPO</v>
          </cell>
          <cell r="D58">
            <v>2937.8092430421184</v>
          </cell>
          <cell r="E58">
            <v>9990</v>
          </cell>
          <cell r="F58">
            <v>9990</v>
          </cell>
          <cell r="G58">
            <v>7129.0802990102393</v>
          </cell>
          <cell r="H58">
            <v>12990</v>
          </cell>
          <cell r="I58">
            <v>15490</v>
          </cell>
          <cell r="J58">
            <v>22877.490292675404</v>
          </cell>
          <cell r="K58">
            <v>16990</v>
          </cell>
          <cell r="L58">
            <v>25990</v>
          </cell>
        </row>
        <row r="59">
          <cell r="C59" t="str">
            <v>ARICA</v>
          </cell>
          <cell r="D59">
            <v>6271.0840317681495</v>
          </cell>
          <cell r="E59">
            <v>10990</v>
          </cell>
          <cell r="F59">
            <v>10990</v>
          </cell>
          <cell r="G59">
            <v>31179.444768957052</v>
          </cell>
          <cell r="H59">
            <v>21990</v>
          </cell>
          <cell r="I59">
            <v>25490</v>
          </cell>
          <cell r="J59">
            <v>29993.407295686276</v>
          </cell>
          <cell r="K59">
            <v>27990</v>
          </cell>
          <cell r="L59">
            <v>27990</v>
          </cell>
        </row>
        <row r="60">
          <cell r="C60" t="str">
            <v>QUILPUE</v>
          </cell>
          <cell r="D60">
            <v>3236.0715702482166</v>
          </cell>
          <cell r="E60">
            <v>3990</v>
          </cell>
          <cell r="F60">
            <v>4490</v>
          </cell>
          <cell r="G60">
            <v>6869.5923407949549</v>
          </cell>
          <cell r="H60">
            <v>8990</v>
          </cell>
          <cell r="I60">
            <v>9990</v>
          </cell>
          <cell r="J60">
            <v>9473.8441088743148</v>
          </cell>
          <cell r="K60">
            <v>10990</v>
          </cell>
          <cell r="L60">
            <v>10990</v>
          </cell>
        </row>
        <row r="61">
          <cell r="C61" t="str">
            <v>CURICO</v>
          </cell>
          <cell r="D61">
            <v>8213.3291977082827</v>
          </cell>
          <cell r="E61">
            <v>4490</v>
          </cell>
          <cell r="F61">
            <v>4490</v>
          </cell>
          <cell r="G61">
            <v>12083.571179352914</v>
          </cell>
          <cell r="H61">
            <v>10490</v>
          </cell>
          <cell r="I61">
            <v>10990</v>
          </cell>
          <cell r="J61">
            <v>19939.078503544395</v>
          </cell>
          <cell r="K61">
            <v>12990</v>
          </cell>
          <cell r="L61">
            <v>13990</v>
          </cell>
        </row>
        <row r="62">
          <cell r="C62" t="str">
            <v>CALAMA</v>
          </cell>
          <cell r="D62">
            <v>8697.1543115138593</v>
          </cell>
          <cell r="E62">
            <v>8990</v>
          </cell>
          <cell r="F62">
            <v>9990</v>
          </cell>
          <cell r="G62">
            <v>22418.561472504782</v>
          </cell>
          <cell r="H62">
            <v>31990</v>
          </cell>
          <cell r="I62">
            <v>31990</v>
          </cell>
          <cell r="J62">
            <v>30245.427566233062</v>
          </cell>
          <cell r="K62">
            <v>41990</v>
          </cell>
          <cell r="L62">
            <v>41990</v>
          </cell>
        </row>
        <row r="63">
          <cell r="C63" t="str">
            <v>SAN PEDRO DE LA PAZ</v>
          </cell>
          <cell r="D63">
            <v>3425.1185397656723</v>
          </cell>
          <cell r="E63">
            <v>5990</v>
          </cell>
          <cell r="F63">
            <v>5490</v>
          </cell>
          <cell r="G63">
            <v>7486.4963474273336</v>
          </cell>
          <cell r="H63">
            <v>10990</v>
          </cell>
          <cell r="I63">
            <v>14990</v>
          </cell>
          <cell r="J63">
            <v>15510.475224612937</v>
          </cell>
          <cell r="K63">
            <v>14990</v>
          </cell>
          <cell r="L63">
            <v>15990</v>
          </cell>
        </row>
        <row r="64">
          <cell r="C64" t="str">
            <v>VILLA ALEMANA</v>
          </cell>
          <cell r="D64">
            <v>3433.2802143939234</v>
          </cell>
          <cell r="E64">
            <v>3990</v>
          </cell>
          <cell r="F64">
            <v>4490</v>
          </cell>
          <cell r="G64">
            <v>7227.9980523757085</v>
          </cell>
          <cell r="H64">
            <v>8990</v>
          </cell>
          <cell r="I64">
            <v>9990</v>
          </cell>
          <cell r="J64">
            <v>10457.552977339836</v>
          </cell>
          <cell r="K64">
            <v>10990</v>
          </cell>
          <cell r="L64">
            <v>10990</v>
          </cell>
        </row>
        <row r="65">
          <cell r="C65" t="str">
            <v>TALCAHUANO</v>
          </cell>
          <cell r="D65">
            <v>3550.4229414123379</v>
          </cell>
          <cell r="E65">
            <v>5990</v>
          </cell>
          <cell r="F65">
            <v>5490</v>
          </cell>
          <cell r="G65">
            <v>7601.5255881708945</v>
          </cell>
          <cell r="H65">
            <v>9990</v>
          </cell>
          <cell r="I65">
            <v>12990</v>
          </cell>
          <cell r="J65">
            <v>14313.056426720001</v>
          </cell>
          <cell r="K65">
            <v>13990</v>
          </cell>
          <cell r="L65">
            <v>14990</v>
          </cell>
        </row>
        <row r="66">
          <cell r="C66" t="str">
            <v>COYHAIQUE</v>
          </cell>
          <cell r="D66">
            <v>9530.5050734959368</v>
          </cell>
          <cell r="E66">
            <v>14490</v>
          </cell>
          <cell r="F66">
            <v>14990</v>
          </cell>
          <cell r="G66">
            <v>40434.221970460523</v>
          </cell>
          <cell r="H66">
            <v>29990</v>
          </cell>
          <cell r="I66">
            <v>29990</v>
          </cell>
          <cell r="J66">
            <v>54110.617675621295</v>
          </cell>
          <cell r="K66">
            <v>52990</v>
          </cell>
          <cell r="L66">
            <v>52990</v>
          </cell>
        </row>
        <row r="67">
          <cell r="C67" t="str">
            <v>SAN FERNANDO</v>
          </cell>
          <cell r="D67">
            <v>5251.8034646653487</v>
          </cell>
          <cell r="E67">
            <v>5990</v>
          </cell>
          <cell r="F67">
            <v>5990</v>
          </cell>
          <cell r="G67">
            <v>9692.0210407076702</v>
          </cell>
          <cell r="H67">
            <v>9990</v>
          </cell>
          <cell r="I67">
            <v>11990</v>
          </cell>
          <cell r="J67">
            <v>13342.851277997204</v>
          </cell>
          <cell r="K67">
            <v>13990</v>
          </cell>
          <cell r="L67">
            <v>13990</v>
          </cell>
        </row>
        <row r="68">
          <cell r="C68" t="str">
            <v>IQUIQUE</v>
          </cell>
          <cell r="D68">
            <v>11483.70719485</v>
          </cell>
          <cell r="E68">
            <v>11990</v>
          </cell>
          <cell r="F68">
            <v>11990</v>
          </cell>
          <cell r="G68">
            <v>16256.881246214878</v>
          </cell>
          <cell r="H68">
            <v>21990</v>
          </cell>
          <cell r="I68">
            <v>21990</v>
          </cell>
          <cell r="J68">
            <v>21363.927696158193</v>
          </cell>
          <cell r="K68">
            <v>29990</v>
          </cell>
          <cell r="L68">
            <v>29990</v>
          </cell>
        </row>
        <row r="69">
          <cell r="C69" t="str">
            <v>SAN FELIPE</v>
          </cell>
          <cell r="D69">
            <v>4400.3412350195058</v>
          </cell>
          <cell r="E69">
            <v>6490</v>
          </cell>
          <cell r="F69">
            <v>5490</v>
          </cell>
          <cell r="G69">
            <v>8759.4941852544925</v>
          </cell>
          <cell r="H69">
            <v>10990</v>
          </cell>
          <cell r="I69">
            <v>10990</v>
          </cell>
          <cell r="J69">
            <v>10645.055124246506</v>
          </cell>
          <cell r="K69">
            <v>13990</v>
          </cell>
          <cell r="L69">
            <v>12990</v>
          </cell>
        </row>
        <row r="70">
          <cell r="C70" t="str">
            <v>PUNTA ARENAS</v>
          </cell>
          <cell r="D70">
            <v>5948.0916217711138</v>
          </cell>
          <cell r="E70">
            <v>9990</v>
          </cell>
          <cell r="F70">
            <v>9990</v>
          </cell>
          <cell r="G70">
            <v>17583.530981484259</v>
          </cell>
          <cell r="H70">
            <v>39990</v>
          </cell>
          <cell r="I70">
            <v>39990</v>
          </cell>
          <cell r="J70">
            <v>60121.441598823971</v>
          </cell>
          <cell r="K70">
            <v>79990</v>
          </cell>
          <cell r="L70">
            <v>79990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comments" Target="/xl/comments/comment1.xml" Type="http://schemas.openxmlformats.org/officeDocument/2006/relationships/comments"/><Relationship Id="anysvml" Target="/xl/drawings/commentsDrawing1.vml" Type="http://schemas.openxmlformats.org/officeDocument/2006/relationships/vmlDrawing"/></Relationships>
</file>

<file path=xl/worksheets/_rels/sheet4.xml.rels><Relationships xmlns="http://schemas.openxmlformats.org/package/2006/relationships"><Relationship Id="comments" Target="/xl/comments/comment2.xml" Type="http://schemas.openxmlformats.org/officeDocument/2006/relationships/comments"/><Relationship Id="anysvml" Target="/xl/drawings/commentsDrawing2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 codeName="Hoja1">
    <tabColor theme="0" tint="-0.1499984740745262"/>
    <outlinePr summaryBelow="1" summaryRight="1"/>
    <pageSetUpPr/>
  </sheetPr>
  <dimension ref="A4:B24"/>
  <sheetViews>
    <sheetView workbookViewId="0">
      <selection activeCell="B20" sqref="B20"/>
    </sheetView>
  </sheetViews>
  <sheetFormatPr baseColWidth="10" defaultColWidth="9.140625" defaultRowHeight="15" outlineLevelCol="0"/>
  <cols>
    <col customWidth="1" max="2" min="2" style="183" width="19.85546875"/>
    <col bestFit="1" customWidth="1" max="3" min="3" style="183" width="8"/>
    <col customWidth="1" max="4" min="4" style="183" width="16.28515625"/>
    <col customWidth="1" max="5" min="5" style="183" width="36.85546875"/>
  </cols>
  <sheetData>
    <row r="4" spans="1:2">
      <c r="A4" t="s">
        <v>0</v>
      </c>
    </row>
    <row r="5" spans="1:2">
      <c r="B5" s="88" t="s">
        <v>1</v>
      </c>
    </row>
    <row r="6" spans="1:2">
      <c r="A6" t="s">
        <v>2</v>
      </c>
      <c r="B6" t="s">
        <v>3</v>
      </c>
    </row>
    <row r="7" s="183" spans="1:2">
      <c r="A7" t="s">
        <v>4</v>
      </c>
      <c r="B7" t="s">
        <v>5</v>
      </c>
    </row>
    <row r="8" spans="1:2">
      <c r="B8" t="s">
        <v>6</v>
      </c>
    </row>
    <row r="9" spans="1:2">
      <c r="A9" t="s">
        <v>4</v>
      </c>
      <c r="B9" t="s">
        <v>7</v>
      </c>
    </row>
    <row r="10" spans="1:2">
      <c r="A10" t="s">
        <v>8</v>
      </c>
      <c r="B10" t="s">
        <v>9</v>
      </c>
    </row>
    <row r="11" spans="1:2">
      <c r="A11" t="s">
        <v>4</v>
      </c>
      <c r="B11" t="s">
        <v>10</v>
      </c>
    </row>
    <row r="12" spans="1:2">
      <c r="A12" t="s">
        <v>8</v>
      </c>
      <c r="B12" t="s">
        <v>11</v>
      </c>
    </row>
    <row r="13" s="183" spans="1:2">
      <c r="B13" s="88" t="s">
        <v>12</v>
      </c>
    </row>
    <row r="14" s="183" spans="1:2">
      <c r="B14" t="s">
        <v>13</v>
      </c>
    </row>
    <row r="15" spans="1:2">
      <c r="B15" t="s">
        <v>14</v>
      </c>
    </row>
    <row r="16" spans="1:2">
      <c r="B16" t="s">
        <v>15</v>
      </c>
    </row>
    <row r="17" spans="1:2">
      <c r="B17" t="s">
        <v>16</v>
      </c>
    </row>
    <row r="18" spans="1:2">
      <c r="B18" t="s">
        <v>17</v>
      </c>
    </row>
    <row r="19" spans="1:2">
      <c r="B19" t="s">
        <v>18</v>
      </c>
    </row>
    <row r="20" spans="1:2">
      <c r="B20" s="170" t="s">
        <v>19</v>
      </c>
    </row>
    <row r="21" spans="1:2">
      <c r="B21" s="170" t="s">
        <v>20</v>
      </c>
    </row>
    <row r="22" spans="1:2">
      <c r="B22" s="170" t="s">
        <v>21</v>
      </c>
    </row>
    <row r="23" spans="1:2">
      <c r="B23" s="170" t="s">
        <v>22</v>
      </c>
    </row>
    <row r="24" spans="1:2">
      <c r="B24" s="170" t="s">
        <v>23</v>
      </c>
    </row>
  </sheetData>
  <pageMargins bottom="0.75" footer="0.3" header="0.3" left="0.7" right="0.7" top="0.75"/>
  <pageSetup orientation="portrait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O1514"/>
  <sheetViews>
    <sheetView tabSelected="1" workbookViewId="0" zoomScale="80" zoomScaleNormal="80">
      <pane activePane="bottomRight" state="frozen" topLeftCell="B2" xSplit="1" ySplit="1"/>
      <selection activeCell="B1" pane="topRight" sqref="B1"/>
      <selection activeCell="A2" pane="bottomLeft" sqref="A2"/>
      <selection activeCell="B2" pane="bottomRight" sqref="B2:H2500"/>
    </sheetView>
  </sheetViews>
  <sheetFormatPr baseColWidth="10" customHeight="1" defaultRowHeight="15" outlineLevelCol="0"/>
  <cols>
    <col customWidth="1" max="1" min="1" style="35" width="17.7109375"/>
    <col bestFit="1" customWidth="1" max="2" min="2" style="171" width="11.28515625"/>
    <col bestFit="1" customWidth="1" max="3" min="3" style="171" width="41.42578125"/>
    <col bestFit="1" customWidth="1" max="4" min="4" style="171" width="19"/>
    <col bestFit="1" customWidth="1" max="5" min="5" style="171" width="15"/>
    <col bestFit="1" customWidth="1" max="6" min="6" style="171" width="16.28515625"/>
    <col bestFit="1" customWidth="1" max="7" min="7" style="171" width="58.85546875"/>
    <col customWidth="1" max="8" min="8" style="303" width="12"/>
    <col bestFit="1" customWidth="1" max="9" min="9" style="5" width="18.7109375"/>
    <col bestFit="1" customWidth="1" max="10" min="10" style="171" width="13.42578125"/>
    <col bestFit="1" customWidth="1" max="11" min="11" style="171" width="17.7109375"/>
    <col customWidth="1" max="12" min="12" style="171" width="11.42578125"/>
    <col customWidth="1" max="248" min="13" style="171" width="11.42578125"/>
    <col customWidth="1" max="249" min="249" style="171" width="17.7109375"/>
    <col bestFit="1" customWidth="1" max="250" min="250" style="171" width="11.28515625"/>
    <col bestFit="1" customWidth="1" max="251" min="251" style="171" width="41.42578125"/>
    <col bestFit="1" customWidth="1" max="252" min="252" style="171" width="19"/>
    <col bestFit="1" customWidth="1" max="253" min="253" style="171" width="15"/>
    <col customWidth="1" max="254" min="254" style="171" width="57.85546875"/>
    <col bestFit="1" customWidth="1" max="255" min="255" style="171" width="12.85546875"/>
    <col customWidth="1" max="256" min="256" style="171" width="12"/>
    <col bestFit="1" customWidth="1" max="257" min="257" style="171" width="18.7109375"/>
    <col customWidth="1" max="258" min="258" style="171" width="11.42578125"/>
    <col bestFit="1" customWidth="1" max="259" min="259" style="171" width="20.140625"/>
    <col customWidth="1" max="261" min="260" style="171" width="11.42578125"/>
    <col bestFit="1" customWidth="1" max="263" min="262" style="171" width="23.7109375"/>
    <col customWidth="1" max="504" min="264" style="171" width="11.42578125"/>
    <col customWidth="1" max="505" min="505" style="171" width="17.7109375"/>
    <col bestFit="1" customWidth="1" max="506" min="506" style="171" width="11.28515625"/>
    <col bestFit="1" customWidth="1" max="507" min="507" style="171" width="41.42578125"/>
    <col bestFit="1" customWidth="1" max="508" min="508" style="171" width="19"/>
    <col bestFit="1" customWidth="1" max="509" min="509" style="171" width="15"/>
    <col customWidth="1" max="510" min="510" style="171" width="57.85546875"/>
    <col bestFit="1" customWidth="1" max="511" min="511" style="171" width="12.85546875"/>
    <col customWidth="1" max="512" min="512" style="171" width="12"/>
    <col bestFit="1" customWidth="1" max="513" min="513" style="171" width="18.7109375"/>
    <col customWidth="1" max="514" min="514" style="171" width="11.42578125"/>
    <col bestFit="1" customWidth="1" max="515" min="515" style="171" width="20.140625"/>
    <col customWidth="1" max="517" min="516" style="171" width="11.42578125"/>
    <col bestFit="1" customWidth="1" max="519" min="518" style="171" width="23.7109375"/>
    <col customWidth="1" max="760" min="520" style="171" width="11.42578125"/>
    <col customWidth="1" max="761" min="761" style="171" width="17.7109375"/>
    <col bestFit="1" customWidth="1" max="762" min="762" style="171" width="11.28515625"/>
    <col bestFit="1" customWidth="1" max="763" min="763" style="171" width="41.42578125"/>
    <col bestFit="1" customWidth="1" max="764" min="764" style="171" width="19"/>
    <col bestFit="1" customWidth="1" max="765" min="765" style="171" width="15"/>
    <col customWidth="1" max="766" min="766" style="171" width="57.85546875"/>
    <col bestFit="1" customWidth="1" max="767" min="767" style="171" width="12.85546875"/>
    <col customWidth="1" max="768" min="768" style="171" width="12"/>
    <col bestFit="1" customWidth="1" max="769" min="769" style="171" width="18.7109375"/>
    <col customWidth="1" max="770" min="770" style="171" width="11.42578125"/>
    <col bestFit="1" customWidth="1" max="771" min="771" style="171" width="20.140625"/>
    <col customWidth="1" max="773" min="772" style="171" width="11.42578125"/>
    <col bestFit="1" customWidth="1" max="775" min="774" style="171" width="23.7109375"/>
    <col customWidth="1" max="1016" min="776" style="171" width="11.42578125"/>
    <col customWidth="1" max="1017" min="1017" style="171" width="17.7109375"/>
    <col bestFit="1" customWidth="1" max="1018" min="1018" style="171" width="11.28515625"/>
    <col bestFit="1" customWidth="1" max="1019" min="1019" style="171" width="41.42578125"/>
    <col bestFit="1" customWidth="1" max="1020" min="1020" style="171" width="19"/>
    <col bestFit="1" customWidth="1" max="1021" min="1021" style="171" width="15"/>
    <col customWidth="1" max="1022" min="1022" style="171" width="57.85546875"/>
    <col bestFit="1" customWidth="1" max="1023" min="1023" style="171" width="12.85546875"/>
    <col customWidth="1" max="1024" min="1024" style="171" width="12"/>
    <col bestFit="1" customWidth="1" max="1025" min="1025" style="171" width="18.7109375"/>
    <col customWidth="1" max="1026" min="1026" style="171" width="11.42578125"/>
    <col bestFit="1" customWidth="1" max="1027" min="1027" style="171" width="20.140625"/>
    <col customWidth="1" max="1029" min="1028" style="171" width="11.42578125"/>
    <col bestFit="1" customWidth="1" max="1031" min="1030" style="171" width="23.7109375"/>
    <col customWidth="1" max="1272" min="1032" style="171" width="11.42578125"/>
    <col customWidth="1" max="1273" min="1273" style="171" width="17.7109375"/>
    <col bestFit="1" customWidth="1" max="1274" min="1274" style="171" width="11.28515625"/>
    <col bestFit="1" customWidth="1" max="1275" min="1275" style="171" width="41.42578125"/>
    <col bestFit="1" customWidth="1" max="1276" min="1276" style="171" width="19"/>
    <col bestFit="1" customWidth="1" max="1277" min="1277" style="171" width="15"/>
    <col customWidth="1" max="1278" min="1278" style="171" width="57.85546875"/>
    <col bestFit="1" customWidth="1" max="1279" min="1279" style="171" width="12.85546875"/>
    <col customWidth="1" max="1280" min="1280" style="171" width="12"/>
    <col bestFit="1" customWidth="1" max="1281" min="1281" style="171" width="18.7109375"/>
    <col customWidth="1" max="1282" min="1282" style="171" width="11.42578125"/>
    <col bestFit="1" customWidth="1" max="1283" min="1283" style="171" width="20.140625"/>
    <col customWidth="1" max="1285" min="1284" style="171" width="11.42578125"/>
    <col bestFit="1" customWidth="1" max="1287" min="1286" style="171" width="23.7109375"/>
    <col customWidth="1" max="1528" min="1288" style="171" width="11.42578125"/>
    <col customWidth="1" max="1529" min="1529" style="171" width="17.7109375"/>
    <col bestFit="1" customWidth="1" max="1530" min="1530" style="171" width="11.28515625"/>
    <col bestFit="1" customWidth="1" max="1531" min="1531" style="171" width="41.42578125"/>
    <col bestFit="1" customWidth="1" max="1532" min="1532" style="171" width="19"/>
    <col bestFit="1" customWidth="1" max="1533" min="1533" style="171" width="15"/>
    <col customWidth="1" max="1534" min="1534" style="171" width="57.85546875"/>
    <col bestFit="1" customWidth="1" max="1535" min="1535" style="171" width="12.85546875"/>
    <col customWidth="1" max="1536" min="1536" style="171" width="12"/>
    <col bestFit="1" customWidth="1" max="1537" min="1537" style="171" width="18.7109375"/>
    <col customWidth="1" max="1538" min="1538" style="171" width="11.42578125"/>
    <col bestFit="1" customWidth="1" max="1539" min="1539" style="171" width="20.140625"/>
    <col customWidth="1" max="1541" min="1540" style="171" width="11.42578125"/>
    <col bestFit="1" customWidth="1" max="1543" min="1542" style="171" width="23.7109375"/>
    <col customWidth="1" max="1784" min="1544" style="171" width="11.42578125"/>
    <col customWidth="1" max="1785" min="1785" style="171" width="17.7109375"/>
    <col bestFit="1" customWidth="1" max="1786" min="1786" style="171" width="11.28515625"/>
    <col bestFit="1" customWidth="1" max="1787" min="1787" style="171" width="41.42578125"/>
    <col bestFit="1" customWidth="1" max="1788" min="1788" style="171" width="19"/>
    <col bestFit="1" customWidth="1" max="1789" min="1789" style="171" width="15"/>
    <col customWidth="1" max="1790" min="1790" style="171" width="57.85546875"/>
    <col bestFit="1" customWidth="1" max="1791" min="1791" style="171" width="12.85546875"/>
    <col customWidth="1" max="1792" min="1792" style="171" width="12"/>
    <col bestFit="1" customWidth="1" max="1793" min="1793" style="171" width="18.7109375"/>
    <col customWidth="1" max="1794" min="1794" style="171" width="11.42578125"/>
    <col bestFit="1" customWidth="1" max="1795" min="1795" style="171" width="20.140625"/>
    <col customWidth="1" max="1797" min="1796" style="171" width="11.42578125"/>
    <col bestFit="1" customWidth="1" max="1799" min="1798" style="171" width="23.7109375"/>
    <col customWidth="1" max="2040" min="1800" style="171" width="11.42578125"/>
    <col customWidth="1" max="2041" min="2041" style="171" width="17.7109375"/>
    <col bestFit="1" customWidth="1" max="2042" min="2042" style="171" width="11.28515625"/>
    <col bestFit="1" customWidth="1" max="2043" min="2043" style="171" width="41.42578125"/>
    <col bestFit="1" customWidth="1" max="2044" min="2044" style="171" width="19"/>
    <col bestFit="1" customWidth="1" max="2045" min="2045" style="171" width="15"/>
    <col customWidth="1" max="2046" min="2046" style="171" width="57.85546875"/>
    <col bestFit="1" customWidth="1" max="2047" min="2047" style="171" width="12.85546875"/>
    <col customWidth="1" max="2048" min="2048" style="171" width="12"/>
    <col bestFit="1" customWidth="1" max="2049" min="2049" style="171" width="18.7109375"/>
    <col customWidth="1" max="2050" min="2050" style="171" width="11.42578125"/>
    <col bestFit="1" customWidth="1" max="2051" min="2051" style="171" width="20.140625"/>
    <col customWidth="1" max="2053" min="2052" style="171" width="11.42578125"/>
    <col bestFit="1" customWidth="1" max="2055" min="2054" style="171" width="23.7109375"/>
    <col customWidth="1" max="2296" min="2056" style="171" width="11.42578125"/>
    <col customWidth="1" max="2297" min="2297" style="171" width="17.7109375"/>
    <col bestFit="1" customWidth="1" max="2298" min="2298" style="171" width="11.28515625"/>
    <col bestFit="1" customWidth="1" max="2299" min="2299" style="171" width="41.42578125"/>
    <col bestFit="1" customWidth="1" max="2300" min="2300" style="171" width="19"/>
    <col bestFit="1" customWidth="1" max="2301" min="2301" style="171" width="15"/>
    <col customWidth="1" max="2302" min="2302" style="171" width="57.85546875"/>
    <col bestFit="1" customWidth="1" max="2303" min="2303" style="171" width="12.85546875"/>
    <col customWidth="1" max="2304" min="2304" style="171" width="12"/>
    <col bestFit="1" customWidth="1" max="2305" min="2305" style="171" width="18.7109375"/>
    <col customWidth="1" max="2306" min="2306" style="171" width="11.42578125"/>
    <col bestFit="1" customWidth="1" max="2307" min="2307" style="171" width="20.140625"/>
    <col customWidth="1" max="2309" min="2308" style="171" width="11.42578125"/>
    <col bestFit="1" customWidth="1" max="2311" min="2310" style="171" width="23.7109375"/>
    <col customWidth="1" max="2552" min="2312" style="171" width="11.42578125"/>
    <col customWidth="1" max="2553" min="2553" style="171" width="17.7109375"/>
    <col bestFit="1" customWidth="1" max="2554" min="2554" style="171" width="11.28515625"/>
    <col bestFit="1" customWidth="1" max="2555" min="2555" style="171" width="41.42578125"/>
    <col bestFit="1" customWidth="1" max="2556" min="2556" style="171" width="19"/>
    <col bestFit="1" customWidth="1" max="2557" min="2557" style="171" width="15"/>
    <col customWidth="1" max="2558" min="2558" style="171" width="57.85546875"/>
    <col bestFit="1" customWidth="1" max="2559" min="2559" style="171" width="12.85546875"/>
    <col customWidth="1" max="2560" min="2560" style="171" width="12"/>
    <col bestFit="1" customWidth="1" max="2561" min="2561" style="171" width="18.7109375"/>
    <col customWidth="1" max="2562" min="2562" style="171" width="11.42578125"/>
    <col bestFit="1" customWidth="1" max="2563" min="2563" style="171" width="20.140625"/>
    <col customWidth="1" max="2565" min="2564" style="171" width="11.42578125"/>
    <col bestFit="1" customWidth="1" max="2567" min="2566" style="171" width="23.7109375"/>
    <col customWidth="1" max="2808" min="2568" style="171" width="11.42578125"/>
    <col customWidth="1" max="2809" min="2809" style="171" width="17.7109375"/>
    <col bestFit="1" customWidth="1" max="2810" min="2810" style="171" width="11.28515625"/>
    <col bestFit="1" customWidth="1" max="2811" min="2811" style="171" width="41.42578125"/>
    <col bestFit="1" customWidth="1" max="2812" min="2812" style="171" width="19"/>
    <col bestFit="1" customWidth="1" max="2813" min="2813" style="171" width="15"/>
    <col customWidth="1" max="2814" min="2814" style="171" width="57.85546875"/>
    <col bestFit="1" customWidth="1" max="2815" min="2815" style="171" width="12.85546875"/>
    <col customWidth="1" max="2816" min="2816" style="171" width="12"/>
    <col bestFit="1" customWidth="1" max="2817" min="2817" style="171" width="18.7109375"/>
    <col customWidth="1" max="2818" min="2818" style="171" width="11.42578125"/>
    <col bestFit="1" customWidth="1" max="2819" min="2819" style="171" width="20.140625"/>
    <col customWidth="1" max="2821" min="2820" style="171" width="11.42578125"/>
    <col bestFit="1" customWidth="1" max="2823" min="2822" style="171" width="23.7109375"/>
    <col customWidth="1" max="3064" min="2824" style="171" width="11.42578125"/>
    <col customWidth="1" max="3065" min="3065" style="171" width="17.7109375"/>
    <col bestFit="1" customWidth="1" max="3066" min="3066" style="171" width="11.28515625"/>
    <col bestFit="1" customWidth="1" max="3067" min="3067" style="171" width="41.42578125"/>
    <col bestFit="1" customWidth="1" max="3068" min="3068" style="171" width="19"/>
    <col bestFit="1" customWidth="1" max="3069" min="3069" style="171" width="15"/>
    <col customWidth="1" max="3070" min="3070" style="171" width="57.85546875"/>
    <col bestFit="1" customWidth="1" max="3071" min="3071" style="171" width="12.85546875"/>
    <col customWidth="1" max="3072" min="3072" style="171" width="12"/>
    <col bestFit="1" customWidth="1" max="3073" min="3073" style="171" width="18.7109375"/>
    <col customWidth="1" max="3074" min="3074" style="171" width="11.42578125"/>
    <col bestFit="1" customWidth="1" max="3075" min="3075" style="171" width="20.140625"/>
    <col customWidth="1" max="3077" min="3076" style="171" width="11.42578125"/>
    <col bestFit="1" customWidth="1" max="3079" min="3078" style="171" width="23.7109375"/>
    <col customWidth="1" max="3320" min="3080" style="171" width="11.42578125"/>
    <col customWidth="1" max="3321" min="3321" style="171" width="17.7109375"/>
    <col bestFit="1" customWidth="1" max="3322" min="3322" style="171" width="11.28515625"/>
    <col bestFit="1" customWidth="1" max="3323" min="3323" style="171" width="41.42578125"/>
    <col bestFit="1" customWidth="1" max="3324" min="3324" style="171" width="19"/>
    <col bestFit="1" customWidth="1" max="3325" min="3325" style="171" width="15"/>
    <col customWidth="1" max="3326" min="3326" style="171" width="57.85546875"/>
    <col bestFit="1" customWidth="1" max="3327" min="3327" style="171" width="12.85546875"/>
    <col customWidth="1" max="3328" min="3328" style="171" width="12"/>
    <col bestFit="1" customWidth="1" max="3329" min="3329" style="171" width="18.7109375"/>
    <col customWidth="1" max="3330" min="3330" style="171" width="11.42578125"/>
    <col bestFit="1" customWidth="1" max="3331" min="3331" style="171" width="20.140625"/>
    <col customWidth="1" max="3333" min="3332" style="171" width="11.42578125"/>
    <col bestFit="1" customWidth="1" max="3335" min="3334" style="171" width="23.7109375"/>
    <col customWidth="1" max="3576" min="3336" style="171" width="11.42578125"/>
    <col customWidth="1" max="3577" min="3577" style="171" width="17.7109375"/>
    <col bestFit="1" customWidth="1" max="3578" min="3578" style="171" width="11.28515625"/>
    <col bestFit="1" customWidth="1" max="3579" min="3579" style="171" width="41.42578125"/>
    <col bestFit="1" customWidth="1" max="3580" min="3580" style="171" width="19"/>
    <col bestFit="1" customWidth="1" max="3581" min="3581" style="171" width="15"/>
    <col customWidth="1" max="3582" min="3582" style="171" width="57.85546875"/>
    <col bestFit="1" customWidth="1" max="3583" min="3583" style="171" width="12.85546875"/>
    <col customWidth="1" max="3584" min="3584" style="171" width="12"/>
    <col bestFit="1" customWidth="1" max="3585" min="3585" style="171" width="18.7109375"/>
    <col customWidth="1" max="3586" min="3586" style="171" width="11.42578125"/>
    <col bestFit="1" customWidth="1" max="3587" min="3587" style="171" width="20.140625"/>
    <col customWidth="1" max="3589" min="3588" style="171" width="11.42578125"/>
    <col bestFit="1" customWidth="1" max="3591" min="3590" style="171" width="23.7109375"/>
    <col customWidth="1" max="3832" min="3592" style="171" width="11.42578125"/>
    <col customWidth="1" max="3833" min="3833" style="171" width="17.7109375"/>
    <col bestFit="1" customWidth="1" max="3834" min="3834" style="171" width="11.28515625"/>
    <col bestFit="1" customWidth="1" max="3835" min="3835" style="171" width="41.42578125"/>
    <col bestFit="1" customWidth="1" max="3836" min="3836" style="171" width="19"/>
    <col bestFit="1" customWidth="1" max="3837" min="3837" style="171" width="15"/>
    <col customWidth="1" max="3838" min="3838" style="171" width="57.85546875"/>
    <col bestFit="1" customWidth="1" max="3839" min="3839" style="171" width="12.85546875"/>
    <col customWidth="1" max="3840" min="3840" style="171" width="12"/>
    <col bestFit="1" customWidth="1" max="3841" min="3841" style="171" width="18.7109375"/>
    <col customWidth="1" max="3842" min="3842" style="171" width="11.42578125"/>
    <col bestFit="1" customWidth="1" max="3843" min="3843" style="171" width="20.140625"/>
    <col customWidth="1" max="3845" min="3844" style="171" width="11.42578125"/>
    <col bestFit="1" customWidth="1" max="3847" min="3846" style="171" width="23.7109375"/>
    <col customWidth="1" max="4088" min="3848" style="171" width="11.42578125"/>
    <col customWidth="1" max="4089" min="4089" style="171" width="17.7109375"/>
    <col bestFit="1" customWidth="1" max="4090" min="4090" style="171" width="11.28515625"/>
    <col bestFit="1" customWidth="1" max="4091" min="4091" style="171" width="41.42578125"/>
    <col bestFit="1" customWidth="1" max="4092" min="4092" style="171" width="19"/>
    <col bestFit="1" customWidth="1" max="4093" min="4093" style="171" width="15"/>
    <col customWidth="1" max="4094" min="4094" style="171" width="57.85546875"/>
    <col bestFit="1" customWidth="1" max="4095" min="4095" style="171" width="12.85546875"/>
    <col customWidth="1" max="4096" min="4096" style="171" width="12"/>
    <col bestFit="1" customWidth="1" max="4097" min="4097" style="171" width="18.7109375"/>
    <col customWidth="1" max="4098" min="4098" style="171" width="11.42578125"/>
    <col bestFit="1" customWidth="1" max="4099" min="4099" style="171" width="20.140625"/>
    <col customWidth="1" max="4101" min="4100" style="171" width="11.42578125"/>
    <col bestFit="1" customWidth="1" max="4103" min="4102" style="171" width="23.7109375"/>
    <col customWidth="1" max="4344" min="4104" style="171" width="11.42578125"/>
    <col customWidth="1" max="4345" min="4345" style="171" width="17.7109375"/>
    <col bestFit="1" customWidth="1" max="4346" min="4346" style="171" width="11.28515625"/>
    <col bestFit="1" customWidth="1" max="4347" min="4347" style="171" width="41.42578125"/>
    <col bestFit="1" customWidth="1" max="4348" min="4348" style="171" width="19"/>
    <col bestFit="1" customWidth="1" max="4349" min="4349" style="171" width="15"/>
    <col customWidth="1" max="4350" min="4350" style="171" width="57.85546875"/>
    <col bestFit="1" customWidth="1" max="4351" min="4351" style="171" width="12.85546875"/>
    <col customWidth="1" max="4352" min="4352" style="171" width="12"/>
    <col bestFit="1" customWidth="1" max="4353" min="4353" style="171" width="18.7109375"/>
    <col customWidth="1" max="4354" min="4354" style="171" width="11.42578125"/>
    <col bestFit="1" customWidth="1" max="4355" min="4355" style="171" width="20.140625"/>
    <col customWidth="1" max="4357" min="4356" style="171" width="11.42578125"/>
    <col bestFit="1" customWidth="1" max="4359" min="4358" style="171" width="23.7109375"/>
    <col customWidth="1" max="4600" min="4360" style="171" width="11.42578125"/>
    <col customWidth="1" max="4601" min="4601" style="171" width="17.7109375"/>
    <col bestFit="1" customWidth="1" max="4602" min="4602" style="171" width="11.28515625"/>
    <col bestFit="1" customWidth="1" max="4603" min="4603" style="171" width="41.42578125"/>
    <col bestFit="1" customWidth="1" max="4604" min="4604" style="171" width="19"/>
    <col bestFit="1" customWidth="1" max="4605" min="4605" style="171" width="15"/>
    <col customWidth="1" max="4606" min="4606" style="171" width="57.85546875"/>
    <col bestFit="1" customWidth="1" max="4607" min="4607" style="171" width="12.85546875"/>
    <col customWidth="1" max="4608" min="4608" style="171" width="12"/>
    <col bestFit="1" customWidth="1" max="4609" min="4609" style="171" width="18.7109375"/>
    <col customWidth="1" max="4610" min="4610" style="171" width="11.42578125"/>
    <col bestFit="1" customWidth="1" max="4611" min="4611" style="171" width="20.140625"/>
    <col customWidth="1" max="4613" min="4612" style="171" width="11.42578125"/>
    <col bestFit="1" customWidth="1" max="4615" min="4614" style="171" width="23.7109375"/>
    <col customWidth="1" max="4856" min="4616" style="171" width="11.42578125"/>
    <col customWidth="1" max="4857" min="4857" style="171" width="17.7109375"/>
    <col bestFit="1" customWidth="1" max="4858" min="4858" style="171" width="11.28515625"/>
    <col bestFit="1" customWidth="1" max="4859" min="4859" style="171" width="41.42578125"/>
    <col bestFit="1" customWidth="1" max="4860" min="4860" style="171" width="19"/>
    <col bestFit="1" customWidth="1" max="4861" min="4861" style="171" width="15"/>
    <col customWidth="1" max="4862" min="4862" style="171" width="57.85546875"/>
    <col bestFit="1" customWidth="1" max="4863" min="4863" style="171" width="12.85546875"/>
    <col customWidth="1" max="4864" min="4864" style="171" width="12"/>
    <col bestFit="1" customWidth="1" max="4865" min="4865" style="171" width="18.7109375"/>
    <col customWidth="1" max="4866" min="4866" style="171" width="11.42578125"/>
    <col bestFit="1" customWidth="1" max="4867" min="4867" style="171" width="20.140625"/>
    <col customWidth="1" max="4869" min="4868" style="171" width="11.42578125"/>
    <col bestFit="1" customWidth="1" max="4871" min="4870" style="171" width="23.7109375"/>
    <col customWidth="1" max="5112" min="4872" style="171" width="11.42578125"/>
    <col customWidth="1" max="5113" min="5113" style="171" width="17.7109375"/>
    <col bestFit="1" customWidth="1" max="5114" min="5114" style="171" width="11.28515625"/>
    <col bestFit="1" customWidth="1" max="5115" min="5115" style="171" width="41.42578125"/>
    <col bestFit="1" customWidth="1" max="5116" min="5116" style="171" width="19"/>
    <col bestFit="1" customWidth="1" max="5117" min="5117" style="171" width="15"/>
    <col customWidth="1" max="5118" min="5118" style="171" width="57.85546875"/>
    <col bestFit="1" customWidth="1" max="5119" min="5119" style="171" width="12.85546875"/>
    <col customWidth="1" max="5120" min="5120" style="171" width="12"/>
    <col bestFit="1" customWidth="1" max="5121" min="5121" style="171" width="18.7109375"/>
    <col customWidth="1" max="5122" min="5122" style="171" width="11.42578125"/>
    <col bestFit="1" customWidth="1" max="5123" min="5123" style="171" width="20.140625"/>
    <col customWidth="1" max="5125" min="5124" style="171" width="11.42578125"/>
    <col bestFit="1" customWidth="1" max="5127" min="5126" style="171" width="23.7109375"/>
    <col customWidth="1" max="5368" min="5128" style="171" width="11.42578125"/>
    <col customWidth="1" max="5369" min="5369" style="171" width="17.7109375"/>
    <col bestFit="1" customWidth="1" max="5370" min="5370" style="171" width="11.28515625"/>
    <col bestFit="1" customWidth="1" max="5371" min="5371" style="171" width="41.42578125"/>
    <col bestFit="1" customWidth="1" max="5372" min="5372" style="171" width="19"/>
    <col bestFit="1" customWidth="1" max="5373" min="5373" style="171" width="15"/>
    <col customWidth="1" max="5374" min="5374" style="171" width="57.85546875"/>
    <col bestFit="1" customWidth="1" max="5375" min="5375" style="171" width="12.85546875"/>
    <col customWidth="1" max="5376" min="5376" style="171" width="12"/>
    <col bestFit="1" customWidth="1" max="5377" min="5377" style="171" width="18.7109375"/>
    <col customWidth="1" max="5378" min="5378" style="171" width="11.42578125"/>
    <col bestFit="1" customWidth="1" max="5379" min="5379" style="171" width="20.140625"/>
    <col customWidth="1" max="5381" min="5380" style="171" width="11.42578125"/>
    <col bestFit="1" customWidth="1" max="5383" min="5382" style="171" width="23.7109375"/>
    <col customWidth="1" max="5624" min="5384" style="171" width="11.42578125"/>
    <col customWidth="1" max="5625" min="5625" style="171" width="17.7109375"/>
    <col bestFit="1" customWidth="1" max="5626" min="5626" style="171" width="11.28515625"/>
    <col bestFit="1" customWidth="1" max="5627" min="5627" style="171" width="41.42578125"/>
    <col bestFit="1" customWidth="1" max="5628" min="5628" style="171" width="19"/>
    <col bestFit="1" customWidth="1" max="5629" min="5629" style="171" width="15"/>
    <col customWidth="1" max="5630" min="5630" style="171" width="57.85546875"/>
    <col bestFit="1" customWidth="1" max="5631" min="5631" style="171" width="12.85546875"/>
    <col customWidth="1" max="5632" min="5632" style="171" width="12"/>
    <col bestFit="1" customWidth="1" max="5633" min="5633" style="171" width="18.7109375"/>
    <col customWidth="1" max="5634" min="5634" style="171" width="11.42578125"/>
    <col bestFit="1" customWidth="1" max="5635" min="5635" style="171" width="20.140625"/>
    <col customWidth="1" max="5637" min="5636" style="171" width="11.42578125"/>
    <col bestFit="1" customWidth="1" max="5639" min="5638" style="171" width="23.7109375"/>
    <col customWidth="1" max="5880" min="5640" style="171" width="11.42578125"/>
    <col customWidth="1" max="5881" min="5881" style="171" width="17.7109375"/>
    <col bestFit="1" customWidth="1" max="5882" min="5882" style="171" width="11.28515625"/>
    <col bestFit="1" customWidth="1" max="5883" min="5883" style="171" width="41.42578125"/>
    <col bestFit="1" customWidth="1" max="5884" min="5884" style="171" width="19"/>
    <col bestFit="1" customWidth="1" max="5885" min="5885" style="171" width="15"/>
    <col customWidth="1" max="5886" min="5886" style="171" width="57.85546875"/>
    <col bestFit="1" customWidth="1" max="5887" min="5887" style="171" width="12.85546875"/>
    <col customWidth="1" max="5888" min="5888" style="171" width="12"/>
    <col bestFit="1" customWidth="1" max="5889" min="5889" style="171" width="18.7109375"/>
    <col customWidth="1" max="5890" min="5890" style="171" width="11.42578125"/>
    <col bestFit="1" customWidth="1" max="5891" min="5891" style="171" width="20.140625"/>
    <col customWidth="1" max="5893" min="5892" style="171" width="11.42578125"/>
    <col bestFit="1" customWidth="1" max="5895" min="5894" style="171" width="23.7109375"/>
    <col customWidth="1" max="6136" min="5896" style="171" width="11.42578125"/>
    <col customWidth="1" max="6137" min="6137" style="171" width="17.7109375"/>
    <col bestFit="1" customWidth="1" max="6138" min="6138" style="171" width="11.28515625"/>
    <col bestFit="1" customWidth="1" max="6139" min="6139" style="171" width="41.42578125"/>
    <col bestFit="1" customWidth="1" max="6140" min="6140" style="171" width="19"/>
    <col bestFit="1" customWidth="1" max="6141" min="6141" style="171" width="15"/>
    <col customWidth="1" max="6142" min="6142" style="171" width="57.85546875"/>
    <col bestFit="1" customWidth="1" max="6143" min="6143" style="171" width="12.85546875"/>
    <col customWidth="1" max="6144" min="6144" style="171" width="12"/>
    <col bestFit="1" customWidth="1" max="6145" min="6145" style="171" width="18.7109375"/>
    <col customWidth="1" max="6146" min="6146" style="171" width="11.42578125"/>
    <col bestFit="1" customWidth="1" max="6147" min="6147" style="171" width="20.140625"/>
    <col customWidth="1" max="6149" min="6148" style="171" width="11.42578125"/>
    <col bestFit="1" customWidth="1" max="6151" min="6150" style="171" width="23.7109375"/>
    <col customWidth="1" max="6392" min="6152" style="171" width="11.42578125"/>
    <col customWidth="1" max="6393" min="6393" style="171" width="17.7109375"/>
    <col bestFit="1" customWidth="1" max="6394" min="6394" style="171" width="11.28515625"/>
    <col bestFit="1" customWidth="1" max="6395" min="6395" style="171" width="41.42578125"/>
    <col bestFit="1" customWidth="1" max="6396" min="6396" style="171" width="19"/>
    <col bestFit="1" customWidth="1" max="6397" min="6397" style="171" width="15"/>
    <col customWidth="1" max="6398" min="6398" style="171" width="57.85546875"/>
    <col bestFit="1" customWidth="1" max="6399" min="6399" style="171" width="12.85546875"/>
    <col customWidth="1" max="6400" min="6400" style="171" width="12"/>
    <col bestFit="1" customWidth="1" max="6401" min="6401" style="171" width="18.7109375"/>
    <col customWidth="1" max="6402" min="6402" style="171" width="11.42578125"/>
    <col bestFit="1" customWidth="1" max="6403" min="6403" style="171" width="20.140625"/>
    <col customWidth="1" max="6405" min="6404" style="171" width="11.42578125"/>
    <col bestFit="1" customWidth="1" max="6407" min="6406" style="171" width="23.7109375"/>
    <col customWidth="1" max="6648" min="6408" style="171" width="11.42578125"/>
    <col customWidth="1" max="6649" min="6649" style="171" width="17.7109375"/>
    <col bestFit="1" customWidth="1" max="6650" min="6650" style="171" width="11.28515625"/>
    <col bestFit="1" customWidth="1" max="6651" min="6651" style="171" width="41.42578125"/>
    <col bestFit="1" customWidth="1" max="6652" min="6652" style="171" width="19"/>
    <col bestFit="1" customWidth="1" max="6653" min="6653" style="171" width="15"/>
    <col customWidth="1" max="6654" min="6654" style="171" width="57.85546875"/>
    <col bestFit="1" customWidth="1" max="6655" min="6655" style="171" width="12.85546875"/>
    <col customWidth="1" max="6656" min="6656" style="171" width="12"/>
    <col bestFit="1" customWidth="1" max="6657" min="6657" style="171" width="18.7109375"/>
    <col customWidth="1" max="6658" min="6658" style="171" width="11.42578125"/>
    <col bestFit="1" customWidth="1" max="6659" min="6659" style="171" width="20.140625"/>
    <col customWidth="1" max="6661" min="6660" style="171" width="11.42578125"/>
    <col bestFit="1" customWidth="1" max="6663" min="6662" style="171" width="23.7109375"/>
    <col customWidth="1" max="6904" min="6664" style="171" width="11.42578125"/>
    <col customWidth="1" max="6905" min="6905" style="171" width="17.7109375"/>
    <col bestFit="1" customWidth="1" max="6906" min="6906" style="171" width="11.28515625"/>
    <col bestFit="1" customWidth="1" max="6907" min="6907" style="171" width="41.42578125"/>
    <col bestFit="1" customWidth="1" max="6908" min="6908" style="171" width="19"/>
    <col bestFit="1" customWidth="1" max="6909" min="6909" style="171" width="15"/>
    <col customWidth="1" max="6910" min="6910" style="171" width="57.85546875"/>
    <col bestFit="1" customWidth="1" max="6911" min="6911" style="171" width="12.85546875"/>
    <col customWidth="1" max="6912" min="6912" style="171" width="12"/>
    <col bestFit="1" customWidth="1" max="6913" min="6913" style="171" width="18.7109375"/>
    <col customWidth="1" max="6914" min="6914" style="171" width="11.42578125"/>
    <col bestFit="1" customWidth="1" max="6915" min="6915" style="171" width="20.140625"/>
    <col customWidth="1" max="6917" min="6916" style="171" width="11.42578125"/>
    <col bestFit="1" customWidth="1" max="6919" min="6918" style="171" width="23.7109375"/>
    <col customWidth="1" max="7160" min="6920" style="171" width="11.42578125"/>
    <col customWidth="1" max="7161" min="7161" style="171" width="17.7109375"/>
    <col bestFit="1" customWidth="1" max="7162" min="7162" style="171" width="11.28515625"/>
    <col bestFit="1" customWidth="1" max="7163" min="7163" style="171" width="41.42578125"/>
    <col bestFit="1" customWidth="1" max="7164" min="7164" style="171" width="19"/>
    <col bestFit="1" customWidth="1" max="7165" min="7165" style="171" width="15"/>
    <col customWidth="1" max="7166" min="7166" style="171" width="57.85546875"/>
    <col bestFit="1" customWidth="1" max="7167" min="7167" style="171" width="12.85546875"/>
    <col customWidth="1" max="7168" min="7168" style="171" width="12"/>
    <col bestFit="1" customWidth="1" max="7169" min="7169" style="171" width="18.7109375"/>
    <col customWidth="1" max="7170" min="7170" style="171" width="11.42578125"/>
    <col bestFit="1" customWidth="1" max="7171" min="7171" style="171" width="20.140625"/>
    <col customWidth="1" max="7173" min="7172" style="171" width="11.42578125"/>
    <col bestFit="1" customWidth="1" max="7175" min="7174" style="171" width="23.7109375"/>
    <col customWidth="1" max="7416" min="7176" style="171" width="11.42578125"/>
    <col customWidth="1" max="7417" min="7417" style="171" width="17.7109375"/>
    <col bestFit="1" customWidth="1" max="7418" min="7418" style="171" width="11.28515625"/>
    <col bestFit="1" customWidth="1" max="7419" min="7419" style="171" width="41.42578125"/>
    <col bestFit="1" customWidth="1" max="7420" min="7420" style="171" width="19"/>
    <col bestFit="1" customWidth="1" max="7421" min="7421" style="171" width="15"/>
    <col customWidth="1" max="7422" min="7422" style="171" width="57.85546875"/>
    <col bestFit="1" customWidth="1" max="7423" min="7423" style="171" width="12.85546875"/>
    <col customWidth="1" max="7424" min="7424" style="171" width="12"/>
    <col bestFit="1" customWidth="1" max="7425" min="7425" style="171" width="18.7109375"/>
    <col customWidth="1" max="7426" min="7426" style="171" width="11.42578125"/>
    <col bestFit="1" customWidth="1" max="7427" min="7427" style="171" width="20.140625"/>
    <col customWidth="1" max="7429" min="7428" style="171" width="11.42578125"/>
    <col bestFit="1" customWidth="1" max="7431" min="7430" style="171" width="23.7109375"/>
    <col customWidth="1" max="7672" min="7432" style="171" width="11.42578125"/>
    <col customWidth="1" max="7673" min="7673" style="171" width="17.7109375"/>
    <col bestFit="1" customWidth="1" max="7674" min="7674" style="171" width="11.28515625"/>
    <col bestFit="1" customWidth="1" max="7675" min="7675" style="171" width="41.42578125"/>
    <col bestFit="1" customWidth="1" max="7676" min="7676" style="171" width="19"/>
    <col bestFit="1" customWidth="1" max="7677" min="7677" style="171" width="15"/>
    <col customWidth="1" max="7678" min="7678" style="171" width="57.85546875"/>
    <col bestFit="1" customWidth="1" max="7679" min="7679" style="171" width="12.85546875"/>
    <col customWidth="1" max="7680" min="7680" style="171" width="12"/>
    <col bestFit="1" customWidth="1" max="7681" min="7681" style="171" width="18.7109375"/>
    <col customWidth="1" max="7682" min="7682" style="171" width="11.42578125"/>
    <col bestFit="1" customWidth="1" max="7683" min="7683" style="171" width="20.140625"/>
    <col customWidth="1" max="7685" min="7684" style="171" width="11.42578125"/>
    <col bestFit="1" customWidth="1" max="7687" min="7686" style="171" width="23.7109375"/>
    <col customWidth="1" max="7928" min="7688" style="171" width="11.42578125"/>
    <col customWidth="1" max="7929" min="7929" style="171" width="17.7109375"/>
    <col bestFit="1" customWidth="1" max="7930" min="7930" style="171" width="11.28515625"/>
    <col bestFit="1" customWidth="1" max="7931" min="7931" style="171" width="41.42578125"/>
    <col bestFit="1" customWidth="1" max="7932" min="7932" style="171" width="19"/>
    <col bestFit="1" customWidth="1" max="7933" min="7933" style="171" width="15"/>
    <col customWidth="1" max="7934" min="7934" style="171" width="57.85546875"/>
    <col bestFit="1" customWidth="1" max="7935" min="7935" style="171" width="12.85546875"/>
    <col customWidth="1" max="7936" min="7936" style="171" width="12"/>
    <col bestFit="1" customWidth="1" max="7937" min="7937" style="171" width="18.7109375"/>
    <col customWidth="1" max="7938" min="7938" style="171" width="11.42578125"/>
    <col bestFit="1" customWidth="1" max="7939" min="7939" style="171" width="20.140625"/>
    <col customWidth="1" max="7941" min="7940" style="171" width="11.42578125"/>
    <col bestFit="1" customWidth="1" max="7943" min="7942" style="171" width="23.7109375"/>
    <col customWidth="1" max="8184" min="7944" style="171" width="11.42578125"/>
    <col customWidth="1" max="8185" min="8185" style="171" width="17.7109375"/>
    <col bestFit="1" customWidth="1" max="8186" min="8186" style="171" width="11.28515625"/>
    <col bestFit="1" customWidth="1" max="8187" min="8187" style="171" width="41.42578125"/>
    <col bestFit="1" customWidth="1" max="8188" min="8188" style="171" width="19"/>
    <col bestFit="1" customWidth="1" max="8189" min="8189" style="171" width="15"/>
    <col customWidth="1" max="8190" min="8190" style="171" width="57.85546875"/>
    <col bestFit="1" customWidth="1" max="8191" min="8191" style="171" width="12.85546875"/>
    <col customWidth="1" max="8192" min="8192" style="171" width="12"/>
    <col bestFit="1" customWidth="1" max="8193" min="8193" style="171" width="18.7109375"/>
    <col customWidth="1" max="8194" min="8194" style="171" width="11.42578125"/>
    <col bestFit="1" customWidth="1" max="8195" min="8195" style="171" width="20.140625"/>
    <col customWidth="1" max="8197" min="8196" style="171" width="11.42578125"/>
    <col bestFit="1" customWidth="1" max="8199" min="8198" style="171" width="23.7109375"/>
    <col customWidth="1" max="8440" min="8200" style="171" width="11.42578125"/>
    <col customWidth="1" max="8441" min="8441" style="171" width="17.7109375"/>
    <col bestFit="1" customWidth="1" max="8442" min="8442" style="171" width="11.28515625"/>
    <col bestFit="1" customWidth="1" max="8443" min="8443" style="171" width="41.42578125"/>
    <col bestFit="1" customWidth="1" max="8444" min="8444" style="171" width="19"/>
    <col bestFit="1" customWidth="1" max="8445" min="8445" style="171" width="15"/>
    <col customWidth="1" max="8446" min="8446" style="171" width="57.85546875"/>
    <col bestFit="1" customWidth="1" max="8447" min="8447" style="171" width="12.85546875"/>
    <col customWidth="1" max="8448" min="8448" style="171" width="12"/>
    <col bestFit="1" customWidth="1" max="8449" min="8449" style="171" width="18.7109375"/>
    <col customWidth="1" max="8450" min="8450" style="171" width="11.42578125"/>
    <col bestFit="1" customWidth="1" max="8451" min="8451" style="171" width="20.140625"/>
    <col customWidth="1" max="8453" min="8452" style="171" width="11.42578125"/>
    <col bestFit="1" customWidth="1" max="8455" min="8454" style="171" width="23.7109375"/>
    <col customWidth="1" max="8696" min="8456" style="171" width="11.42578125"/>
    <col customWidth="1" max="8697" min="8697" style="171" width="17.7109375"/>
    <col bestFit="1" customWidth="1" max="8698" min="8698" style="171" width="11.28515625"/>
    <col bestFit="1" customWidth="1" max="8699" min="8699" style="171" width="41.42578125"/>
    <col bestFit="1" customWidth="1" max="8700" min="8700" style="171" width="19"/>
    <col bestFit="1" customWidth="1" max="8701" min="8701" style="171" width="15"/>
    <col customWidth="1" max="8702" min="8702" style="171" width="57.85546875"/>
    <col bestFit="1" customWidth="1" max="8703" min="8703" style="171" width="12.85546875"/>
    <col customWidth="1" max="8704" min="8704" style="171" width="12"/>
    <col bestFit="1" customWidth="1" max="8705" min="8705" style="171" width="18.7109375"/>
    <col customWidth="1" max="8706" min="8706" style="171" width="11.42578125"/>
    <col bestFit="1" customWidth="1" max="8707" min="8707" style="171" width="20.140625"/>
    <col customWidth="1" max="8709" min="8708" style="171" width="11.42578125"/>
    <col bestFit="1" customWidth="1" max="8711" min="8710" style="171" width="23.7109375"/>
    <col customWidth="1" max="8952" min="8712" style="171" width="11.42578125"/>
    <col customWidth="1" max="8953" min="8953" style="171" width="17.7109375"/>
    <col bestFit="1" customWidth="1" max="8954" min="8954" style="171" width="11.28515625"/>
    <col bestFit="1" customWidth="1" max="8955" min="8955" style="171" width="41.42578125"/>
    <col bestFit="1" customWidth="1" max="8956" min="8956" style="171" width="19"/>
    <col bestFit="1" customWidth="1" max="8957" min="8957" style="171" width="15"/>
    <col customWidth="1" max="8958" min="8958" style="171" width="57.85546875"/>
    <col bestFit="1" customWidth="1" max="8959" min="8959" style="171" width="12.85546875"/>
    <col customWidth="1" max="8960" min="8960" style="171" width="12"/>
    <col bestFit="1" customWidth="1" max="8961" min="8961" style="171" width="18.7109375"/>
    <col customWidth="1" max="8962" min="8962" style="171" width="11.42578125"/>
    <col bestFit="1" customWidth="1" max="8963" min="8963" style="171" width="20.140625"/>
    <col customWidth="1" max="8965" min="8964" style="171" width="11.42578125"/>
    <col bestFit="1" customWidth="1" max="8967" min="8966" style="171" width="23.7109375"/>
    <col customWidth="1" max="9208" min="8968" style="171" width="11.42578125"/>
    <col customWidth="1" max="9209" min="9209" style="171" width="17.7109375"/>
    <col bestFit="1" customWidth="1" max="9210" min="9210" style="171" width="11.28515625"/>
    <col bestFit="1" customWidth="1" max="9211" min="9211" style="171" width="41.42578125"/>
    <col bestFit="1" customWidth="1" max="9212" min="9212" style="171" width="19"/>
    <col bestFit="1" customWidth="1" max="9213" min="9213" style="171" width="15"/>
    <col customWidth="1" max="9214" min="9214" style="171" width="57.85546875"/>
    <col bestFit="1" customWidth="1" max="9215" min="9215" style="171" width="12.85546875"/>
    <col customWidth="1" max="9216" min="9216" style="171" width="12"/>
    <col bestFit="1" customWidth="1" max="9217" min="9217" style="171" width="18.7109375"/>
    <col customWidth="1" max="9218" min="9218" style="171" width="11.42578125"/>
    <col bestFit="1" customWidth="1" max="9219" min="9219" style="171" width="20.140625"/>
    <col customWidth="1" max="9221" min="9220" style="171" width="11.42578125"/>
    <col bestFit="1" customWidth="1" max="9223" min="9222" style="171" width="23.7109375"/>
    <col customWidth="1" max="9464" min="9224" style="171" width="11.42578125"/>
    <col customWidth="1" max="9465" min="9465" style="171" width="17.7109375"/>
    <col bestFit="1" customWidth="1" max="9466" min="9466" style="171" width="11.28515625"/>
    <col bestFit="1" customWidth="1" max="9467" min="9467" style="171" width="41.42578125"/>
    <col bestFit="1" customWidth="1" max="9468" min="9468" style="171" width="19"/>
    <col bestFit="1" customWidth="1" max="9469" min="9469" style="171" width="15"/>
    <col customWidth="1" max="9470" min="9470" style="171" width="57.85546875"/>
    <col bestFit="1" customWidth="1" max="9471" min="9471" style="171" width="12.85546875"/>
    <col customWidth="1" max="9472" min="9472" style="171" width="12"/>
    <col bestFit="1" customWidth="1" max="9473" min="9473" style="171" width="18.7109375"/>
    <col customWidth="1" max="9474" min="9474" style="171" width="11.42578125"/>
    <col bestFit="1" customWidth="1" max="9475" min="9475" style="171" width="20.140625"/>
    <col customWidth="1" max="9477" min="9476" style="171" width="11.42578125"/>
    <col bestFit="1" customWidth="1" max="9479" min="9478" style="171" width="23.7109375"/>
    <col customWidth="1" max="9720" min="9480" style="171" width="11.42578125"/>
    <col customWidth="1" max="9721" min="9721" style="171" width="17.7109375"/>
    <col bestFit="1" customWidth="1" max="9722" min="9722" style="171" width="11.28515625"/>
    <col bestFit="1" customWidth="1" max="9723" min="9723" style="171" width="41.42578125"/>
    <col bestFit="1" customWidth="1" max="9724" min="9724" style="171" width="19"/>
    <col bestFit="1" customWidth="1" max="9725" min="9725" style="171" width="15"/>
    <col customWidth="1" max="9726" min="9726" style="171" width="57.85546875"/>
    <col bestFit="1" customWidth="1" max="9727" min="9727" style="171" width="12.85546875"/>
    <col customWidth="1" max="9728" min="9728" style="171" width="12"/>
    <col bestFit="1" customWidth="1" max="9729" min="9729" style="171" width="18.7109375"/>
    <col customWidth="1" max="9730" min="9730" style="171" width="11.42578125"/>
    <col bestFit="1" customWidth="1" max="9731" min="9731" style="171" width="20.140625"/>
    <col customWidth="1" max="9733" min="9732" style="171" width="11.42578125"/>
    <col bestFit="1" customWidth="1" max="9735" min="9734" style="171" width="23.7109375"/>
    <col customWidth="1" max="9976" min="9736" style="171" width="11.42578125"/>
    <col customWidth="1" max="9977" min="9977" style="171" width="17.7109375"/>
    <col bestFit="1" customWidth="1" max="9978" min="9978" style="171" width="11.28515625"/>
    <col bestFit="1" customWidth="1" max="9979" min="9979" style="171" width="41.42578125"/>
    <col bestFit="1" customWidth="1" max="9980" min="9980" style="171" width="19"/>
    <col bestFit="1" customWidth="1" max="9981" min="9981" style="171" width="15"/>
    <col customWidth="1" max="9982" min="9982" style="171" width="57.85546875"/>
    <col bestFit="1" customWidth="1" max="9983" min="9983" style="171" width="12.85546875"/>
    <col customWidth="1" max="9984" min="9984" style="171" width="12"/>
    <col bestFit="1" customWidth="1" max="9985" min="9985" style="171" width="18.7109375"/>
    <col customWidth="1" max="9986" min="9986" style="171" width="11.42578125"/>
    <col bestFit="1" customWidth="1" max="9987" min="9987" style="171" width="20.140625"/>
    <col customWidth="1" max="9989" min="9988" style="171" width="11.42578125"/>
    <col bestFit="1" customWidth="1" max="9991" min="9990" style="171" width="23.7109375"/>
    <col customWidth="1" max="10232" min="9992" style="171" width="11.42578125"/>
    <col customWidth="1" max="10233" min="10233" style="171" width="17.7109375"/>
    <col bestFit="1" customWidth="1" max="10234" min="10234" style="171" width="11.28515625"/>
    <col bestFit="1" customWidth="1" max="10235" min="10235" style="171" width="41.42578125"/>
    <col bestFit="1" customWidth="1" max="10236" min="10236" style="171" width="19"/>
    <col bestFit="1" customWidth="1" max="10237" min="10237" style="171" width="15"/>
    <col customWidth="1" max="10238" min="10238" style="171" width="57.85546875"/>
    <col bestFit="1" customWidth="1" max="10239" min="10239" style="171" width="12.85546875"/>
    <col customWidth="1" max="10240" min="10240" style="171" width="12"/>
    <col bestFit="1" customWidth="1" max="10241" min="10241" style="171" width="18.7109375"/>
    <col customWidth="1" max="10242" min="10242" style="171" width="11.42578125"/>
    <col bestFit="1" customWidth="1" max="10243" min="10243" style="171" width="20.140625"/>
    <col customWidth="1" max="10245" min="10244" style="171" width="11.42578125"/>
    <col bestFit="1" customWidth="1" max="10247" min="10246" style="171" width="23.7109375"/>
    <col customWidth="1" max="10488" min="10248" style="171" width="11.42578125"/>
    <col customWidth="1" max="10489" min="10489" style="171" width="17.7109375"/>
    <col bestFit="1" customWidth="1" max="10490" min="10490" style="171" width="11.28515625"/>
    <col bestFit="1" customWidth="1" max="10491" min="10491" style="171" width="41.42578125"/>
    <col bestFit="1" customWidth="1" max="10492" min="10492" style="171" width="19"/>
    <col bestFit="1" customWidth="1" max="10493" min="10493" style="171" width="15"/>
    <col customWidth="1" max="10494" min="10494" style="171" width="57.85546875"/>
    <col bestFit="1" customWidth="1" max="10495" min="10495" style="171" width="12.85546875"/>
    <col customWidth="1" max="10496" min="10496" style="171" width="12"/>
    <col bestFit="1" customWidth="1" max="10497" min="10497" style="171" width="18.7109375"/>
    <col customWidth="1" max="10498" min="10498" style="171" width="11.42578125"/>
    <col bestFit="1" customWidth="1" max="10499" min="10499" style="171" width="20.140625"/>
    <col customWidth="1" max="10501" min="10500" style="171" width="11.42578125"/>
    <col bestFit="1" customWidth="1" max="10503" min="10502" style="171" width="23.7109375"/>
    <col customWidth="1" max="10744" min="10504" style="171" width="11.42578125"/>
    <col customWidth="1" max="10745" min="10745" style="171" width="17.7109375"/>
    <col bestFit="1" customWidth="1" max="10746" min="10746" style="171" width="11.28515625"/>
    <col bestFit="1" customWidth="1" max="10747" min="10747" style="171" width="41.42578125"/>
    <col bestFit="1" customWidth="1" max="10748" min="10748" style="171" width="19"/>
    <col bestFit="1" customWidth="1" max="10749" min="10749" style="171" width="15"/>
    <col customWidth="1" max="10750" min="10750" style="171" width="57.85546875"/>
    <col bestFit="1" customWidth="1" max="10751" min="10751" style="171" width="12.85546875"/>
    <col customWidth="1" max="10752" min="10752" style="171" width="12"/>
    <col bestFit="1" customWidth="1" max="10753" min="10753" style="171" width="18.7109375"/>
    <col customWidth="1" max="10754" min="10754" style="171" width="11.42578125"/>
    <col bestFit="1" customWidth="1" max="10755" min="10755" style="171" width="20.140625"/>
    <col customWidth="1" max="10757" min="10756" style="171" width="11.42578125"/>
    <col bestFit="1" customWidth="1" max="10759" min="10758" style="171" width="23.7109375"/>
    <col customWidth="1" max="11000" min="10760" style="171" width="11.42578125"/>
    <col customWidth="1" max="11001" min="11001" style="171" width="17.7109375"/>
    <col bestFit="1" customWidth="1" max="11002" min="11002" style="171" width="11.28515625"/>
    <col bestFit="1" customWidth="1" max="11003" min="11003" style="171" width="41.42578125"/>
    <col bestFit="1" customWidth="1" max="11004" min="11004" style="171" width="19"/>
    <col bestFit="1" customWidth="1" max="11005" min="11005" style="171" width="15"/>
    <col customWidth="1" max="11006" min="11006" style="171" width="57.85546875"/>
    <col bestFit="1" customWidth="1" max="11007" min="11007" style="171" width="12.85546875"/>
    <col customWidth="1" max="11008" min="11008" style="171" width="12"/>
    <col bestFit="1" customWidth="1" max="11009" min="11009" style="171" width="18.7109375"/>
    <col customWidth="1" max="11010" min="11010" style="171" width="11.42578125"/>
    <col bestFit="1" customWidth="1" max="11011" min="11011" style="171" width="20.140625"/>
    <col customWidth="1" max="11013" min="11012" style="171" width="11.42578125"/>
    <col bestFit="1" customWidth="1" max="11015" min="11014" style="171" width="23.7109375"/>
    <col customWidth="1" max="11256" min="11016" style="171" width="11.42578125"/>
    <col customWidth="1" max="11257" min="11257" style="171" width="17.7109375"/>
    <col bestFit="1" customWidth="1" max="11258" min="11258" style="171" width="11.28515625"/>
    <col bestFit="1" customWidth="1" max="11259" min="11259" style="171" width="41.42578125"/>
    <col bestFit="1" customWidth="1" max="11260" min="11260" style="171" width="19"/>
    <col bestFit="1" customWidth="1" max="11261" min="11261" style="171" width="15"/>
    <col customWidth="1" max="11262" min="11262" style="171" width="57.85546875"/>
    <col bestFit="1" customWidth="1" max="11263" min="11263" style="171" width="12.85546875"/>
    <col customWidth="1" max="11264" min="11264" style="171" width="12"/>
    <col bestFit="1" customWidth="1" max="11265" min="11265" style="171" width="18.7109375"/>
    <col customWidth="1" max="11266" min="11266" style="171" width="11.42578125"/>
    <col bestFit="1" customWidth="1" max="11267" min="11267" style="171" width="20.140625"/>
    <col customWidth="1" max="11269" min="11268" style="171" width="11.42578125"/>
    <col bestFit="1" customWidth="1" max="11271" min="11270" style="171" width="23.7109375"/>
    <col customWidth="1" max="11512" min="11272" style="171" width="11.42578125"/>
    <col customWidth="1" max="11513" min="11513" style="171" width="17.7109375"/>
    <col bestFit="1" customWidth="1" max="11514" min="11514" style="171" width="11.28515625"/>
    <col bestFit="1" customWidth="1" max="11515" min="11515" style="171" width="41.42578125"/>
    <col bestFit="1" customWidth="1" max="11516" min="11516" style="171" width="19"/>
    <col bestFit="1" customWidth="1" max="11517" min="11517" style="171" width="15"/>
    <col customWidth="1" max="11518" min="11518" style="171" width="57.85546875"/>
    <col bestFit="1" customWidth="1" max="11519" min="11519" style="171" width="12.85546875"/>
    <col customWidth="1" max="11520" min="11520" style="171" width="12"/>
    <col bestFit="1" customWidth="1" max="11521" min="11521" style="171" width="18.7109375"/>
    <col customWidth="1" max="11522" min="11522" style="171" width="11.42578125"/>
    <col bestFit="1" customWidth="1" max="11523" min="11523" style="171" width="20.140625"/>
    <col customWidth="1" max="11525" min="11524" style="171" width="11.42578125"/>
    <col bestFit="1" customWidth="1" max="11527" min="11526" style="171" width="23.7109375"/>
    <col customWidth="1" max="11768" min="11528" style="171" width="11.42578125"/>
    <col customWidth="1" max="11769" min="11769" style="171" width="17.7109375"/>
    <col bestFit="1" customWidth="1" max="11770" min="11770" style="171" width="11.28515625"/>
    <col bestFit="1" customWidth="1" max="11771" min="11771" style="171" width="41.42578125"/>
    <col bestFit="1" customWidth="1" max="11772" min="11772" style="171" width="19"/>
    <col bestFit="1" customWidth="1" max="11773" min="11773" style="171" width="15"/>
    <col customWidth="1" max="11774" min="11774" style="171" width="57.85546875"/>
    <col bestFit="1" customWidth="1" max="11775" min="11775" style="171" width="12.85546875"/>
    <col customWidth="1" max="11776" min="11776" style="171" width="12"/>
    <col bestFit="1" customWidth="1" max="11777" min="11777" style="171" width="18.7109375"/>
    <col customWidth="1" max="11778" min="11778" style="171" width="11.42578125"/>
    <col bestFit="1" customWidth="1" max="11779" min="11779" style="171" width="20.140625"/>
    <col customWidth="1" max="11781" min="11780" style="171" width="11.42578125"/>
    <col bestFit="1" customWidth="1" max="11783" min="11782" style="171" width="23.7109375"/>
    <col customWidth="1" max="12024" min="11784" style="171" width="11.42578125"/>
    <col customWidth="1" max="12025" min="12025" style="171" width="17.7109375"/>
    <col bestFit="1" customWidth="1" max="12026" min="12026" style="171" width="11.28515625"/>
    <col bestFit="1" customWidth="1" max="12027" min="12027" style="171" width="41.42578125"/>
    <col bestFit="1" customWidth="1" max="12028" min="12028" style="171" width="19"/>
    <col bestFit="1" customWidth="1" max="12029" min="12029" style="171" width="15"/>
    <col customWidth="1" max="12030" min="12030" style="171" width="57.85546875"/>
    <col bestFit="1" customWidth="1" max="12031" min="12031" style="171" width="12.85546875"/>
    <col customWidth="1" max="12032" min="12032" style="171" width="12"/>
    <col bestFit="1" customWidth="1" max="12033" min="12033" style="171" width="18.7109375"/>
    <col customWidth="1" max="12034" min="12034" style="171" width="11.42578125"/>
    <col bestFit="1" customWidth="1" max="12035" min="12035" style="171" width="20.140625"/>
    <col customWidth="1" max="12037" min="12036" style="171" width="11.42578125"/>
    <col bestFit="1" customWidth="1" max="12039" min="12038" style="171" width="23.7109375"/>
    <col customWidth="1" max="12280" min="12040" style="171" width="11.42578125"/>
    <col customWidth="1" max="12281" min="12281" style="171" width="17.7109375"/>
    <col bestFit="1" customWidth="1" max="12282" min="12282" style="171" width="11.28515625"/>
    <col bestFit="1" customWidth="1" max="12283" min="12283" style="171" width="41.42578125"/>
    <col bestFit="1" customWidth="1" max="12284" min="12284" style="171" width="19"/>
    <col bestFit="1" customWidth="1" max="12285" min="12285" style="171" width="15"/>
    <col customWidth="1" max="12286" min="12286" style="171" width="57.85546875"/>
    <col bestFit="1" customWidth="1" max="12287" min="12287" style="171" width="12.85546875"/>
    <col customWidth="1" max="12288" min="12288" style="171" width="12"/>
    <col bestFit="1" customWidth="1" max="12289" min="12289" style="171" width="18.7109375"/>
    <col customWidth="1" max="12290" min="12290" style="171" width="11.42578125"/>
    <col bestFit="1" customWidth="1" max="12291" min="12291" style="171" width="20.140625"/>
    <col customWidth="1" max="12293" min="12292" style="171" width="11.42578125"/>
    <col bestFit="1" customWidth="1" max="12295" min="12294" style="171" width="23.7109375"/>
    <col customWidth="1" max="12536" min="12296" style="171" width="11.42578125"/>
    <col customWidth="1" max="12537" min="12537" style="171" width="17.7109375"/>
    <col bestFit="1" customWidth="1" max="12538" min="12538" style="171" width="11.28515625"/>
    <col bestFit="1" customWidth="1" max="12539" min="12539" style="171" width="41.42578125"/>
    <col bestFit="1" customWidth="1" max="12540" min="12540" style="171" width="19"/>
    <col bestFit="1" customWidth="1" max="12541" min="12541" style="171" width="15"/>
    <col customWidth="1" max="12542" min="12542" style="171" width="57.85546875"/>
    <col bestFit="1" customWidth="1" max="12543" min="12543" style="171" width="12.85546875"/>
    <col customWidth="1" max="12544" min="12544" style="171" width="12"/>
    <col bestFit="1" customWidth="1" max="12545" min="12545" style="171" width="18.7109375"/>
    <col customWidth="1" max="12546" min="12546" style="171" width="11.42578125"/>
    <col bestFit="1" customWidth="1" max="12547" min="12547" style="171" width="20.140625"/>
    <col customWidth="1" max="12549" min="12548" style="171" width="11.42578125"/>
    <col bestFit="1" customWidth="1" max="12551" min="12550" style="171" width="23.7109375"/>
    <col customWidth="1" max="12792" min="12552" style="171" width="11.42578125"/>
    <col customWidth="1" max="12793" min="12793" style="171" width="17.7109375"/>
    <col bestFit="1" customWidth="1" max="12794" min="12794" style="171" width="11.28515625"/>
    <col bestFit="1" customWidth="1" max="12795" min="12795" style="171" width="41.42578125"/>
    <col bestFit="1" customWidth="1" max="12796" min="12796" style="171" width="19"/>
    <col bestFit="1" customWidth="1" max="12797" min="12797" style="171" width="15"/>
    <col customWidth="1" max="12798" min="12798" style="171" width="57.85546875"/>
    <col bestFit="1" customWidth="1" max="12799" min="12799" style="171" width="12.85546875"/>
    <col customWidth="1" max="12800" min="12800" style="171" width="12"/>
    <col bestFit="1" customWidth="1" max="12801" min="12801" style="171" width="18.7109375"/>
    <col customWidth="1" max="12802" min="12802" style="171" width="11.42578125"/>
    <col bestFit="1" customWidth="1" max="12803" min="12803" style="171" width="20.140625"/>
    <col customWidth="1" max="12805" min="12804" style="171" width="11.42578125"/>
    <col bestFit="1" customWidth="1" max="12807" min="12806" style="171" width="23.7109375"/>
    <col customWidth="1" max="13048" min="12808" style="171" width="11.42578125"/>
    <col customWidth="1" max="13049" min="13049" style="171" width="17.7109375"/>
    <col bestFit="1" customWidth="1" max="13050" min="13050" style="171" width="11.28515625"/>
    <col bestFit="1" customWidth="1" max="13051" min="13051" style="171" width="41.42578125"/>
    <col bestFit="1" customWidth="1" max="13052" min="13052" style="171" width="19"/>
    <col bestFit="1" customWidth="1" max="13053" min="13053" style="171" width="15"/>
    <col customWidth="1" max="13054" min="13054" style="171" width="57.85546875"/>
    <col bestFit="1" customWidth="1" max="13055" min="13055" style="171" width="12.85546875"/>
    <col customWidth="1" max="13056" min="13056" style="171" width="12"/>
    <col bestFit="1" customWidth="1" max="13057" min="13057" style="171" width="18.7109375"/>
    <col customWidth="1" max="13058" min="13058" style="171" width="11.42578125"/>
    <col bestFit="1" customWidth="1" max="13059" min="13059" style="171" width="20.140625"/>
    <col customWidth="1" max="13061" min="13060" style="171" width="11.42578125"/>
    <col bestFit="1" customWidth="1" max="13063" min="13062" style="171" width="23.7109375"/>
    <col customWidth="1" max="13304" min="13064" style="171" width="11.42578125"/>
    <col customWidth="1" max="13305" min="13305" style="171" width="17.7109375"/>
    <col bestFit="1" customWidth="1" max="13306" min="13306" style="171" width="11.28515625"/>
    <col bestFit="1" customWidth="1" max="13307" min="13307" style="171" width="41.42578125"/>
    <col bestFit="1" customWidth="1" max="13308" min="13308" style="171" width="19"/>
    <col bestFit="1" customWidth="1" max="13309" min="13309" style="171" width="15"/>
    <col customWidth="1" max="13310" min="13310" style="171" width="57.85546875"/>
    <col bestFit="1" customWidth="1" max="13311" min="13311" style="171" width="12.85546875"/>
    <col customWidth="1" max="13312" min="13312" style="171" width="12"/>
    <col bestFit="1" customWidth="1" max="13313" min="13313" style="171" width="18.7109375"/>
    <col customWidth="1" max="13314" min="13314" style="171" width="11.42578125"/>
    <col bestFit="1" customWidth="1" max="13315" min="13315" style="171" width="20.140625"/>
    <col customWidth="1" max="13317" min="13316" style="171" width="11.42578125"/>
    <col bestFit="1" customWidth="1" max="13319" min="13318" style="171" width="23.7109375"/>
    <col customWidth="1" max="13560" min="13320" style="171" width="11.42578125"/>
    <col customWidth="1" max="13561" min="13561" style="171" width="17.7109375"/>
    <col bestFit="1" customWidth="1" max="13562" min="13562" style="171" width="11.28515625"/>
    <col bestFit="1" customWidth="1" max="13563" min="13563" style="171" width="41.42578125"/>
    <col bestFit="1" customWidth="1" max="13564" min="13564" style="171" width="19"/>
    <col bestFit="1" customWidth="1" max="13565" min="13565" style="171" width="15"/>
    <col customWidth="1" max="13566" min="13566" style="171" width="57.85546875"/>
    <col bestFit="1" customWidth="1" max="13567" min="13567" style="171" width="12.85546875"/>
    <col customWidth="1" max="13568" min="13568" style="171" width="12"/>
    <col bestFit="1" customWidth="1" max="13569" min="13569" style="171" width="18.7109375"/>
    <col customWidth="1" max="13570" min="13570" style="171" width="11.42578125"/>
    <col bestFit="1" customWidth="1" max="13571" min="13571" style="171" width="20.140625"/>
    <col customWidth="1" max="13573" min="13572" style="171" width="11.42578125"/>
    <col bestFit="1" customWidth="1" max="13575" min="13574" style="171" width="23.7109375"/>
    <col customWidth="1" max="13816" min="13576" style="171" width="11.42578125"/>
    <col customWidth="1" max="13817" min="13817" style="171" width="17.7109375"/>
    <col bestFit="1" customWidth="1" max="13818" min="13818" style="171" width="11.28515625"/>
    <col bestFit="1" customWidth="1" max="13819" min="13819" style="171" width="41.42578125"/>
    <col bestFit="1" customWidth="1" max="13820" min="13820" style="171" width="19"/>
    <col bestFit="1" customWidth="1" max="13821" min="13821" style="171" width="15"/>
    <col customWidth="1" max="13822" min="13822" style="171" width="57.85546875"/>
    <col bestFit="1" customWidth="1" max="13823" min="13823" style="171" width="12.85546875"/>
    <col customWidth="1" max="13824" min="13824" style="171" width="12"/>
    <col bestFit="1" customWidth="1" max="13825" min="13825" style="171" width="18.7109375"/>
    <col customWidth="1" max="13826" min="13826" style="171" width="11.42578125"/>
    <col bestFit="1" customWidth="1" max="13827" min="13827" style="171" width="20.140625"/>
    <col customWidth="1" max="13829" min="13828" style="171" width="11.42578125"/>
    <col bestFit="1" customWidth="1" max="13831" min="13830" style="171" width="23.7109375"/>
    <col customWidth="1" max="14072" min="13832" style="171" width="11.42578125"/>
    <col customWidth="1" max="14073" min="14073" style="171" width="17.7109375"/>
    <col bestFit="1" customWidth="1" max="14074" min="14074" style="171" width="11.28515625"/>
    <col bestFit="1" customWidth="1" max="14075" min="14075" style="171" width="41.42578125"/>
    <col bestFit="1" customWidth="1" max="14076" min="14076" style="171" width="19"/>
    <col bestFit="1" customWidth="1" max="14077" min="14077" style="171" width="15"/>
    <col customWidth="1" max="14078" min="14078" style="171" width="57.85546875"/>
    <col bestFit="1" customWidth="1" max="14079" min="14079" style="171" width="12.85546875"/>
    <col customWidth="1" max="14080" min="14080" style="171" width="12"/>
    <col bestFit="1" customWidth="1" max="14081" min="14081" style="171" width="18.7109375"/>
    <col customWidth="1" max="14082" min="14082" style="171" width="11.42578125"/>
    <col bestFit="1" customWidth="1" max="14083" min="14083" style="171" width="20.140625"/>
    <col customWidth="1" max="14085" min="14084" style="171" width="11.42578125"/>
    <col bestFit="1" customWidth="1" max="14087" min="14086" style="171" width="23.7109375"/>
    <col customWidth="1" max="14328" min="14088" style="171" width="11.42578125"/>
    <col customWidth="1" max="14329" min="14329" style="171" width="17.7109375"/>
    <col bestFit="1" customWidth="1" max="14330" min="14330" style="171" width="11.28515625"/>
    <col bestFit="1" customWidth="1" max="14331" min="14331" style="171" width="41.42578125"/>
    <col bestFit="1" customWidth="1" max="14332" min="14332" style="171" width="19"/>
    <col bestFit="1" customWidth="1" max="14333" min="14333" style="171" width="15"/>
    <col customWidth="1" max="14334" min="14334" style="171" width="57.85546875"/>
    <col bestFit="1" customWidth="1" max="14335" min="14335" style="171" width="12.85546875"/>
    <col customWidth="1" max="14336" min="14336" style="171" width="12"/>
    <col bestFit="1" customWidth="1" max="14337" min="14337" style="171" width="18.7109375"/>
    <col customWidth="1" max="14338" min="14338" style="171" width="11.42578125"/>
    <col bestFit="1" customWidth="1" max="14339" min="14339" style="171" width="20.140625"/>
    <col customWidth="1" max="14341" min="14340" style="171" width="11.42578125"/>
    <col bestFit="1" customWidth="1" max="14343" min="14342" style="171" width="23.7109375"/>
    <col customWidth="1" max="14584" min="14344" style="171" width="11.42578125"/>
    <col customWidth="1" max="14585" min="14585" style="171" width="17.7109375"/>
    <col bestFit="1" customWidth="1" max="14586" min="14586" style="171" width="11.28515625"/>
    <col bestFit="1" customWidth="1" max="14587" min="14587" style="171" width="41.42578125"/>
    <col bestFit="1" customWidth="1" max="14588" min="14588" style="171" width="19"/>
    <col bestFit="1" customWidth="1" max="14589" min="14589" style="171" width="15"/>
    <col customWidth="1" max="14590" min="14590" style="171" width="57.85546875"/>
    <col bestFit="1" customWidth="1" max="14591" min="14591" style="171" width="12.85546875"/>
    <col customWidth="1" max="14592" min="14592" style="171" width="12"/>
    <col bestFit="1" customWidth="1" max="14593" min="14593" style="171" width="18.7109375"/>
    <col customWidth="1" max="14594" min="14594" style="171" width="11.42578125"/>
    <col bestFit="1" customWidth="1" max="14595" min="14595" style="171" width="20.140625"/>
    <col customWidth="1" max="14597" min="14596" style="171" width="11.42578125"/>
    <col bestFit="1" customWidth="1" max="14599" min="14598" style="171" width="23.7109375"/>
    <col customWidth="1" max="14840" min="14600" style="171" width="11.42578125"/>
    <col customWidth="1" max="14841" min="14841" style="171" width="17.7109375"/>
    <col bestFit="1" customWidth="1" max="14842" min="14842" style="171" width="11.28515625"/>
    <col bestFit="1" customWidth="1" max="14843" min="14843" style="171" width="41.42578125"/>
    <col bestFit="1" customWidth="1" max="14844" min="14844" style="171" width="19"/>
    <col bestFit="1" customWidth="1" max="14845" min="14845" style="171" width="15"/>
    <col customWidth="1" max="14846" min="14846" style="171" width="57.85546875"/>
    <col bestFit="1" customWidth="1" max="14847" min="14847" style="171" width="12.85546875"/>
    <col customWidth="1" max="14848" min="14848" style="171" width="12"/>
    <col bestFit="1" customWidth="1" max="14849" min="14849" style="171" width="18.7109375"/>
    <col customWidth="1" max="14850" min="14850" style="171" width="11.42578125"/>
    <col bestFit="1" customWidth="1" max="14851" min="14851" style="171" width="20.140625"/>
    <col customWidth="1" max="14853" min="14852" style="171" width="11.42578125"/>
    <col bestFit="1" customWidth="1" max="14855" min="14854" style="171" width="23.7109375"/>
    <col customWidth="1" max="15096" min="14856" style="171" width="11.42578125"/>
    <col customWidth="1" max="15097" min="15097" style="171" width="17.7109375"/>
    <col bestFit="1" customWidth="1" max="15098" min="15098" style="171" width="11.28515625"/>
    <col bestFit="1" customWidth="1" max="15099" min="15099" style="171" width="41.42578125"/>
    <col bestFit="1" customWidth="1" max="15100" min="15100" style="171" width="19"/>
    <col bestFit="1" customWidth="1" max="15101" min="15101" style="171" width="15"/>
    <col customWidth="1" max="15102" min="15102" style="171" width="57.85546875"/>
    <col bestFit="1" customWidth="1" max="15103" min="15103" style="171" width="12.85546875"/>
    <col customWidth="1" max="15104" min="15104" style="171" width="12"/>
    <col bestFit="1" customWidth="1" max="15105" min="15105" style="171" width="18.7109375"/>
    <col customWidth="1" max="15106" min="15106" style="171" width="11.42578125"/>
    <col bestFit="1" customWidth="1" max="15107" min="15107" style="171" width="20.140625"/>
    <col customWidth="1" max="15109" min="15108" style="171" width="11.42578125"/>
    <col bestFit="1" customWidth="1" max="15111" min="15110" style="171" width="23.7109375"/>
    <col customWidth="1" max="15352" min="15112" style="171" width="11.42578125"/>
    <col customWidth="1" max="15353" min="15353" style="171" width="17.7109375"/>
    <col bestFit="1" customWidth="1" max="15354" min="15354" style="171" width="11.28515625"/>
    <col bestFit="1" customWidth="1" max="15355" min="15355" style="171" width="41.42578125"/>
    <col bestFit="1" customWidth="1" max="15356" min="15356" style="171" width="19"/>
    <col bestFit="1" customWidth="1" max="15357" min="15357" style="171" width="15"/>
    <col customWidth="1" max="15358" min="15358" style="171" width="57.85546875"/>
    <col bestFit="1" customWidth="1" max="15359" min="15359" style="171" width="12.85546875"/>
    <col customWidth="1" max="15360" min="15360" style="171" width="12"/>
    <col bestFit="1" customWidth="1" max="15361" min="15361" style="171" width="18.7109375"/>
    <col customWidth="1" max="15362" min="15362" style="171" width="11.42578125"/>
    <col bestFit="1" customWidth="1" max="15363" min="15363" style="171" width="20.140625"/>
    <col customWidth="1" max="15365" min="15364" style="171" width="11.42578125"/>
    <col bestFit="1" customWidth="1" max="15367" min="15366" style="171" width="23.7109375"/>
    <col customWidth="1" max="15608" min="15368" style="171" width="11.42578125"/>
    <col customWidth="1" max="15609" min="15609" style="171" width="17.7109375"/>
    <col bestFit="1" customWidth="1" max="15610" min="15610" style="171" width="11.28515625"/>
    <col bestFit="1" customWidth="1" max="15611" min="15611" style="171" width="41.42578125"/>
    <col bestFit="1" customWidth="1" max="15612" min="15612" style="171" width="19"/>
    <col bestFit="1" customWidth="1" max="15613" min="15613" style="171" width="15"/>
    <col customWidth="1" max="15614" min="15614" style="171" width="57.85546875"/>
    <col bestFit="1" customWidth="1" max="15615" min="15615" style="171" width="12.85546875"/>
    <col customWidth="1" max="15616" min="15616" style="171" width="12"/>
    <col bestFit="1" customWidth="1" max="15617" min="15617" style="171" width="18.7109375"/>
    <col customWidth="1" max="15618" min="15618" style="171" width="11.42578125"/>
    <col bestFit="1" customWidth="1" max="15619" min="15619" style="171" width="20.140625"/>
    <col customWidth="1" max="15621" min="15620" style="171" width="11.42578125"/>
    <col bestFit="1" customWidth="1" max="15623" min="15622" style="171" width="23.7109375"/>
    <col customWidth="1" max="15864" min="15624" style="171" width="11.42578125"/>
    <col customWidth="1" max="15865" min="15865" style="171" width="17.7109375"/>
    <col bestFit="1" customWidth="1" max="15866" min="15866" style="171" width="11.28515625"/>
    <col bestFit="1" customWidth="1" max="15867" min="15867" style="171" width="41.42578125"/>
    <col bestFit="1" customWidth="1" max="15868" min="15868" style="171" width="19"/>
    <col bestFit="1" customWidth="1" max="15869" min="15869" style="171" width="15"/>
    <col customWidth="1" max="15870" min="15870" style="171" width="57.85546875"/>
    <col bestFit="1" customWidth="1" max="15871" min="15871" style="171" width="12.85546875"/>
    <col customWidth="1" max="15872" min="15872" style="171" width="12"/>
    <col bestFit="1" customWidth="1" max="15873" min="15873" style="171" width="18.7109375"/>
    <col customWidth="1" max="15874" min="15874" style="171" width="11.42578125"/>
    <col bestFit="1" customWidth="1" max="15875" min="15875" style="171" width="20.140625"/>
    <col customWidth="1" max="15877" min="15876" style="171" width="11.42578125"/>
    <col bestFit="1" customWidth="1" max="15879" min="15878" style="171" width="23.7109375"/>
    <col customWidth="1" max="16120" min="15880" style="171" width="11.42578125"/>
    <col customWidth="1" max="16121" min="16121" style="171" width="17.7109375"/>
    <col bestFit="1" customWidth="1" max="16122" min="16122" style="171" width="11.28515625"/>
    <col bestFit="1" customWidth="1" max="16123" min="16123" style="171" width="41.42578125"/>
    <col bestFit="1" customWidth="1" max="16124" min="16124" style="171" width="19"/>
    <col bestFit="1" customWidth="1" max="16125" min="16125" style="171" width="15"/>
    <col customWidth="1" max="16126" min="16126" style="171" width="57.85546875"/>
    <col bestFit="1" customWidth="1" max="16127" min="16127" style="171" width="12.85546875"/>
    <col customWidth="1" max="16128" min="16128" style="171" width="12"/>
    <col bestFit="1" customWidth="1" max="16129" min="16129" style="171" width="18.7109375"/>
    <col customWidth="1" max="16130" min="16130" style="171" width="11.42578125"/>
    <col bestFit="1" customWidth="1" max="16131" min="16131" style="171" width="20.140625"/>
    <col customWidth="1" max="16133" min="16132" style="171" width="11.42578125"/>
    <col bestFit="1" customWidth="1" max="16135" min="16134" style="171" width="23.7109375"/>
    <col customWidth="1" max="16384" min="16136" style="171" width="11.42578125"/>
  </cols>
  <sheetData>
    <row customFormat="1" customHeight="1" ht="27.75" r="1" s="3" spans="1:15">
      <c r="A1" s="36" t="s">
        <v>24</v>
      </c>
      <c r="B1" s="304" t="s">
        <v>25</v>
      </c>
      <c r="C1" s="304" t="s">
        <v>26</v>
      </c>
      <c r="D1" s="304" t="s">
        <v>27</v>
      </c>
      <c r="E1" s="304" t="s">
        <v>28</v>
      </c>
      <c r="F1" s="304" t="s">
        <v>29</v>
      </c>
      <c r="G1" s="304" t="s">
        <v>30</v>
      </c>
      <c r="H1" s="305" t="s">
        <v>31</v>
      </c>
      <c r="I1" s="305" t="s">
        <v>32</v>
      </c>
      <c r="J1" s="306" t="s">
        <v>33</v>
      </c>
      <c r="K1" s="11" t="s">
        <v>34</v>
      </c>
    </row>
    <row customHeight="1" ht="15" r="2" s="183" spans="1:15">
      <c r="A2" s="37">
        <f>E2</f>
        <v/>
      </c>
      <c r="B2" s="117" t="s">
        <v>35</v>
      </c>
      <c r="C2" s="117" t="s">
        <v>36</v>
      </c>
      <c r="D2" s="117" t="s">
        <v>37</v>
      </c>
      <c r="E2" s="117" t="s">
        <v>38</v>
      </c>
      <c r="F2" s="117" t="s">
        <v>39</v>
      </c>
      <c r="G2" s="118" t="n">
        <v>9990</v>
      </c>
      <c r="H2" s="118" t="n">
        <v>1</v>
      </c>
      <c r="I2" s="393" t="n">
        <v>43385.60138888889</v>
      </c>
      <c r="J2" s="3" t="s">
        <v>40</v>
      </c>
      <c r="K2" s="171">
        <f>VLOOKUP(D2,Base!D:E,2,0)</f>
        <v/>
      </c>
      <c r="O2" s="171" t="s">
        <v>41</v>
      </c>
    </row>
    <row customHeight="1" ht="15" r="3" s="183" spans="1:15">
      <c r="A3" s="37">
        <f>E3</f>
        <v/>
      </c>
      <c r="B3" s="117" t="s">
        <v>35</v>
      </c>
      <c r="C3" s="117" t="s">
        <v>36</v>
      </c>
      <c r="D3" s="117" t="s">
        <v>42</v>
      </c>
      <c r="E3" s="117" t="s">
        <v>38</v>
      </c>
      <c r="F3" s="117" t="s">
        <v>39</v>
      </c>
      <c r="G3" s="118" t="n">
        <v>9990</v>
      </c>
      <c r="H3" s="118" t="n">
        <v>1</v>
      </c>
      <c r="I3" s="393" t="n">
        <v>43385.60138888889</v>
      </c>
      <c r="J3" s="3" t="s">
        <v>40</v>
      </c>
      <c r="K3" s="171">
        <f>VLOOKUP(D3,Base!D:E,2,0)</f>
        <v/>
      </c>
      <c r="O3" s="171" t="s">
        <v>43</v>
      </c>
    </row>
    <row customHeight="1" ht="15" r="4" s="183" spans="1:15">
      <c r="A4" s="37">
        <f>E4</f>
        <v/>
      </c>
      <c r="B4" s="117" t="s">
        <v>35</v>
      </c>
      <c r="C4" s="117" t="s">
        <v>44</v>
      </c>
      <c r="D4" s="117" t="s">
        <v>45</v>
      </c>
      <c r="E4" s="117" t="s">
        <v>38</v>
      </c>
      <c r="F4" s="117" t="s">
        <v>39</v>
      </c>
      <c r="G4" s="118" t="n">
        <v>10990</v>
      </c>
      <c r="H4" s="118" t="n">
        <v>1</v>
      </c>
      <c r="I4" s="393" t="n">
        <v>43385.59930555556</v>
      </c>
      <c r="J4" s="3" t="s">
        <v>40</v>
      </c>
      <c r="K4" s="171">
        <f>VLOOKUP(D4,Base!D:E,2,0)</f>
        <v/>
      </c>
    </row>
    <row customHeight="1" ht="15" r="5" s="183" spans="1:15">
      <c r="A5" s="37">
        <f>E5</f>
        <v/>
      </c>
      <c r="B5" s="117" t="s">
        <v>35</v>
      </c>
      <c r="C5" s="117" t="s">
        <v>46</v>
      </c>
      <c r="D5" s="117" t="s">
        <v>47</v>
      </c>
      <c r="E5" s="117" t="s">
        <v>38</v>
      </c>
      <c r="F5" s="117" t="s">
        <v>39</v>
      </c>
      <c r="G5" s="118" t="n">
        <v>7290</v>
      </c>
      <c r="H5" s="118" t="n">
        <v>2</v>
      </c>
      <c r="I5" s="393" t="n">
        <v>43385.59930555556</v>
      </c>
      <c r="J5" s="3" t="s">
        <v>40</v>
      </c>
      <c r="K5" s="171">
        <f>VLOOKUP(D5,Base!D:E,2,0)</f>
        <v/>
      </c>
    </row>
    <row customHeight="1" ht="15" r="6" s="183" spans="1:15">
      <c r="A6" s="37">
        <f>E6</f>
        <v/>
      </c>
      <c r="B6" s="117" t="s">
        <v>35</v>
      </c>
      <c r="C6" s="117" t="s">
        <v>46</v>
      </c>
      <c r="D6" s="117" t="s">
        <v>48</v>
      </c>
      <c r="E6" s="117" t="s">
        <v>38</v>
      </c>
      <c r="F6" s="117" t="s">
        <v>39</v>
      </c>
      <c r="G6" s="118" t="n">
        <v>7290</v>
      </c>
      <c r="H6" s="118" t="n">
        <v>2</v>
      </c>
      <c r="I6" s="393" t="n">
        <v>43385.60069444445</v>
      </c>
      <c r="J6" s="3" t="s">
        <v>40</v>
      </c>
      <c r="K6" s="171">
        <f>VLOOKUP(D6,Base!D:E,2,0)</f>
        <v/>
      </c>
    </row>
    <row customHeight="1" ht="15" r="7" s="183" spans="1:15">
      <c r="A7" s="37">
        <f>E7</f>
        <v/>
      </c>
      <c r="B7" s="117" t="s">
        <v>35</v>
      </c>
      <c r="C7" s="117" t="s">
        <v>49</v>
      </c>
      <c r="D7" s="117" t="s">
        <v>50</v>
      </c>
      <c r="E7" s="117" t="s">
        <v>38</v>
      </c>
      <c r="F7" s="117" t="s">
        <v>39</v>
      </c>
      <c r="G7" s="118" t="n">
        <v>14990</v>
      </c>
      <c r="H7" s="118" t="n">
        <v>1</v>
      </c>
      <c r="I7" s="393" t="n">
        <v>43385.59930555556</v>
      </c>
      <c r="J7" s="3" t="s">
        <v>40</v>
      </c>
      <c r="K7" s="171">
        <f>VLOOKUP(D7,Base!D:E,2,0)</f>
        <v/>
      </c>
    </row>
    <row customHeight="1" ht="15" r="8" s="183" spans="1:15">
      <c r="A8" s="37">
        <f>E8</f>
        <v/>
      </c>
      <c r="B8" s="117" t="s">
        <v>35</v>
      </c>
      <c r="C8" s="117" t="s">
        <v>51</v>
      </c>
      <c r="D8" s="117" t="s">
        <v>52</v>
      </c>
      <c r="E8" s="117" t="s">
        <v>38</v>
      </c>
      <c r="F8" s="117" t="s">
        <v>39</v>
      </c>
      <c r="G8" s="118" t="n">
        <v>7990</v>
      </c>
      <c r="H8" s="118" t="n">
        <v>1</v>
      </c>
      <c r="I8" s="393" t="n">
        <v>43385.59930555556</v>
      </c>
      <c r="J8" s="3" t="s">
        <v>40</v>
      </c>
      <c r="K8" s="171">
        <f>VLOOKUP(D8,Base!D:E,2,0)</f>
        <v/>
      </c>
    </row>
    <row customHeight="1" ht="15" r="9" s="183" spans="1:15">
      <c r="A9" s="37">
        <f>E9</f>
        <v/>
      </c>
      <c r="B9" s="117" t="s">
        <v>35</v>
      </c>
      <c r="C9" s="117" t="s">
        <v>51</v>
      </c>
      <c r="D9" s="117" t="s">
        <v>53</v>
      </c>
      <c r="E9" s="117" t="s">
        <v>38</v>
      </c>
      <c r="F9" s="117" t="s">
        <v>39</v>
      </c>
      <c r="G9" s="118" t="n">
        <v>5990</v>
      </c>
      <c r="H9" s="118" t="n">
        <v>2</v>
      </c>
      <c r="I9" s="393" t="n">
        <v>43385.60138888889</v>
      </c>
      <c r="J9" s="3" t="s">
        <v>40</v>
      </c>
      <c r="K9" s="171">
        <f>VLOOKUP(D9,Base!D:E,2,0)</f>
        <v/>
      </c>
    </row>
    <row customHeight="1" ht="15" r="10" s="183" spans="1:15">
      <c r="A10" s="37">
        <f>E10</f>
        <v/>
      </c>
      <c r="B10" s="117" t="s">
        <v>35</v>
      </c>
      <c r="C10" s="117" t="s">
        <v>51</v>
      </c>
      <c r="D10" s="117" t="s">
        <v>54</v>
      </c>
      <c r="E10" s="117" t="s">
        <v>38</v>
      </c>
      <c r="F10" s="117" t="s">
        <v>39</v>
      </c>
      <c r="G10" s="118" t="n">
        <v>7990</v>
      </c>
      <c r="H10" s="118" t="n">
        <v>1</v>
      </c>
      <c r="I10" s="393" t="n">
        <v>43385.6</v>
      </c>
      <c r="J10" s="3" t="s">
        <v>40</v>
      </c>
      <c r="K10" s="171">
        <f>VLOOKUP(D10,Base!D:E,2,0)</f>
        <v/>
      </c>
    </row>
    <row customHeight="1" ht="15" r="11" s="183" spans="1:15">
      <c r="A11" s="37">
        <f>E11</f>
        <v/>
      </c>
      <c r="B11" s="117" t="s">
        <v>35</v>
      </c>
      <c r="C11" s="117" t="s">
        <v>51</v>
      </c>
      <c r="D11" s="117" t="s">
        <v>55</v>
      </c>
      <c r="E11" s="117" t="s">
        <v>38</v>
      </c>
      <c r="F11" s="117" t="s">
        <v>39</v>
      </c>
      <c r="G11" s="118" t="n">
        <v>5990</v>
      </c>
      <c r="H11" s="118" t="n">
        <v>2</v>
      </c>
      <c r="I11" s="393" t="n">
        <v>43385.60208333333</v>
      </c>
      <c r="J11" s="3" t="s">
        <v>40</v>
      </c>
      <c r="K11" s="171">
        <f>VLOOKUP(D11,Base!D:E,2,0)</f>
        <v/>
      </c>
    </row>
    <row customHeight="1" ht="15" r="12" s="183" spans="1:15">
      <c r="A12" s="37">
        <f>E12</f>
        <v/>
      </c>
      <c r="B12" s="117" t="s">
        <v>35</v>
      </c>
      <c r="C12" s="117" t="s">
        <v>51</v>
      </c>
      <c r="D12" s="117" t="s">
        <v>56</v>
      </c>
      <c r="E12" s="117" t="s">
        <v>38</v>
      </c>
      <c r="F12" s="117" t="s">
        <v>39</v>
      </c>
      <c r="G12" s="118" t="n">
        <v>5990</v>
      </c>
      <c r="H12" s="118" t="n">
        <v>2</v>
      </c>
      <c r="I12" s="393" t="n">
        <v>43385.59930555556</v>
      </c>
      <c r="J12" s="3" t="s">
        <v>40</v>
      </c>
      <c r="K12" s="171">
        <f>VLOOKUP(D12,Base!D:E,2,0)</f>
        <v/>
      </c>
    </row>
    <row customHeight="1" ht="15" r="13" s="183" spans="1:15">
      <c r="A13" s="37">
        <f>E13</f>
        <v/>
      </c>
      <c r="B13" s="117" t="s">
        <v>35</v>
      </c>
      <c r="C13" s="117" t="s">
        <v>51</v>
      </c>
      <c r="D13" s="117" t="s">
        <v>57</v>
      </c>
      <c r="E13" s="117" t="s">
        <v>38</v>
      </c>
      <c r="F13" s="117" t="s">
        <v>39</v>
      </c>
      <c r="G13" s="118" t="n">
        <v>5990</v>
      </c>
      <c r="H13" s="118" t="n">
        <v>2</v>
      </c>
      <c r="I13" s="393" t="n">
        <v>43385.60138888889</v>
      </c>
      <c r="J13" s="3" t="s">
        <v>40</v>
      </c>
      <c r="K13" s="171">
        <f>VLOOKUP(D13,Base!D:E,2,0)</f>
        <v/>
      </c>
    </row>
    <row customHeight="1" ht="15" r="14" s="183" spans="1:15">
      <c r="A14" s="37">
        <f>E14</f>
        <v/>
      </c>
      <c r="B14" s="117" t="s">
        <v>35</v>
      </c>
      <c r="C14" s="117" t="s">
        <v>58</v>
      </c>
      <c r="D14" s="117" t="s">
        <v>59</v>
      </c>
      <c r="E14" s="117" t="s">
        <v>38</v>
      </c>
      <c r="F14" s="117" t="s">
        <v>39</v>
      </c>
      <c r="G14" s="118" t="n">
        <v>5990</v>
      </c>
      <c r="H14" s="118" t="n">
        <v>2</v>
      </c>
      <c r="I14" s="393" t="n">
        <v>43385.60138888889</v>
      </c>
      <c r="J14" s="3" t="s">
        <v>40</v>
      </c>
      <c r="K14" s="171">
        <f>VLOOKUP(D14,Base!D:E,2,0)</f>
        <v/>
      </c>
    </row>
    <row customHeight="1" ht="15" r="15" s="183" spans="1:15">
      <c r="A15" s="37">
        <f>E15</f>
        <v/>
      </c>
      <c r="B15" s="117" t="s">
        <v>35</v>
      </c>
      <c r="C15" s="117" t="s">
        <v>58</v>
      </c>
      <c r="D15" s="117" t="s">
        <v>60</v>
      </c>
      <c r="E15" s="117" t="s">
        <v>38</v>
      </c>
      <c r="F15" s="117" t="s">
        <v>39</v>
      </c>
      <c r="G15" s="118" t="n">
        <v>5990</v>
      </c>
      <c r="H15" s="118" t="n">
        <v>2</v>
      </c>
      <c r="I15" s="393" t="n">
        <v>43385.59930555556</v>
      </c>
      <c r="J15" s="3" t="s">
        <v>40</v>
      </c>
      <c r="K15" s="171">
        <f>VLOOKUP(D15,Base!D:E,2,0)</f>
        <v/>
      </c>
    </row>
    <row customHeight="1" ht="15" r="16" s="183" spans="1:15">
      <c r="A16" s="37">
        <f>E16</f>
        <v/>
      </c>
      <c r="B16" s="117" t="s">
        <v>35</v>
      </c>
      <c r="C16" s="117" t="s">
        <v>58</v>
      </c>
      <c r="D16" s="117" t="s">
        <v>61</v>
      </c>
      <c r="E16" s="117" t="s">
        <v>38</v>
      </c>
      <c r="F16" s="117" t="s">
        <v>39</v>
      </c>
      <c r="G16" s="118" t="n">
        <v>7990</v>
      </c>
      <c r="H16" s="118" t="n">
        <v>1</v>
      </c>
      <c r="I16" s="393" t="n">
        <v>43385.60069444445</v>
      </c>
      <c r="J16" s="3" t="s">
        <v>40</v>
      </c>
      <c r="K16" s="171">
        <f>VLOOKUP(D16,Base!D:E,2,0)</f>
        <v/>
      </c>
    </row>
    <row customHeight="1" ht="15" r="17" s="183" spans="1:15">
      <c r="A17" s="37">
        <f>E17</f>
        <v/>
      </c>
      <c r="B17" s="117" t="s">
        <v>35</v>
      </c>
      <c r="C17" s="117" t="s">
        <v>58</v>
      </c>
      <c r="D17" s="117" t="s">
        <v>62</v>
      </c>
      <c r="E17" s="117" t="s">
        <v>38</v>
      </c>
      <c r="F17" s="117" t="s">
        <v>39</v>
      </c>
      <c r="G17" s="118" t="n">
        <v>5990</v>
      </c>
      <c r="H17" s="118" t="n">
        <v>2</v>
      </c>
      <c r="I17" s="393" t="n">
        <v>43385.60138888889</v>
      </c>
      <c r="J17" s="3" t="s">
        <v>40</v>
      </c>
      <c r="K17" s="171">
        <f>VLOOKUP(D17,Base!D:E,2,0)</f>
        <v/>
      </c>
    </row>
    <row customHeight="1" ht="15" r="18" s="183" spans="1:15">
      <c r="A18" s="37">
        <f>E18</f>
        <v/>
      </c>
      <c r="B18" s="117" t="s">
        <v>35</v>
      </c>
      <c r="C18" s="117" t="s">
        <v>63</v>
      </c>
      <c r="D18" s="117" t="s">
        <v>64</v>
      </c>
      <c r="E18" s="117" t="s">
        <v>38</v>
      </c>
      <c r="F18" s="117" t="s">
        <v>39</v>
      </c>
      <c r="G18" s="118" t="n">
        <v>7190</v>
      </c>
      <c r="H18" s="118" t="n">
        <v>2</v>
      </c>
      <c r="I18" s="393" t="n">
        <v>43385.60069444445</v>
      </c>
      <c r="J18" s="3" t="s">
        <v>40</v>
      </c>
      <c r="K18" s="171">
        <f>VLOOKUP(D18,Base!D:E,2,0)</f>
        <v/>
      </c>
    </row>
    <row customHeight="1" ht="15" r="19" s="183" spans="1:15">
      <c r="A19" s="37">
        <f>E19</f>
        <v/>
      </c>
      <c r="B19" s="117" t="s">
        <v>35</v>
      </c>
      <c r="C19" s="117" t="s">
        <v>63</v>
      </c>
      <c r="D19" s="117" t="s">
        <v>65</v>
      </c>
      <c r="E19" s="117" t="s">
        <v>38</v>
      </c>
      <c r="F19" s="117" t="s">
        <v>39</v>
      </c>
      <c r="G19" s="118" t="n">
        <v>8990</v>
      </c>
      <c r="H19" s="118" t="n">
        <v>1</v>
      </c>
      <c r="I19" s="393" t="n">
        <v>43385.59930555556</v>
      </c>
      <c r="J19" s="3" t="s">
        <v>40</v>
      </c>
      <c r="K19" s="171">
        <f>VLOOKUP(D19,Base!D:E,2,0)</f>
        <v/>
      </c>
    </row>
    <row customHeight="1" ht="15" r="20" s="183" spans="1:15">
      <c r="A20" s="37">
        <f>E20</f>
        <v/>
      </c>
      <c r="B20" s="117" t="s">
        <v>35</v>
      </c>
      <c r="C20" s="117" t="s">
        <v>63</v>
      </c>
      <c r="D20" s="117" t="s">
        <v>66</v>
      </c>
      <c r="E20" s="117" t="s">
        <v>38</v>
      </c>
      <c r="F20" s="117" t="s">
        <v>39</v>
      </c>
      <c r="G20" s="118" t="n">
        <v>8990</v>
      </c>
      <c r="H20" s="118" t="n">
        <v>1</v>
      </c>
      <c r="I20" s="393" t="n">
        <v>43385.60208333333</v>
      </c>
      <c r="J20" s="3" t="s">
        <v>40</v>
      </c>
      <c r="K20" s="171">
        <f>VLOOKUP(D20,Base!D:E,2,0)</f>
        <v/>
      </c>
    </row>
    <row customHeight="1" ht="15" r="21" s="183" spans="1:15">
      <c r="A21" s="37">
        <f>E21</f>
        <v/>
      </c>
      <c r="B21" s="117" t="s">
        <v>35</v>
      </c>
      <c r="C21" s="117" t="s">
        <v>63</v>
      </c>
      <c r="D21" s="117" t="s">
        <v>67</v>
      </c>
      <c r="E21" s="117" t="s">
        <v>38</v>
      </c>
      <c r="F21" s="117" t="s">
        <v>39</v>
      </c>
      <c r="G21" s="118" t="n">
        <v>7190</v>
      </c>
      <c r="H21" s="118" t="n">
        <v>2</v>
      </c>
      <c r="I21" s="393" t="n">
        <v>43385.59930555556</v>
      </c>
      <c r="J21" s="3" t="s">
        <v>40</v>
      </c>
      <c r="K21" s="171">
        <f>VLOOKUP(D21,Base!D:E,2,0)</f>
        <v/>
      </c>
    </row>
    <row customHeight="1" ht="15" r="22" s="183" spans="1:15">
      <c r="A22" s="37">
        <f>E22</f>
        <v/>
      </c>
      <c r="B22" s="117" t="s">
        <v>35</v>
      </c>
      <c r="C22" s="117" t="s">
        <v>68</v>
      </c>
      <c r="D22" s="117" t="s">
        <v>69</v>
      </c>
      <c r="E22" s="117" t="s">
        <v>38</v>
      </c>
      <c r="F22" s="117" t="s">
        <v>39</v>
      </c>
      <c r="G22" s="118" t="n">
        <v>6790</v>
      </c>
      <c r="H22" s="118" t="n">
        <v>2</v>
      </c>
      <c r="I22" s="393" t="n">
        <v>43385.60208333333</v>
      </c>
      <c r="J22" s="3" t="s">
        <v>40</v>
      </c>
      <c r="K22" s="171">
        <f>VLOOKUP(D22,Base!D:E,2,0)</f>
        <v/>
      </c>
    </row>
    <row customHeight="1" ht="15" r="23" s="183" spans="1:15">
      <c r="A23" s="37">
        <f>E23</f>
        <v/>
      </c>
      <c r="B23" s="117" t="s">
        <v>35</v>
      </c>
      <c r="C23" s="117" t="s">
        <v>68</v>
      </c>
      <c r="D23" s="117" t="s">
        <v>70</v>
      </c>
      <c r="E23" s="117" t="s">
        <v>38</v>
      </c>
      <c r="F23" s="117" t="s">
        <v>39</v>
      </c>
      <c r="G23" s="118" t="n">
        <v>8690</v>
      </c>
      <c r="H23" s="118" t="n">
        <v>1</v>
      </c>
      <c r="I23" s="393" t="n">
        <v>43385.60138888889</v>
      </c>
      <c r="J23" s="3" t="s">
        <v>40</v>
      </c>
      <c r="K23" s="171">
        <f>VLOOKUP(D23,Base!D:E,2,0)</f>
        <v/>
      </c>
    </row>
    <row customHeight="1" ht="15" r="24" s="183" spans="1:15">
      <c r="A24" s="37">
        <f>E24</f>
        <v/>
      </c>
      <c r="B24" s="117" t="s">
        <v>35</v>
      </c>
      <c r="C24" s="117" t="s">
        <v>71</v>
      </c>
      <c r="D24" s="117" t="s">
        <v>72</v>
      </c>
      <c r="E24" s="117" t="s">
        <v>38</v>
      </c>
      <c r="F24" s="117" t="s">
        <v>39</v>
      </c>
      <c r="G24" s="118" t="n">
        <v>11990</v>
      </c>
      <c r="H24" s="118" t="n">
        <v>1</v>
      </c>
      <c r="I24" s="393" t="n">
        <v>43385.59930555556</v>
      </c>
      <c r="J24" s="3" t="s">
        <v>40</v>
      </c>
      <c r="K24" s="171">
        <f>VLOOKUP(D24,Base!D:E,2,0)</f>
        <v/>
      </c>
    </row>
    <row customHeight="1" ht="15" r="25" s="183" spans="1:15">
      <c r="A25" s="37">
        <f>E25</f>
        <v/>
      </c>
      <c r="B25" s="117" t="s">
        <v>35</v>
      </c>
      <c r="C25" s="117" t="s">
        <v>73</v>
      </c>
      <c r="D25" s="117" t="s">
        <v>74</v>
      </c>
      <c r="E25" s="117" t="s">
        <v>38</v>
      </c>
      <c r="F25" s="117" t="s">
        <v>39</v>
      </c>
      <c r="G25" s="118" t="n">
        <v>10990</v>
      </c>
      <c r="H25" s="118" t="n">
        <v>1</v>
      </c>
      <c r="I25" s="393" t="n">
        <v>43385.59930555556</v>
      </c>
      <c r="J25" s="3" t="s">
        <v>40</v>
      </c>
      <c r="K25" s="171">
        <f>VLOOKUP(D25,Base!D:E,2,0)</f>
        <v/>
      </c>
    </row>
    <row customHeight="1" ht="15" r="26" s="183" spans="1:15">
      <c r="A26" s="37">
        <f>E26</f>
        <v/>
      </c>
      <c r="B26" s="117" t="s">
        <v>35</v>
      </c>
      <c r="C26" s="117" t="s">
        <v>75</v>
      </c>
      <c r="D26" s="117" t="s">
        <v>76</v>
      </c>
      <c r="E26" s="117" t="s">
        <v>38</v>
      </c>
      <c r="F26" s="117" t="s">
        <v>39</v>
      </c>
      <c r="G26" s="118" t="n">
        <v>4290</v>
      </c>
      <c r="H26" s="118" t="n">
        <v>2</v>
      </c>
      <c r="I26" s="393" t="n">
        <v>43385.60208333333</v>
      </c>
      <c r="J26" s="3" t="s">
        <v>40</v>
      </c>
      <c r="K26" s="171">
        <f>VLOOKUP(D26,Base!D:E,2,0)</f>
        <v/>
      </c>
    </row>
    <row customHeight="1" ht="15" r="27" s="183" spans="1:15">
      <c r="A27" s="37">
        <f>E27</f>
        <v/>
      </c>
      <c r="B27" s="117" t="s">
        <v>35</v>
      </c>
      <c r="C27" s="117" t="s">
        <v>75</v>
      </c>
      <c r="D27" s="117" t="s">
        <v>77</v>
      </c>
      <c r="E27" s="117" t="s">
        <v>38</v>
      </c>
      <c r="F27" s="117" t="s">
        <v>39</v>
      </c>
      <c r="G27" s="118" t="n">
        <v>4290</v>
      </c>
      <c r="H27" s="118" t="n">
        <v>2</v>
      </c>
      <c r="I27" s="393" t="n">
        <v>43385.59930555556</v>
      </c>
      <c r="J27" s="3" t="s">
        <v>40</v>
      </c>
      <c r="K27" s="171">
        <f>VLOOKUP(D27,Base!D:E,2,0)</f>
        <v/>
      </c>
    </row>
    <row customHeight="1" ht="15" r="28" s="183" spans="1:15">
      <c r="A28" s="37">
        <f>E28</f>
        <v/>
      </c>
      <c r="B28" s="117" t="s">
        <v>35</v>
      </c>
      <c r="C28" s="117" t="s">
        <v>75</v>
      </c>
      <c r="D28" s="117" t="s">
        <v>78</v>
      </c>
      <c r="E28" s="117" t="s">
        <v>38</v>
      </c>
      <c r="F28" s="117" t="s">
        <v>39</v>
      </c>
      <c r="G28" s="118" t="n">
        <v>4290</v>
      </c>
      <c r="H28" s="118" t="n">
        <v>2</v>
      </c>
      <c r="I28" s="393" t="n">
        <v>43385.60208333333</v>
      </c>
      <c r="J28" s="3" t="s">
        <v>40</v>
      </c>
      <c r="K28" s="171">
        <f>VLOOKUP(D28,Base!D:E,2,0)</f>
        <v/>
      </c>
    </row>
    <row customHeight="1" ht="15" r="29" s="183" spans="1:15">
      <c r="A29" s="37">
        <f>E29</f>
        <v/>
      </c>
      <c r="B29" s="117" t="s">
        <v>35</v>
      </c>
      <c r="C29" s="117" t="s">
        <v>75</v>
      </c>
      <c r="D29" s="117" t="s">
        <v>79</v>
      </c>
      <c r="E29" s="117" t="s">
        <v>38</v>
      </c>
      <c r="F29" s="117" t="s">
        <v>39</v>
      </c>
      <c r="G29" s="118" t="n">
        <v>4290</v>
      </c>
      <c r="H29" s="118" t="n">
        <v>2</v>
      </c>
      <c r="I29" s="393" t="n">
        <v>43385.60208333333</v>
      </c>
      <c r="J29" s="3" t="s">
        <v>40</v>
      </c>
      <c r="K29" s="171">
        <f>VLOOKUP(D29,Base!D:E,2,0)</f>
        <v/>
      </c>
    </row>
    <row customHeight="1" ht="15" r="30" s="183" spans="1:15">
      <c r="A30" s="37">
        <f>E30</f>
        <v/>
      </c>
      <c r="B30" s="117" t="s">
        <v>35</v>
      </c>
      <c r="C30" s="117" t="s">
        <v>75</v>
      </c>
      <c r="D30" s="117" t="s">
        <v>80</v>
      </c>
      <c r="E30" s="117" t="s">
        <v>38</v>
      </c>
      <c r="F30" s="117" t="s">
        <v>39</v>
      </c>
      <c r="G30" s="118" t="n">
        <v>4290</v>
      </c>
      <c r="H30" s="118" t="n">
        <v>2</v>
      </c>
      <c r="I30" s="393" t="n">
        <v>43385.59930555556</v>
      </c>
      <c r="J30" s="3" t="s">
        <v>40</v>
      </c>
      <c r="K30" s="171">
        <f>VLOOKUP(D30,Base!D:E,2,0)</f>
        <v/>
      </c>
    </row>
    <row customHeight="1" ht="15.75" r="31" s="183" spans="1:15">
      <c r="A31" s="37">
        <f>E31</f>
        <v/>
      </c>
      <c r="B31" s="117" t="s">
        <v>35</v>
      </c>
      <c r="C31" s="117" t="s">
        <v>75</v>
      </c>
      <c r="D31" s="117" t="s">
        <v>81</v>
      </c>
      <c r="E31" s="117" t="s">
        <v>38</v>
      </c>
      <c r="F31" s="117" t="s">
        <v>39</v>
      </c>
      <c r="G31" s="118" t="n">
        <v>4290</v>
      </c>
      <c r="H31" s="118" t="n">
        <v>2</v>
      </c>
      <c r="I31" s="393" t="n">
        <v>43385.60069444445</v>
      </c>
      <c r="J31" s="3" t="s">
        <v>40</v>
      </c>
      <c r="K31" s="171">
        <f>VLOOKUP(D31,Base!D:E,2,0)</f>
        <v/>
      </c>
    </row>
    <row customHeight="1" ht="15" r="32" s="183" spans="1:15">
      <c r="A32" s="37">
        <f>E32</f>
        <v/>
      </c>
      <c r="B32" s="117" t="s">
        <v>35</v>
      </c>
      <c r="C32" s="117" t="s">
        <v>75</v>
      </c>
      <c r="D32" s="117" t="s">
        <v>82</v>
      </c>
      <c r="E32" s="117" t="s">
        <v>38</v>
      </c>
      <c r="F32" s="117" t="s">
        <v>39</v>
      </c>
      <c r="G32" s="118" t="n">
        <v>4290</v>
      </c>
      <c r="H32" s="118" t="n">
        <v>2</v>
      </c>
      <c r="I32" s="393" t="n">
        <v>43385.6</v>
      </c>
      <c r="J32" s="3" t="s">
        <v>40</v>
      </c>
      <c r="K32" s="171">
        <f>VLOOKUP(D32,Base!D:E,2,0)</f>
        <v/>
      </c>
    </row>
    <row customHeight="1" ht="15" r="33" s="183" spans="1:15">
      <c r="A33" s="37">
        <f>E33</f>
        <v/>
      </c>
      <c r="B33" s="117" t="s">
        <v>35</v>
      </c>
      <c r="C33" s="117" t="s">
        <v>75</v>
      </c>
      <c r="D33" s="117" t="s">
        <v>83</v>
      </c>
      <c r="E33" s="117" t="s">
        <v>38</v>
      </c>
      <c r="F33" s="117" t="s">
        <v>39</v>
      </c>
      <c r="G33" s="118" t="n">
        <v>4290</v>
      </c>
      <c r="H33" s="118" t="n">
        <v>2</v>
      </c>
      <c r="I33" s="393" t="n">
        <v>43385.59930555556</v>
      </c>
      <c r="J33" s="3" t="s">
        <v>40</v>
      </c>
      <c r="K33" s="171">
        <f>VLOOKUP(D33,Base!D:E,2,0)</f>
        <v/>
      </c>
    </row>
    <row customHeight="1" ht="15" r="34" s="183" spans="1:15">
      <c r="A34" s="37">
        <f>E34</f>
        <v/>
      </c>
      <c r="B34" s="117" t="s">
        <v>35</v>
      </c>
      <c r="C34" s="117" t="s">
        <v>75</v>
      </c>
      <c r="D34" s="117" t="s">
        <v>84</v>
      </c>
      <c r="E34" s="117" t="s">
        <v>38</v>
      </c>
      <c r="F34" s="117" t="s">
        <v>39</v>
      </c>
      <c r="G34" s="118" t="n">
        <v>4290</v>
      </c>
      <c r="H34" s="118" t="n">
        <v>2</v>
      </c>
      <c r="I34" s="393" t="n">
        <v>43385.60069444445</v>
      </c>
      <c r="J34" s="3" t="s">
        <v>40</v>
      </c>
      <c r="K34" s="171">
        <f>VLOOKUP(D34,Base!D:E,2,0)</f>
        <v/>
      </c>
    </row>
    <row customHeight="1" ht="15" r="35" s="183" spans="1:15">
      <c r="A35" s="37">
        <f>E35</f>
        <v/>
      </c>
      <c r="B35" s="117" t="s">
        <v>35</v>
      </c>
      <c r="C35" s="117" t="s">
        <v>75</v>
      </c>
      <c r="D35" s="117" t="s">
        <v>85</v>
      </c>
      <c r="E35" s="117" t="s">
        <v>38</v>
      </c>
      <c r="F35" s="117" t="s">
        <v>39</v>
      </c>
      <c r="G35" s="118" t="n">
        <v>4290</v>
      </c>
      <c r="H35" s="118" t="n">
        <v>2</v>
      </c>
      <c r="I35" s="393" t="n">
        <v>43385.59930555556</v>
      </c>
      <c r="J35" s="3" t="s">
        <v>40</v>
      </c>
      <c r="K35" s="171">
        <f>VLOOKUP(D35,Base!D:E,2,0)</f>
        <v/>
      </c>
    </row>
    <row customHeight="1" ht="15" r="36" s="183" spans="1:15">
      <c r="A36" s="37">
        <f>E36</f>
        <v/>
      </c>
      <c r="B36" s="117" t="s">
        <v>35</v>
      </c>
      <c r="C36" s="117" t="s">
        <v>86</v>
      </c>
      <c r="D36" s="117" t="s">
        <v>87</v>
      </c>
      <c r="E36" s="117" t="s">
        <v>38</v>
      </c>
      <c r="F36" s="117" t="s">
        <v>39</v>
      </c>
      <c r="G36" s="118" t="n">
        <v>4890</v>
      </c>
      <c r="H36" s="118" t="n">
        <v>2</v>
      </c>
      <c r="I36" s="393" t="n">
        <v>43385.60208333333</v>
      </c>
      <c r="J36" s="3" t="s">
        <v>40</v>
      </c>
      <c r="K36" s="171">
        <f>VLOOKUP(D36,Base!D:E,2,0)</f>
        <v/>
      </c>
    </row>
    <row customHeight="1" ht="15" r="37" s="183" spans="1:15">
      <c r="A37" s="37">
        <f>E37</f>
        <v/>
      </c>
      <c r="B37" s="117" t="s">
        <v>35</v>
      </c>
      <c r="C37" s="117" t="s">
        <v>86</v>
      </c>
      <c r="D37" s="117" t="s">
        <v>88</v>
      </c>
      <c r="E37" s="117" t="s">
        <v>38</v>
      </c>
      <c r="F37" s="117" t="s">
        <v>39</v>
      </c>
      <c r="G37" s="118" t="n">
        <v>4890</v>
      </c>
      <c r="H37" s="118" t="n">
        <v>2</v>
      </c>
      <c r="I37" s="393" t="n">
        <v>43385.6</v>
      </c>
      <c r="J37" s="3" t="s">
        <v>40</v>
      </c>
      <c r="K37" s="171">
        <f>VLOOKUP(D37,Base!D:E,2,0)</f>
        <v/>
      </c>
    </row>
    <row customHeight="1" ht="15" r="38" s="183" spans="1:15">
      <c r="A38" s="37">
        <f>E38</f>
        <v/>
      </c>
      <c r="B38" s="117" t="s">
        <v>35</v>
      </c>
      <c r="C38" s="117" t="s">
        <v>86</v>
      </c>
      <c r="D38" s="117" t="s">
        <v>89</v>
      </c>
      <c r="E38" s="117" t="s">
        <v>38</v>
      </c>
      <c r="F38" s="117" t="s">
        <v>39</v>
      </c>
      <c r="G38" s="118" t="n">
        <v>4890</v>
      </c>
      <c r="H38" s="118" t="n">
        <v>2</v>
      </c>
      <c r="I38" s="393" t="n">
        <v>43385.59930555556</v>
      </c>
      <c r="J38" s="3" t="s">
        <v>40</v>
      </c>
      <c r="K38" s="171">
        <f>VLOOKUP(D38,Base!D:E,2,0)</f>
        <v/>
      </c>
    </row>
    <row customHeight="1" ht="15" r="39" s="183" spans="1:15">
      <c r="A39" s="37">
        <f>E39</f>
        <v/>
      </c>
      <c r="B39" s="117" t="s">
        <v>35</v>
      </c>
      <c r="C39" s="117" t="s">
        <v>86</v>
      </c>
      <c r="D39" s="117" t="s">
        <v>90</v>
      </c>
      <c r="E39" s="117" t="s">
        <v>38</v>
      </c>
      <c r="F39" s="117" t="s">
        <v>39</v>
      </c>
      <c r="G39" s="118" t="n">
        <v>5990</v>
      </c>
      <c r="H39" s="118" t="n">
        <v>1</v>
      </c>
      <c r="I39" s="393" t="n">
        <v>43385.59930555556</v>
      </c>
      <c r="J39" s="3" t="s">
        <v>40</v>
      </c>
      <c r="K39" s="171">
        <f>VLOOKUP(D39,Base!D:E,2,0)</f>
        <v/>
      </c>
    </row>
    <row customHeight="1" ht="15" r="40" s="183" spans="1:15">
      <c r="A40" s="37">
        <f>E40</f>
        <v/>
      </c>
      <c r="B40" s="117" t="s">
        <v>35</v>
      </c>
      <c r="C40" s="117" t="s">
        <v>86</v>
      </c>
      <c r="D40" s="117" t="s">
        <v>91</v>
      </c>
      <c r="E40" s="117" t="s">
        <v>38</v>
      </c>
      <c r="F40" s="117" t="s">
        <v>39</v>
      </c>
      <c r="G40" s="118" t="n">
        <v>4890</v>
      </c>
      <c r="H40" s="118" t="n">
        <v>2</v>
      </c>
      <c r="I40" s="393" t="n">
        <v>43385.60208333333</v>
      </c>
      <c r="J40" s="3" t="s">
        <v>40</v>
      </c>
      <c r="K40" s="171">
        <f>VLOOKUP(D40,Base!D:E,2,0)</f>
        <v/>
      </c>
    </row>
    <row customHeight="1" ht="15" r="41" s="183" spans="1:15">
      <c r="A41" s="37">
        <f>E41</f>
        <v/>
      </c>
      <c r="B41" s="117" t="s">
        <v>35</v>
      </c>
      <c r="C41" s="117" t="s">
        <v>86</v>
      </c>
      <c r="D41" s="117" t="s">
        <v>92</v>
      </c>
      <c r="E41" s="117" t="s">
        <v>38</v>
      </c>
      <c r="F41" s="117" t="s">
        <v>39</v>
      </c>
      <c r="G41" s="118" t="n">
        <v>4890</v>
      </c>
      <c r="H41" s="118" t="n">
        <v>2</v>
      </c>
      <c r="I41" s="393" t="n">
        <v>43385.59930555556</v>
      </c>
      <c r="J41" s="3" t="s">
        <v>40</v>
      </c>
      <c r="K41" s="171">
        <f>VLOOKUP(D41,Base!D:E,2,0)</f>
        <v/>
      </c>
    </row>
    <row customHeight="1" ht="15" r="42" s="183" spans="1:15">
      <c r="A42" s="37">
        <f>E42</f>
        <v/>
      </c>
      <c r="B42" s="117" t="s">
        <v>35</v>
      </c>
      <c r="C42" s="117" t="s">
        <v>86</v>
      </c>
      <c r="D42" s="117" t="s">
        <v>93</v>
      </c>
      <c r="E42" s="117" t="s">
        <v>38</v>
      </c>
      <c r="F42" s="117" t="s">
        <v>39</v>
      </c>
      <c r="G42" s="118" t="n">
        <v>4890</v>
      </c>
      <c r="H42" s="118" t="n">
        <v>2</v>
      </c>
      <c r="I42" s="393" t="n">
        <v>43385.59930555556</v>
      </c>
      <c r="J42" s="3" t="s">
        <v>40</v>
      </c>
      <c r="K42" s="171">
        <f>VLOOKUP(D42,Base!D:E,2,0)</f>
        <v/>
      </c>
    </row>
    <row customHeight="1" ht="15" r="43" s="183" spans="1:15">
      <c r="A43" s="37">
        <f>E43</f>
        <v/>
      </c>
      <c r="B43" s="117" t="s">
        <v>35</v>
      </c>
      <c r="C43" s="117" t="s">
        <v>86</v>
      </c>
      <c r="D43" s="117" t="s">
        <v>94</v>
      </c>
      <c r="E43" s="117" t="s">
        <v>38</v>
      </c>
      <c r="F43" s="117" t="s">
        <v>39</v>
      </c>
      <c r="G43" s="118" t="n">
        <v>4890</v>
      </c>
      <c r="H43" s="118" t="n">
        <v>2</v>
      </c>
      <c r="I43" s="393" t="n">
        <v>43385.6</v>
      </c>
      <c r="J43" s="3" t="s">
        <v>40</v>
      </c>
      <c r="K43" s="171">
        <f>VLOOKUP(D43,Base!D:E,2,0)</f>
        <v/>
      </c>
    </row>
    <row customHeight="1" ht="15" r="44" s="183" spans="1:15">
      <c r="A44" s="37">
        <f>E44</f>
        <v/>
      </c>
      <c r="B44" s="117" t="s">
        <v>35</v>
      </c>
      <c r="C44" s="117" t="s">
        <v>86</v>
      </c>
      <c r="D44" s="117" t="s">
        <v>95</v>
      </c>
      <c r="E44" s="117" t="s">
        <v>38</v>
      </c>
      <c r="F44" s="117" t="s">
        <v>39</v>
      </c>
      <c r="G44" s="118" t="n">
        <v>4890</v>
      </c>
      <c r="H44" s="118" t="n">
        <v>2</v>
      </c>
      <c r="I44" s="393" t="n">
        <v>43385.6</v>
      </c>
      <c r="J44" s="3" t="s">
        <v>40</v>
      </c>
      <c r="K44" s="171">
        <f>VLOOKUP(D44,Base!D:E,2,0)</f>
        <v/>
      </c>
    </row>
    <row customHeight="1" ht="15" r="45" s="183" spans="1:15">
      <c r="A45" s="37">
        <f>E45</f>
        <v/>
      </c>
      <c r="B45" s="117" t="s">
        <v>35</v>
      </c>
      <c r="C45" s="117" t="s">
        <v>96</v>
      </c>
      <c r="D45" s="117" t="s">
        <v>97</v>
      </c>
      <c r="E45" s="117" t="s">
        <v>38</v>
      </c>
      <c r="F45" s="117" t="s">
        <v>39</v>
      </c>
      <c r="G45" s="118" t="n">
        <v>5290</v>
      </c>
      <c r="H45" s="118" t="n">
        <v>2</v>
      </c>
      <c r="I45" s="393" t="n">
        <v>43385.60069444445</v>
      </c>
      <c r="J45" s="3" t="s">
        <v>40</v>
      </c>
      <c r="K45" s="171">
        <f>VLOOKUP(D45,Base!D:E,2,0)</f>
        <v/>
      </c>
    </row>
    <row customHeight="1" ht="15" r="46" s="183" spans="1:15">
      <c r="A46" s="37">
        <f>E46</f>
        <v/>
      </c>
      <c r="B46" s="117" t="s">
        <v>35</v>
      </c>
      <c r="C46" s="117" t="s">
        <v>96</v>
      </c>
      <c r="D46" s="117" t="s">
        <v>98</v>
      </c>
      <c r="E46" s="117" t="s">
        <v>38</v>
      </c>
      <c r="F46" s="117" t="s">
        <v>39</v>
      </c>
      <c r="G46" s="118" t="n">
        <v>4290</v>
      </c>
      <c r="H46" s="118" t="n">
        <v>2</v>
      </c>
      <c r="I46" s="393" t="n">
        <v>43385.60138888889</v>
      </c>
      <c r="J46" s="3" t="s">
        <v>40</v>
      </c>
      <c r="K46" s="171">
        <f>VLOOKUP(D46,Base!D:E,2,0)</f>
        <v/>
      </c>
    </row>
    <row customHeight="1" ht="15" r="47" s="183" spans="1:15">
      <c r="A47" s="37">
        <f>E47</f>
        <v/>
      </c>
      <c r="B47" s="117" t="s">
        <v>35</v>
      </c>
      <c r="C47" s="117" t="s">
        <v>96</v>
      </c>
      <c r="D47" s="117" t="s">
        <v>99</v>
      </c>
      <c r="E47" s="117" t="s">
        <v>38</v>
      </c>
      <c r="F47" s="117" t="s">
        <v>39</v>
      </c>
      <c r="G47" s="118" t="n">
        <v>4290</v>
      </c>
      <c r="H47" s="118" t="n">
        <v>2</v>
      </c>
      <c r="I47" s="393" t="n">
        <v>43385.59930555556</v>
      </c>
      <c r="J47" s="3" t="s">
        <v>40</v>
      </c>
      <c r="K47" s="171">
        <f>VLOOKUP(D47,Base!D:E,2,0)</f>
        <v/>
      </c>
    </row>
    <row customHeight="1" ht="15" r="48" s="183" spans="1:15">
      <c r="A48" s="37">
        <f>E48</f>
        <v/>
      </c>
      <c r="B48" s="117" t="s">
        <v>35</v>
      </c>
      <c r="C48" s="117" t="s">
        <v>96</v>
      </c>
      <c r="D48" s="117" t="s">
        <v>100</v>
      </c>
      <c r="E48" s="117" t="s">
        <v>38</v>
      </c>
      <c r="F48" s="117" t="s">
        <v>39</v>
      </c>
      <c r="G48" s="118" t="n">
        <v>4290</v>
      </c>
      <c r="H48" s="118" t="n">
        <v>2</v>
      </c>
      <c r="I48" s="393" t="n">
        <v>43385.59930555556</v>
      </c>
      <c r="J48" s="3" t="s">
        <v>40</v>
      </c>
      <c r="K48" s="171">
        <f>VLOOKUP(D48,Base!D:E,2,0)</f>
        <v/>
      </c>
    </row>
    <row customHeight="1" ht="15" r="49" s="183" spans="1:15">
      <c r="A49" s="37">
        <f>E49</f>
        <v/>
      </c>
      <c r="B49" s="117" t="s">
        <v>35</v>
      </c>
      <c r="C49" s="117" t="s">
        <v>101</v>
      </c>
      <c r="D49" s="117" t="s">
        <v>102</v>
      </c>
      <c r="E49" s="117" t="s">
        <v>38</v>
      </c>
      <c r="F49" s="117" t="s">
        <v>39</v>
      </c>
      <c r="G49" s="118" t="n">
        <v>4890</v>
      </c>
      <c r="H49" s="118" t="n">
        <v>2</v>
      </c>
      <c r="I49" s="393" t="n">
        <v>43385.6</v>
      </c>
      <c r="J49" s="3" t="s">
        <v>40</v>
      </c>
      <c r="K49" s="171">
        <f>VLOOKUP(D49,Base!D:E,2,0)</f>
        <v/>
      </c>
    </row>
    <row customHeight="1" ht="15" r="50" s="183" spans="1:15">
      <c r="A50" s="37">
        <f>E50</f>
        <v/>
      </c>
      <c r="B50" s="117" t="s">
        <v>35</v>
      </c>
      <c r="C50" s="117" t="s">
        <v>101</v>
      </c>
      <c r="D50" s="117" t="s">
        <v>103</v>
      </c>
      <c r="E50" s="117" t="s">
        <v>38</v>
      </c>
      <c r="F50" s="117" t="s">
        <v>39</v>
      </c>
      <c r="G50" s="118" t="n">
        <v>4890</v>
      </c>
      <c r="H50" s="118" t="n">
        <v>2</v>
      </c>
      <c r="I50" s="393" t="n">
        <v>43385.60069444445</v>
      </c>
      <c r="J50" s="3" t="s">
        <v>40</v>
      </c>
      <c r="K50" s="171">
        <f>VLOOKUP(D50,Base!D:E,2,0)</f>
        <v/>
      </c>
    </row>
    <row customHeight="1" ht="15" r="51" s="183" spans="1:15">
      <c r="A51" s="37">
        <f>E51</f>
        <v/>
      </c>
      <c r="B51" s="117" t="s">
        <v>35</v>
      </c>
      <c r="C51" s="117" t="s">
        <v>101</v>
      </c>
      <c r="D51" s="117" t="s">
        <v>104</v>
      </c>
      <c r="E51" s="117" t="s">
        <v>38</v>
      </c>
      <c r="F51" s="117" t="s">
        <v>39</v>
      </c>
      <c r="G51" s="118" t="n">
        <v>4890</v>
      </c>
      <c r="H51" s="118" t="n">
        <v>2</v>
      </c>
      <c r="I51" s="393" t="n">
        <v>43385.59930555556</v>
      </c>
      <c r="J51" s="3" t="s">
        <v>40</v>
      </c>
      <c r="K51" s="171">
        <f>VLOOKUP(D51,Base!D:E,2,0)</f>
        <v/>
      </c>
    </row>
    <row customHeight="1" ht="15" r="52" s="183" spans="1:15">
      <c r="A52" s="37">
        <f>E52</f>
        <v/>
      </c>
      <c r="B52" s="117" t="s">
        <v>35</v>
      </c>
      <c r="C52" s="117" t="s">
        <v>105</v>
      </c>
      <c r="D52" s="117" t="s">
        <v>106</v>
      </c>
      <c r="E52" s="117" t="s">
        <v>38</v>
      </c>
      <c r="F52" s="117" t="s">
        <v>39</v>
      </c>
      <c r="G52" s="118" t="n">
        <v>3790</v>
      </c>
      <c r="H52" s="118" t="n">
        <v>2</v>
      </c>
      <c r="I52" s="393" t="n">
        <v>43385.59861111111</v>
      </c>
      <c r="J52" s="3" t="s">
        <v>40</v>
      </c>
      <c r="K52" s="171">
        <f>VLOOKUP(D52,Base!D:E,2,0)</f>
        <v/>
      </c>
    </row>
    <row customHeight="1" ht="15" r="53" s="183" spans="1:15">
      <c r="A53" s="37">
        <f>E53</f>
        <v/>
      </c>
      <c r="B53" s="117" t="s">
        <v>35</v>
      </c>
      <c r="C53" s="117" t="s">
        <v>105</v>
      </c>
      <c r="D53" s="117" t="s">
        <v>107</v>
      </c>
      <c r="E53" s="117" t="s">
        <v>38</v>
      </c>
      <c r="F53" s="117" t="s">
        <v>39</v>
      </c>
      <c r="G53" s="118" t="n">
        <v>3790</v>
      </c>
      <c r="H53" s="118" t="n">
        <v>2</v>
      </c>
      <c r="I53" s="393" t="n">
        <v>43385.59861111111</v>
      </c>
      <c r="J53" s="3" t="s">
        <v>40</v>
      </c>
      <c r="K53" s="171">
        <f>VLOOKUP(D53,Base!D:E,2,0)</f>
        <v/>
      </c>
    </row>
    <row customHeight="1" ht="15" r="54" s="183" spans="1:15">
      <c r="A54" s="37">
        <f>E54</f>
        <v/>
      </c>
      <c r="B54" s="117" t="s">
        <v>35</v>
      </c>
      <c r="C54" s="117" t="s">
        <v>105</v>
      </c>
      <c r="D54" s="117" t="s">
        <v>108</v>
      </c>
      <c r="E54" s="117" t="s">
        <v>38</v>
      </c>
      <c r="F54" s="117" t="s">
        <v>39</v>
      </c>
      <c r="G54" s="118" t="n">
        <v>3790</v>
      </c>
      <c r="H54" s="118" t="n">
        <v>2</v>
      </c>
      <c r="I54" s="393" t="n">
        <v>43385.59861111111</v>
      </c>
      <c r="J54" s="3" t="s">
        <v>40</v>
      </c>
      <c r="K54" s="171">
        <f>VLOOKUP(D54,Base!D:E,2,0)</f>
        <v/>
      </c>
    </row>
    <row customHeight="1" ht="15" r="55" s="183" spans="1:15">
      <c r="A55" s="37">
        <f>E55</f>
        <v/>
      </c>
      <c r="B55" s="117" t="s">
        <v>35</v>
      </c>
      <c r="C55" s="117" t="s">
        <v>105</v>
      </c>
      <c r="D55" s="117" t="s">
        <v>109</v>
      </c>
      <c r="E55" s="117" t="s">
        <v>38</v>
      </c>
      <c r="F55" s="117" t="s">
        <v>39</v>
      </c>
      <c r="G55" s="118" t="n">
        <v>3790</v>
      </c>
      <c r="H55" s="118" t="n">
        <v>2</v>
      </c>
      <c r="I55" s="393" t="n">
        <v>43385.59930555556</v>
      </c>
      <c r="J55" s="3" t="s">
        <v>40</v>
      </c>
      <c r="K55" s="171">
        <f>VLOOKUP(D55,Base!D:E,2,0)</f>
        <v/>
      </c>
    </row>
    <row customHeight="1" ht="15" r="56" s="183" spans="1:15">
      <c r="A56" s="37">
        <f>E56</f>
        <v/>
      </c>
      <c r="B56" s="117" t="s">
        <v>35</v>
      </c>
      <c r="C56" s="117" t="s">
        <v>105</v>
      </c>
      <c r="D56" s="117" t="s">
        <v>110</v>
      </c>
      <c r="E56" s="117" t="s">
        <v>38</v>
      </c>
      <c r="F56" s="117" t="s">
        <v>39</v>
      </c>
      <c r="G56" s="118" t="n">
        <v>3790</v>
      </c>
      <c r="H56" s="118" t="n">
        <v>2</v>
      </c>
      <c r="I56" s="393" t="n">
        <v>43385.59861111111</v>
      </c>
      <c r="J56" s="3" t="s">
        <v>40</v>
      </c>
      <c r="K56" s="171">
        <f>VLOOKUP(D56,Base!D:E,2,0)</f>
        <v/>
      </c>
    </row>
    <row customHeight="1" ht="15" r="57" s="183" spans="1:15">
      <c r="A57" s="37">
        <f>E57</f>
        <v/>
      </c>
      <c r="B57" s="117" t="s">
        <v>35</v>
      </c>
      <c r="C57" s="117" t="s">
        <v>105</v>
      </c>
      <c r="D57" s="117" t="s">
        <v>111</v>
      </c>
      <c r="E57" s="117" t="s">
        <v>38</v>
      </c>
      <c r="F57" s="117" t="s">
        <v>39</v>
      </c>
      <c r="G57" s="118" t="n">
        <v>3790</v>
      </c>
      <c r="H57" s="118" t="n">
        <v>2</v>
      </c>
      <c r="I57" s="393" t="n">
        <v>43385.59930555556</v>
      </c>
      <c r="J57" s="3" t="s">
        <v>40</v>
      </c>
      <c r="K57" s="171">
        <f>VLOOKUP(D57,Base!D:E,2,0)</f>
        <v/>
      </c>
    </row>
    <row customHeight="1" ht="15" r="58" s="183" spans="1:15">
      <c r="A58" s="37">
        <f>E58</f>
        <v/>
      </c>
      <c r="B58" s="117" t="s">
        <v>35</v>
      </c>
      <c r="C58" s="117" t="s">
        <v>105</v>
      </c>
      <c r="D58" s="117" t="s">
        <v>112</v>
      </c>
      <c r="E58" s="117" t="s">
        <v>38</v>
      </c>
      <c r="F58" s="117" t="s">
        <v>39</v>
      </c>
      <c r="G58" s="118" t="n">
        <v>3790</v>
      </c>
      <c r="H58" s="118" t="n">
        <v>2</v>
      </c>
      <c r="I58" s="393" t="n">
        <v>43385.59930555556</v>
      </c>
      <c r="J58" s="3" t="s">
        <v>40</v>
      </c>
      <c r="K58" s="171">
        <f>VLOOKUP(D58,Base!D:E,2,0)</f>
        <v/>
      </c>
    </row>
    <row customHeight="1" ht="15" r="59" s="183" spans="1:15">
      <c r="A59" s="37">
        <f>E59</f>
        <v/>
      </c>
      <c r="B59" s="117" t="s">
        <v>35</v>
      </c>
      <c r="C59" s="117" t="s">
        <v>105</v>
      </c>
      <c r="D59" s="117" t="s">
        <v>113</v>
      </c>
      <c r="E59" s="117" t="s">
        <v>38</v>
      </c>
      <c r="F59" s="117" t="s">
        <v>39</v>
      </c>
      <c r="G59" s="118" t="n">
        <v>3790</v>
      </c>
      <c r="H59" s="118" t="n">
        <v>2</v>
      </c>
      <c r="I59" s="393" t="n">
        <v>43385.59861111111</v>
      </c>
      <c r="J59" s="3" t="s">
        <v>40</v>
      </c>
      <c r="K59" s="171">
        <f>VLOOKUP(D59,Base!D:E,2,0)</f>
        <v/>
      </c>
    </row>
    <row customHeight="1" ht="15" r="60" s="183" spans="1:15">
      <c r="A60" s="37">
        <f>E60</f>
        <v/>
      </c>
      <c r="B60" s="117" t="s">
        <v>35</v>
      </c>
      <c r="C60" s="117" t="s">
        <v>105</v>
      </c>
      <c r="D60" s="117" t="s">
        <v>114</v>
      </c>
      <c r="E60" s="117" t="s">
        <v>38</v>
      </c>
      <c r="F60" s="117" t="s">
        <v>39</v>
      </c>
      <c r="G60" s="118" t="n">
        <v>3790</v>
      </c>
      <c r="H60" s="118" t="n">
        <v>2</v>
      </c>
      <c r="I60" s="393" t="n">
        <v>43385.59861111111</v>
      </c>
      <c r="J60" s="3" t="s">
        <v>40</v>
      </c>
      <c r="K60" s="171">
        <f>VLOOKUP(D60,Base!D:E,2,0)</f>
        <v/>
      </c>
    </row>
    <row customHeight="1" ht="15" r="61" s="183" spans="1:15">
      <c r="A61" s="37">
        <f>E61</f>
        <v/>
      </c>
      <c r="B61" s="117" t="s">
        <v>35</v>
      </c>
      <c r="C61" s="117" t="s">
        <v>105</v>
      </c>
      <c r="D61" s="117" t="s">
        <v>115</v>
      </c>
      <c r="E61" s="117" t="s">
        <v>38</v>
      </c>
      <c r="F61" s="117" t="s">
        <v>39</v>
      </c>
      <c r="G61" s="118" t="n">
        <v>3790</v>
      </c>
      <c r="H61" s="118" t="n">
        <v>2</v>
      </c>
      <c r="I61" s="393" t="n">
        <v>43385.59861111111</v>
      </c>
      <c r="J61" s="3" t="s">
        <v>40</v>
      </c>
      <c r="K61" s="171">
        <f>VLOOKUP(D61,Base!D:E,2,0)</f>
        <v/>
      </c>
    </row>
    <row customHeight="1" ht="15" r="62" s="183" spans="1:15">
      <c r="A62" s="37">
        <f>E62</f>
        <v/>
      </c>
      <c r="B62" s="117" t="s">
        <v>35</v>
      </c>
      <c r="C62" s="117" t="s">
        <v>105</v>
      </c>
      <c r="D62" s="117" t="s">
        <v>116</v>
      </c>
      <c r="E62" s="117" t="s">
        <v>38</v>
      </c>
      <c r="F62" s="117" t="s">
        <v>39</v>
      </c>
      <c r="G62" s="118" t="n">
        <v>3790</v>
      </c>
      <c r="H62" s="118" t="n">
        <v>2</v>
      </c>
      <c r="I62" s="393" t="n">
        <v>43385.59861111111</v>
      </c>
      <c r="J62" s="3" t="s">
        <v>40</v>
      </c>
      <c r="K62" s="171">
        <f>VLOOKUP(D62,Base!D:E,2,0)</f>
        <v/>
      </c>
    </row>
    <row customHeight="1" ht="15" r="63" s="183" spans="1:15">
      <c r="A63" s="37">
        <f>E63</f>
        <v/>
      </c>
      <c r="B63" s="117" t="s">
        <v>35</v>
      </c>
      <c r="C63" s="117" t="s">
        <v>105</v>
      </c>
      <c r="D63" s="117" t="s">
        <v>117</v>
      </c>
      <c r="E63" s="117" t="s">
        <v>38</v>
      </c>
      <c r="F63" s="117" t="s">
        <v>39</v>
      </c>
      <c r="G63" s="118" t="n">
        <v>3790</v>
      </c>
      <c r="H63" s="118" t="n">
        <v>2</v>
      </c>
      <c r="I63" s="393" t="n">
        <v>43385.59930555556</v>
      </c>
      <c r="J63" s="3" t="s">
        <v>40</v>
      </c>
      <c r="K63" s="171">
        <f>VLOOKUP(D63,Base!D:E,2,0)</f>
        <v/>
      </c>
    </row>
    <row customHeight="1" ht="15" r="64" s="183" spans="1:15">
      <c r="A64" s="37">
        <f>E64</f>
        <v/>
      </c>
      <c r="B64" s="117" t="s">
        <v>35</v>
      </c>
      <c r="C64" s="117" t="s">
        <v>105</v>
      </c>
      <c r="D64" s="117" t="s">
        <v>118</v>
      </c>
      <c r="E64" s="117" t="s">
        <v>38</v>
      </c>
      <c r="F64" s="117" t="s">
        <v>39</v>
      </c>
      <c r="G64" s="118" t="n">
        <v>3790</v>
      </c>
      <c r="H64" s="118" t="n">
        <v>2</v>
      </c>
      <c r="I64" s="393" t="n">
        <v>43385.59930555556</v>
      </c>
      <c r="J64" s="3" t="s">
        <v>40</v>
      </c>
      <c r="K64" s="171">
        <f>VLOOKUP(D64,Base!D:E,2,0)</f>
        <v/>
      </c>
    </row>
    <row customHeight="1" ht="15" r="65" s="183" spans="1:15">
      <c r="A65" s="37">
        <f>E65</f>
        <v/>
      </c>
      <c r="B65" s="117" t="s">
        <v>35</v>
      </c>
      <c r="C65" s="117" t="s">
        <v>105</v>
      </c>
      <c r="D65" s="117" t="s">
        <v>119</v>
      </c>
      <c r="E65" s="117" t="s">
        <v>38</v>
      </c>
      <c r="F65" s="117" t="s">
        <v>39</v>
      </c>
      <c r="G65" s="118" t="n">
        <v>3790</v>
      </c>
      <c r="H65" s="118" t="n">
        <v>2</v>
      </c>
      <c r="I65" s="393" t="n">
        <v>43385.59861111111</v>
      </c>
      <c r="J65" s="3" t="s">
        <v>40</v>
      </c>
      <c r="K65" s="171">
        <f>VLOOKUP(D65,Base!D:E,2,0)</f>
        <v/>
      </c>
    </row>
    <row customHeight="1" ht="15" r="66" s="183" spans="1:15">
      <c r="A66" s="37">
        <f>E66</f>
        <v/>
      </c>
      <c r="B66" s="117" t="s">
        <v>35</v>
      </c>
      <c r="C66" s="117" t="s">
        <v>105</v>
      </c>
      <c r="D66" s="117" t="s">
        <v>120</v>
      </c>
      <c r="E66" s="117" t="s">
        <v>38</v>
      </c>
      <c r="F66" s="117" t="s">
        <v>39</v>
      </c>
      <c r="G66" s="118" t="n">
        <v>3790</v>
      </c>
      <c r="H66" s="118" t="n">
        <v>2</v>
      </c>
      <c r="I66" s="393" t="n">
        <v>43385.59930555556</v>
      </c>
      <c r="J66" s="3" t="s">
        <v>40</v>
      </c>
      <c r="K66" s="171">
        <f>VLOOKUP(D66,Base!D:E,2,0)</f>
        <v/>
      </c>
    </row>
    <row customHeight="1" ht="15" r="67" s="183" spans="1:15">
      <c r="A67" s="37">
        <f>E67</f>
        <v/>
      </c>
      <c r="B67" s="117" t="s">
        <v>35</v>
      </c>
      <c r="C67" s="117" t="s">
        <v>105</v>
      </c>
      <c r="D67" s="117" t="s">
        <v>121</v>
      </c>
      <c r="E67" s="117" t="s">
        <v>38</v>
      </c>
      <c r="F67" s="117" t="s">
        <v>39</v>
      </c>
      <c r="G67" s="118" t="n">
        <v>3790</v>
      </c>
      <c r="H67" s="118" t="n">
        <v>2</v>
      </c>
      <c r="I67" s="393" t="n">
        <v>43385.59930555556</v>
      </c>
      <c r="J67" s="3" t="s">
        <v>40</v>
      </c>
      <c r="K67" s="171">
        <f>VLOOKUP(D67,Base!D:E,2,0)</f>
        <v/>
      </c>
    </row>
    <row customHeight="1" ht="15" r="68" s="183" spans="1:15">
      <c r="A68" s="37">
        <f>E68</f>
        <v/>
      </c>
      <c r="B68" s="117" t="s">
        <v>35</v>
      </c>
      <c r="C68" s="117" t="s">
        <v>105</v>
      </c>
      <c r="D68" s="117" t="s">
        <v>122</v>
      </c>
      <c r="E68" s="117" t="s">
        <v>38</v>
      </c>
      <c r="F68" s="117" t="s">
        <v>39</v>
      </c>
      <c r="G68" s="118" t="n">
        <v>3790</v>
      </c>
      <c r="H68" s="118" t="n">
        <v>2</v>
      </c>
      <c r="I68" s="393" t="n">
        <v>43385.59930555556</v>
      </c>
      <c r="J68" s="3" t="s">
        <v>40</v>
      </c>
      <c r="K68" s="171">
        <f>VLOOKUP(D68,Base!D:E,2,0)</f>
        <v/>
      </c>
    </row>
    <row customHeight="1" ht="15" r="69" s="183" spans="1:15">
      <c r="A69" s="37">
        <f>E69</f>
        <v/>
      </c>
      <c r="B69" s="117" t="s">
        <v>35</v>
      </c>
      <c r="C69" s="117" t="s">
        <v>105</v>
      </c>
      <c r="D69" s="117" t="s">
        <v>123</v>
      </c>
      <c r="E69" s="117" t="s">
        <v>38</v>
      </c>
      <c r="F69" s="117" t="s">
        <v>39</v>
      </c>
      <c r="G69" s="118" t="n">
        <v>3790</v>
      </c>
      <c r="H69" s="118" t="n">
        <v>2</v>
      </c>
      <c r="I69" s="393" t="n">
        <v>43385.59930555556</v>
      </c>
      <c r="J69" s="3" t="s">
        <v>40</v>
      </c>
      <c r="K69" s="171">
        <f>VLOOKUP(D69,Base!D:E,2,0)</f>
        <v/>
      </c>
    </row>
    <row customHeight="1" ht="15" r="70" s="183" spans="1:15">
      <c r="A70" s="37">
        <f>E70</f>
        <v/>
      </c>
      <c r="B70" s="117" t="s">
        <v>35</v>
      </c>
      <c r="C70" s="117" t="s">
        <v>105</v>
      </c>
      <c r="D70" s="117" t="s">
        <v>124</v>
      </c>
      <c r="E70" s="117" t="s">
        <v>38</v>
      </c>
      <c r="F70" s="117" t="s">
        <v>39</v>
      </c>
      <c r="G70" s="118" t="n">
        <v>3790</v>
      </c>
      <c r="H70" s="118" t="n">
        <v>2</v>
      </c>
      <c r="I70" s="393" t="n">
        <v>43385.59930555556</v>
      </c>
      <c r="J70" s="3" t="s">
        <v>40</v>
      </c>
      <c r="K70" s="171">
        <f>VLOOKUP(D70,Base!D:E,2,0)</f>
        <v/>
      </c>
    </row>
    <row customHeight="1" ht="15" r="71" s="183" spans="1:15">
      <c r="A71" s="37">
        <f>E71</f>
        <v/>
      </c>
      <c r="B71" s="117" t="s">
        <v>35</v>
      </c>
      <c r="C71" s="117" t="s">
        <v>105</v>
      </c>
      <c r="D71" s="117" t="s">
        <v>125</v>
      </c>
      <c r="E71" s="117" t="s">
        <v>38</v>
      </c>
      <c r="F71" s="117" t="s">
        <v>39</v>
      </c>
      <c r="G71" s="118" t="n">
        <v>3790</v>
      </c>
      <c r="H71" s="118" t="n">
        <v>2</v>
      </c>
      <c r="I71" s="393" t="n">
        <v>43385.59861111111</v>
      </c>
      <c r="J71" s="3" t="s">
        <v>40</v>
      </c>
      <c r="K71" s="171">
        <f>VLOOKUP(D71,Base!D:E,2,0)</f>
        <v/>
      </c>
    </row>
    <row customHeight="1" ht="15" r="72" s="183" spans="1:15">
      <c r="A72" s="37">
        <f>E72</f>
        <v/>
      </c>
      <c r="B72" s="117" t="s">
        <v>35</v>
      </c>
      <c r="C72" s="117" t="s">
        <v>105</v>
      </c>
      <c r="D72" s="117" t="s">
        <v>126</v>
      </c>
      <c r="E72" s="117" t="s">
        <v>38</v>
      </c>
      <c r="F72" s="117" t="s">
        <v>39</v>
      </c>
      <c r="G72" s="118" t="n">
        <v>3790</v>
      </c>
      <c r="H72" s="118" t="n">
        <v>2</v>
      </c>
      <c r="I72" s="393" t="n">
        <v>43385.59930555556</v>
      </c>
      <c r="J72" s="3" t="s">
        <v>40</v>
      </c>
      <c r="K72" s="171">
        <f>VLOOKUP(D72,Base!D:E,2,0)</f>
        <v/>
      </c>
    </row>
    <row customHeight="1" ht="15" r="73" s="183" spans="1:15">
      <c r="A73" s="37">
        <f>E73</f>
        <v/>
      </c>
      <c r="B73" s="117" t="s">
        <v>35</v>
      </c>
      <c r="C73" s="117" t="s">
        <v>105</v>
      </c>
      <c r="D73" s="117" t="s">
        <v>127</v>
      </c>
      <c r="E73" s="117" t="s">
        <v>38</v>
      </c>
      <c r="F73" s="117" t="s">
        <v>39</v>
      </c>
      <c r="G73" s="118" t="n">
        <v>3790</v>
      </c>
      <c r="H73" s="118" t="n">
        <v>2</v>
      </c>
      <c r="I73" s="393" t="n">
        <v>43385.59930555556</v>
      </c>
      <c r="J73" s="3" t="s">
        <v>40</v>
      </c>
      <c r="K73" s="171">
        <f>VLOOKUP(D73,Base!D:E,2,0)</f>
        <v/>
      </c>
    </row>
    <row customHeight="1" ht="15" r="74" s="183" spans="1:15">
      <c r="A74" s="37">
        <f>E74</f>
        <v/>
      </c>
      <c r="B74" s="117" t="s">
        <v>35</v>
      </c>
      <c r="C74" s="117" t="s">
        <v>105</v>
      </c>
      <c r="D74" s="117" t="s">
        <v>128</v>
      </c>
      <c r="E74" s="117" t="s">
        <v>38</v>
      </c>
      <c r="F74" s="117" t="s">
        <v>39</v>
      </c>
      <c r="G74" s="118" t="n">
        <v>3790</v>
      </c>
      <c r="H74" s="118" t="n">
        <v>2</v>
      </c>
      <c r="I74" s="393" t="n">
        <v>43385.59930555556</v>
      </c>
      <c r="J74" s="3" t="s">
        <v>40</v>
      </c>
      <c r="K74" s="171">
        <f>VLOOKUP(D74,Base!D:E,2,0)</f>
        <v/>
      </c>
    </row>
    <row customHeight="1" ht="15" r="75" s="183" spans="1:15">
      <c r="A75" s="37">
        <f>E75</f>
        <v/>
      </c>
      <c r="B75" s="117" t="s">
        <v>35</v>
      </c>
      <c r="C75" s="117" t="s">
        <v>105</v>
      </c>
      <c r="D75" s="117" t="s">
        <v>129</v>
      </c>
      <c r="E75" s="117" t="s">
        <v>38</v>
      </c>
      <c r="F75" s="117" t="s">
        <v>39</v>
      </c>
      <c r="G75" s="118" t="n">
        <v>3790</v>
      </c>
      <c r="H75" s="118" t="n">
        <v>2</v>
      </c>
      <c r="I75" s="393" t="n">
        <v>43385.59930555556</v>
      </c>
      <c r="J75" s="3" t="s">
        <v>40</v>
      </c>
      <c r="K75" s="171">
        <f>VLOOKUP(D75,Base!D:E,2,0)</f>
        <v/>
      </c>
    </row>
    <row customHeight="1" ht="15" r="76" s="183" spans="1:15">
      <c r="A76" s="37">
        <f>E76</f>
        <v/>
      </c>
      <c r="B76" s="117" t="s">
        <v>35</v>
      </c>
      <c r="C76" s="117" t="s">
        <v>105</v>
      </c>
      <c r="D76" s="117" t="s">
        <v>130</v>
      </c>
      <c r="E76" s="117" t="s">
        <v>38</v>
      </c>
      <c r="F76" s="117" t="s">
        <v>39</v>
      </c>
      <c r="G76" s="118" t="n">
        <v>3790</v>
      </c>
      <c r="H76" s="118" t="n">
        <v>2</v>
      </c>
      <c r="I76" s="393" t="n">
        <v>43385.6</v>
      </c>
      <c r="J76" s="3" t="s">
        <v>40</v>
      </c>
      <c r="K76" s="171">
        <f>VLOOKUP(D76,Base!D:E,2,0)</f>
        <v/>
      </c>
    </row>
    <row customHeight="1" ht="15" r="77" s="183" spans="1:15">
      <c r="A77" s="37">
        <f>E77</f>
        <v/>
      </c>
      <c r="B77" s="117" t="s">
        <v>35</v>
      </c>
      <c r="C77" s="117" t="s">
        <v>105</v>
      </c>
      <c r="D77" s="117" t="s">
        <v>131</v>
      </c>
      <c r="E77" s="117" t="s">
        <v>38</v>
      </c>
      <c r="F77" s="117" t="s">
        <v>39</v>
      </c>
      <c r="G77" s="118" t="n">
        <v>3790</v>
      </c>
      <c r="H77" s="118" t="n">
        <v>2</v>
      </c>
      <c r="I77" s="393" t="n">
        <v>43385.59930555556</v>
      </c>
      <c r="J77" s="3" t="s">
        <v>40</v>
      </c>
      <c r="K77" s="171">
        <f>VLOOKUP(D77,Base!D:E,2,0)</f>
        <v/>
      </c>
    </row>
    <row customHeight="1" ht="15" r="78" s="183" spans="1:15">
      <c r="A78" s="37">
        <f>E78</f>
        <v/>
      </c>
      <c r="B78" s="117" t="s">
        <v>35</v>
      </c>
      <c r="C78" s="117" t="s">
        <v>105</v>
      </c>
      <c r="D78" s="117" t="s">
        <v>132</v>
      </c>
      <c r="E78" s="117" t="s">
        <v>38</v>
      </c>
      <c r="F78" s="117" t="s">
        <v>39</v>
      </c>
      <c r="G78" s="118" t="n">
        <v>3790</v>
      </c>
      <c r="H78" s="118" t="n">
        <v>2</v>
      </c>
      <c r="I78" s="393" t="n">
        <v>43385.59930555556</v>
      </c>
      <c r="J78" s="3" t="s">
        <v>40</v>
      </c>
      <c r="K78" s="171">
        <f>VLOOKUP(D78,Base!D:E,2,0)</f>
        <v/>
      </c>
    </row>
    <row customHeight="1" ht="15" r="79" s="183" spans="1:15">
      <c r="A79" s="37">
        <f>E79</f>
        <v/>
      </c>
      <c r="B79" s="117" t="s">
        <v>35</v>
      </c>
      <c r="C79" s="117" t="s">
        <v>105</v>
      </c>
      <c r="D79" s="117" t="s">
        <v>133</v>
      </c>
      <c r="E79" s="117" t="s">
        <v>38</v>
      </c>
      <c r="F79" s="117" t="s">
        <v>39</v>
      </c>
      <c r="G79" s="118" t="n">
        <v>3790</v>
      </c>
      <c r="H79" s="118" t="n">
        <v>2</v>
      </c>
      <c r="I79" s="393" t="n">
        <v>43385.59930555556</v>
      </c>
      <c r="J79" s="3" t="s">
        <v>40</v>
      </c>
      <c r="K79" s="171">
        <f>VLOOKUP(D79,Base!D:E,2,0)</f>
        <v/>
      </c>
    </row>
    <row customHeight="1" ht="15" r="80" s="183" spans="1:15">
      <c r="A80" s="37">
        <f>E80</f>
        <v/>
      </c>
      <c r="B80" s="117" t="s">
        <v>35</v>
      </c>
      <c r="C80" s="117" t="s">
        <v>105</v>
      </c>
      <c r="D80" s="117" t="s">
        <v>134</v>
      </c>
      <c r="E80" s="117" t="s">
        <v>38</v>
      </c>
      <c r="F80" s="117" t="s">
        <v>39</v>
      </c>
      <c r="G80" s="118" t="n">
        <v>3790</v>
      </c>
      <c r="H80" s="118" t="n">
        <v>2</v>
      </c>
      <c r="I80" s="393" t="n">
        <v>43385.59861111111</v>
      </c>
      <c r="J80" s="3" t="s">
        <v>40</v>
      </c>
      <c r="K80" s="171">
        <f>VLOOKUP(D80,Base!D:E,2,0)</f>
        <v/>
      </c>
    </row>
    <row customHeight="1" ht="15" r="81" s="183" spans="1:15">
      <c r="A81" s="37">
        <f>E81</f>
        <v/>
      </c>
      <c r="B81" s="117" t="s">
        <v>35</v>
      </c>
      <c r="C81" s="117" t="s">
        <v>105</v>
      </c>
      <c r="D81" s="117" t="s">
        <v>135</v>
      </c>
      <c r="E81" s="117" t="s">
        <v>38</v>
      </c>
      <c r="F81" s="117" t="s">
        <v>39</v>
      </c>
      <c r="G81" s="118" t="n">
        <v>3790</v>
      </c>
      <c r="H81" s="118" t="n">
        <v>2</v>
      </c>
      <c r="I81" s="393" t="n">
        <v>43385.59930555556</v>
      </c>
      <c r="J81" s="3" t="s">
        <v>40</v>
      </c>
      <c r="K81" s="171">
        <f>VLOOKUP(D81,Base!D:E,2,0)</f>
        <v/>
      </c>
    </row>
    <row customHeight="1" ht="15" r="82" s="183" spans="1:15">
      <c r="A82" s="37">
        <f>E82</f>
        <v/>
      </c>
      <c r="B82" s="117" t="s">
        <v>35</v>
      </c>
      <c r="C82" s="117" t="s">
        <v>105</v>
      </c>
      <c r="D82" s="117" t="s">
        <v>136</v>
      </c>
      <c r="E82" s="117" t="s">
        <v>38</v>
      </c>
      <c r="F82" s="117" t="s">
        <v>39</v>
      </c>
      <c r="G82" s="118" t="n">
        <v>3790</v>
      </c>
      <c r="H82" s="118" t="n">
        <v>2</v>
      </c>
      <c r="I82" s="393" t="n">
        <v>43385.6</v>
      </c>
      <c r="J82" s="3" t="s">
        <v>40</v>
      </c>
      <c r="K82" s="171">
        <f>VLOOKUP(D82,Base!D:E,2,0)</f>
        <v/>
      </c>
    </row>
    <row customHeight="1" ht="15" r="83" s="183" spans="1:15">
      <c r="A83" s="37">
        <f>E83</f>
        <v/>
      </c>
      <c r="B83" s="117" t="s">
        <v>35</v>
      </c>
      <c r="C83" s="117" t="s">
        <v>105</v>
      </c>
      <c r="D83" s="117" t="s">
        <v>137</v>
      </c>
      <c r="E83" s="117" t="s">
        <v>38</v>
      </c>
      <c r="F83" s="117" t="s">
        <v>39</v>
      </c>
      <c r="G83" s="118" t="n">
        <v>3790</v>
      </c>
      <c r="H83" s="118" t="n">
        <v>2</v>
      </c>
      <c r="I83" s="393" t="n">
        <v>43385.59861111111</v>
      </c>
      <c r="J83" s="3" t="s">
        <v>40</v>
      </c>
      <c r="K83" s="171">
        <f>VLOOKUP(D83,Base!D:E,2,0)</f>
        <v/>
      </c>
    </row>
    <row customHeight="1" ht="15" r="84" s="183" spans="1:15">
      <c r="A84" s="37">
        <f>E84</f>
        <v/>
      </c>
      <c r="B84" s="117" t="s">
        <v>35</v>
      </c>
      <c r="C84" s="117" t="s">
        <v>105</v>
      </c>
      <c r="D84" s="117" t="s">
        <v>138</v>
      </c>
      <c r="E84" s="117" t="s">
        <v>38</v>
      </c>
      <c r="F84" s="117" t="s">
        <v>39</v>
      </c>
      <c r="G84" s="118" t="n">
        <v>3790</v>
      </c>
      <c r="H84" s="118" t="n">
        <v>2</v>
      </c>
      <c r="I84" s="393" t="n">
        <v>43385.59930555556</v>
      </c>
      <c r="J84" s="3" t="s">
        <v>40</v>
      </c>
      <c r="K84" s="171">
        <f>VLOOKUP(D84,Base!D:E,2,0)</f>
        <v/>
      </c>
    </row>
    <row customHeight="1" ht="15" r="85" s="183" spans="1:15">
      <c r="A85" s="37">
        <f>E85</f>
        <v/>
      </c>
      <c r="B85" s="117" t="s">
        <v>35</v>
      </c>
      <c r="C85" s="117" t="s">
        <v>105</v>
      </c>
      <c r="D85" s="117" t="s">
        <v>139</v>
      </c>
      <c r="E85" s="117" t="s">
        <v>38</v>
      </c>
      <c r="F85" s="117" t="s">
        <v>39</v>
      </c>
      <c r="G85" s="118" t="n">
        <v>3790</v>
      </c>
      <c r="H85" s="118" t="n">
        <v>2</v>
      </c>
      <c r="I85" s="393" t="n">
        <v>43385.59930555556</v>
      </c>
      <c r="J85" s="3" t="s">
        <v>40</v>
      </c>
      <c r="K85" s="171">
        <f>VLOOKUP(D85,Base!D:E,2,0)</f>
        <v/>
      </c>
    </row>
    <row customHeight="1" ht="15" r="86" s="183" spans="1:15">
      <c r="A86" s="37">
        <f>E86</f>
        <v/>
      </c>
      <c r="B86" s="117" t="s">
        <v>35</v>
      </c>
      <c r="C86" s="117" t="s">
        <v>105</v>
      </c>
      <c r="D86" s="117" t="s">
        <v>140</v>
      </c>
      <c r="E86" s="117" t="s">
        <v>38</v>
      </c>
      <c r="F86" s="117" t="s">
        <v>39</v>
      </c>
      <c r="G86" s="118" t="n">
        <v>3790</v>
      </c>
      <c r="H86" s="118" t="n">
        <v>2</v>
      </c>
      <c r="I86" s="393" t="n">
        <v>43385.59930555556</v>
      </c>
      <c r="J86" s="3" t="s">
        <v>40</v>
      </c>
      <c r="K86" s="171">
        <f>VLOOKUP(D86,Base!D:E,2,0)</f>
        <v/>
      </c>
    </row>
    <row customHeight="1" ht="15" r="87" s="183" spans="1:15">
      <c r="A87" s="37">
        <f>E87</f>
        <v/>
      </c>
      <c r="B87" s="117" t="s">
        <v>35</v>
      </c>
      <c r="C87" s="117" t="s">
        <v>105</v>
      </c>
      <c r="D87" s="117" t="s">
        <v>141</v>
      </c>
      <c r="E87" s="117" t="s">
        <v>38</v>
      </c>
      <c r="F87" s="117" t="s">
        <v>39</v>
      </c>
      <c r="G87" s="118" t="n">
        <v>3790</v>
      </c>
      <c r="H87" s="118" t="n">
        <v>2</v>
      </c>
      <c r="I87" s="393" t="n">
        <v>43385.6</v>
      </c>
      <c r="J87" s="3" t="s">
        <v>40</v>
      </c>
      <c r="K87" s="171">
        <f>VLOOKUP(D87,Base!D:E,2,0)</f>
        <v/>
      </c>
    </row>
    <row customHeight="1" ht="15" r="88" s="183" spans="1:15">
      <c r="A88" s="37">
        <f>E88</f>
        <v/>
      </c>
      <c r="B88" s="117" t="s">
        <v>35</v>
      </c>
      <c r="C88" s="117" t="s">
        <v>105</v>
      </c>
      <c r="D88" s="117" t="s">
        <v>142</v>
      </c>
      <c r="E88" s="117" t="s">
        <v>38</v>
      </c>
      <c r="F88" s="117" t="s">
        <v>39</v>
      </c>
      <c r="G88" s="118" t="n">
        <v>3790</v>
      </c>
      <c r="H88" s="118" t="n">
        <v>2</v>
      </c>
      <c r="I88" s="393" t="n">
        <v>43385.60069444445</v>
      </c>
      <c r="J88" s="3" t="s">
        <v>40</v>
      </c>
      <c r="K88" s="171">
        <f>VLOOKUP(D88,Base!D:E,2,0)</f>
        <v/>
      </c>
    </row>
    <row customHeight="1" ht="15" r="89" s="183" spans="1:15">
      <c r="A89" s="37">
        <f>E89</f>
        <v/>
      </c>
      <c r="B89" s="117" t="s">
        <v>35</v>
      </c>
      <c r="C89" s="117" t="s">
        <v>105</v>
      </c>
      <c r="D89" s="117" t="s">
        <v>143</v>
      </c>
      <c r="E89" s="117" t="s">
        <v>38</v>
      </c>
      <c r="F89" s="117" t="s">
        <v>39</v>
      </c>
      <c r="G89" s="118" t="n">
        <v>3790</v>
      </c>
      <c r="H89" s="118" t="n">
        <v>2</v>
      </c>
      <c r="I89" s="393" t="n">
        <v>43385.59930555556</v>
      </c>
      <c r="J89" s="3" t="s">
        <v>40</v>
      </c>
      <c r="K89" s="171">
        <f>VLOOKUP(D89,Base!D:E,2,0)</f>
        <v/>
      </c>
    </row>
    <row customHeight="1" ht="15" r="90" s="183" spans="1:15">
      <c r="A90" s="37">
        <f>E90</f>
        <v/>
      </c>
      <c r="B90" s="117" t="s">
        <v>35</v>
      </c>
      <c r="C90" s="117" t="s">
        <v>105</v>
      </c>
      <c r="D90" s="117" t="s">
        <v>144</v>
      </c>
      <c r="E90" s="117" t="s">
        <v>38</v>
      </c>
      <c r="F90" s="117" t="s">
        <v>39</v>
      </c>
      <c r="G90" s="118" t="n">
        <v>3790</v>
      </c>
      <c r="H90" s="118" t="n">
        <v>2</v>
      </c>
      <c r="I90" s="393" t="n">
        <v>43385.59930555556</v>
      </c>
      <c r="J90" s="3" t="s">
        <v>40</v>
      </c>
      <c r="K90" s="171">
        <f>VLOOKUP(D90,Base!D:E,2,0)</f>
        <v/>
      </c>
    </row>
    <row customHeight="1" ht="15" r="91" s="183" spans="1:15">
      <c r="A91" s="37">
        <f>E91</f>
        <v/>
      </c>
      <c r="B91" s="117" t="s">
        <v>35</v>
      </c>
      <c r="C91" s="117" t="s">
        <v>105</v>
      </c>
      <c r="D91" s="117" t="s">
        <v>145</v>
      </c>
      <c r="E91" s="117" t="s">
        <v>38</v>
      </c>
      <c r="F91" s="117" t="s">
        <v>39</v>
      </c>
      <c r="G91" s="118" t="n">
        <v>3790</v>
      </c>
      <c r="H91" s="118" t="n">
        <v>2</v>
      </c>
      <c r="I91" s="393" t="n">
        <v>43385.59861111111</v>
      </c>
      <c r="J91" s="3" t="s">
        <v>40</v>
      </c>
      <c r="K91" s="171">
        <f>VLOOKUP(D91,Base!D:E,2,0)</f>
        <v/>
      </c>
    </row>
    <row customHeight="1" ht="15" r="92" s="183" spans="1:15">
      <c r="A92" s="37">
        <f>E92</f>
        <v/>
      </c>
      <c r="B92" s="117" t="s">
        <v>35</v>
      </c>
      <c r="C92" s="117" t="s">
        <v>105</v>
      </c>
      <c r="D92" s="117" t="s">
        <v>146</v>
      </c>
      <c r="E92" s="117" t="s">
        <v>38</v>
      </c>
      <c r="F92" s="117" t="s">
        <v>39</v>
      </c>
      <c r="G92" s="118" t="n">
        <v>3790</v>
      </c>
      <c r="H92" s="118" t="n">
        <v>2</v>
      </c>
      <c r="I92" s="393" t="n">
        <v>43385.59861111111</v>
      </c>
      <c r="J92" s="3" t="s">
        <v>40</v>
      </c>
      <c r="K92" s="171">
        <f>VLOOKUP(D92,Base!D:E,2,0)</f>
        <v/>
      </c>
    </row>
    <row customHeight="1" ht="15" r="93" s="183" spans="1:15">
      <c r="A93" s="37">
        <f>E93</f>
        <v/>
      </c>
      <c r="B93" s="117" t="s">
        <v>35</v>
      </c>
      <c r="C93" s="117" t="s">
        <v>105</v>
      </c>
      <c r="D93" s="117" t="s">
        <v>147</v>
      </c>
      <c r="E93" s="117" t="s">
        <v>38</v>
      </c>
      <c r="F93" s="117" t="s">
        <v>39</v>
      </c>
      <c r="G93" s="118" t="n">
        <v>3790</v>
      </c>
      <c r="H93" s="118" t="n">
        <v>2</v>
      </c>
      <c r="I93" s="393" t="n">
        <v>43385.59930555556</v>
      </c>
      <c r="J93" s="3" t="s">
        <v>40</v>
      </c>
      <c r="K93" s="171">
        <f>VLOOKUP(D93,Base!D:E,2,0)</f>
        <v/>
      </c>
    </row>
    <row customHeight="1" ht="15" r="94" s="183" spans="1:15">
      <c r="A94" s="37">
        <f>E94</f>
        <v/>
      </c>
      <c r="B94" s="117" t="s">
        <v>148</v>
      </c>
      <c r="C94" s="117" t="s">
        <v>36</v>
      </c>
      <c r="D94" s="117" t="s">
        <v>37</v>
      </c>
      <c r="E94" s="117" t="n">
        <v>4342137</v>
      </c>
      <c r="F94" s="117" t="s">
        <v>149</v>
      </c>
      <c r="G94" s="118" t="n">
        <v>9990</v>
      </c>
      <c r="H94" s="118" t="n">
        <v>6</v>
      </c>
      <c r="I94" s="393" t="n">
        <v>43385.59861111111</v>
      </c>
      <c r="J94" s="3" t="s">
        <v>40</v>
      </c>
      <c r="K94" s="171">
        <f>VLOOKUP(D94,Base!D:E,2,0)</f>
        <v/>
      </c>
    </row>
    <row customHeight="1" ht="15" r="95" s="183" spans="1:15">
      <c r="A95" s="37">
        <f>E95</f>
        <v/>
      </c>
      <c r="B95" s="117" t="s">
        <v>148</v>
      </c>
      <c r="C95" s="117" t="s">
        <v>36</v>
      </c>
      <c r="D95" s="117" t="s">
        <v>42</v>
      </c>
      <c r="E95" s="117" t="n">
        <v>4342137</v>
      </c>
      <c r="F95" s="117" t="s">
        <v>149</v>
      </c>
      <c r="G95" s="118" t="n">
        <v>9990</v>
      </c>
      <c r="H95" s="118" t="n">
        <v>7</v>
      </c>
      <c r="I95" s="393" t="n">
        <v>43385.59930555556</v>
      </c>
      <c r="J95" s="3" t="s">
        <v>40</v>
      </c>
      <c r="K95" s="171">
        <f>VLOOKUP(D95,Base!D:E,2,0)</f>
        <v/>
      </c>
    </row>
    <row customHeight="1" ht="15" r="96" s="183" spans="1:15">
      <c r="A96" s="37">
        <f>E96</f>
        <v/>
      </c>
      <c r="B96" s="117" t="s">
        <v>148</v>
      </c>
      <c r="C96" s="117" t="s">
        <v>44</v>
      </c>
      <c r="D96" s="117" t="s">
        <v>45</v>
      </c>
      <c r="E96" s="117" t="n">
        <v>4342137</v>
      </c>
      <c r="F96" s="117" t="s">
        <v>149</v>
      </c>
      <c r="G96" s="118" t="n">
        <v>10990</v>
      </c>
      <c r="H96" s="118" t="n">
        <v>8</v>
      </c>
      <c r="I96" s="393" t="n">
        <v>43385.59930555556</v>
      </c>
      <c r="J96" s="3" t="s">
        <v>40</v>
      </c>
      <c r="K96" s="171">
        <f>VLOOKUP(D96,Base!D:E,2,0)</f>
        <v/>
      </c>
    </row>
    <row customHeight="1" ht="15" r="97" s="183" spans="1:15">
      <c r="A97" s="37">
        <f>E97</f>
        <v/>
      </c>
      <c r="B97" s="117" t="s">
        <v>148</v>
      </c>
      <c r="C97" s="117" t="s">
        <v>46</v>
      </c>
      <c r="D97" s="117" t="s">
        <v>47</v>
      </c>
      <c r="E97" s="117" t="n">
        <v>4342137</v>
      </c>
      <c r="F97" s="117" t="s">
        <v>149</v>
      </c>
      <c r="G97" s="118" t="n">
        <v>9990</v>
      </c>
      <c r="H97" s="118" t="n">
        <v>6</v>
      </c>
      <c r="I97" s="393" t="n">
        <v>43385.59930555556</v>
      </c>
      <c r="J97" s="3" t="s">
        <v>40</v>
      </c>
      <c r="K97" s="171">
        <f>VLOOKUP(D97,Base!D:E,2,0)</f>
        <v/>
      </c>
    </row>
    <row customHeight="1" ht="15" r="98" s="183" spans="1:15">
      <c r="A98" s="37">
        <f>E98</f>
        <v/>
      </c>
      <c r="B98" s="117" t="s">
        <v>148</v>
      </c>
      <c r="C98" s="117" t="s">
        <v>46</v>
      </c>
      <c r="D98" s="117" t="s">
        <v>48</v>
      </c>
      <c r="E98" s="117" t="n">
        <v>4342137</v>
      </c>
      <c r="F98" s="117" t="s">
        <v>149</v>
      </c>
      <c r="G98" s="118" t="n">
        <v>6990</v>
      </c>
      <c r="H98" s="118" t="n">
        <v>8</v>
      </c>
      <c r="I98" s="393" t="n">
        <v>43385.59930555556</v>
      </c>
      <c r="J98" s="3" t="s">
        <v>40</v>
      </c>
      <c r="K98" s="171">
        <f>VLOOKUP(D98,Base!D:E,2,0)</f>
        <v/>
      </c>
    </row>
    <row customHeight="1" ht="15" r="99" s="183" spans="1:15">
      <c r="A99" s="37">
        <f>E99</f>
        <v/>
      </c>
      <c r="B99" s="117" t="s">
        <v>148</v>
      </c>
      <c r="C99" s="117" t="s">
        <v>49</v>
      </c>
      <c r="D99" s="117" t="s">
        <v>50</v>
      </c>
      <c r="E99" s="117" t="n">
        <v>4342137</v>
      </c>
      <c r="F99" s="117" t="s">
        <v>149</v>
      </c>
      <c r="G99" s="118" t="n">
        <v>15490</v>
      </c>
      <c r="H99" s="118" t="n">
        <v>15</v>
      </c>
      <c r="I99" s="393" t="n">
        <v>43385.59930555556</v>
      </c>
      <c r="J99" s="3" t="s">
        <v>40</v>
      </c>
      <c r="K99" s="171">
        <f>VLOOKUP(D99,Base!D:E,2,0)</f>
        <v/>
      </c>
    </row>
    <row customHeight="1" ht="15" r="100" s="183" spans="1:15">
      <c r="A100" s="37">
        <f>E100</f>
        <v/>
      </c>
      <c r="B100" s="117" t="s">
        <v>148</v>
      </c>
      <c r="C100" s="117" t="s">
        <v>51</v>
      </c>
      <c r="D100" s="117" t="s">
        <v>52</v>
      </c>
      <c r="E100" s="117" t="n">
        <v>4342137</v>
      </c>
      <c r="F100" s="117" t="s">
        <v>149</v>
      </c>
      <c r="G100" s="118" t="n">
        <v>8490</v>
      </c>
      <c r="H100" s="118" t="n">
        <v>4</v>
      </c>
      <c r="I100" s="393" t="n">
        <v>43385.59861111111</v>
      </c>
      <c r="J100" s="3" t="s">
        <v>40</v>
      </c>
      <c r="K100" s="171">
        <f>VLOOKUP(D100,Base!D:E,2,0)</f>
        <v/>
      </c>
    </row>
    <row customHeight="1" ht="15" r="101" s="183" spans="1:15">
      <c r="A101" s="37">
        <f>E101</f>
        <v/>
      </c>
      <c r="B101" s="117" t="s">
        <v>148</v>
      </c>
      <c r="C101" s="117" t="s">
        <v>51</v>
      </c>
      <c r="D101" s="117" t="s">
        <v>53</v>
      </c>
      <c r="E101" s="117" t="n">
        <v>4342137</v>
      </c>
      <c r="F101" s="117" t="s">
        <v>149</v>
      </c>
      <c r="G101" s="118" t="n">
        <v>9490</v>
      </c>
      <c r="H101" s="118" t="n">
        <v>6</v>
      </c>
      <c r="I101" s="393" t="n">
        <v>43385.59930555556</v>
      </c>
      <c r="J101" s="3" t="s">
        <v>40</v>
      </c>
      <c r="K101" s="171">
        <f>VLOOKUP(D101,Base!D:E,2,0)</f>
        <v/>
      </c>
    </row>
    <row customHeight="1" ht="15" r="102" s="183" spans="1:15">
      <c r="A102" s="37">
        <f>E102</f>
        <v/>
      </c>
      <c r="B102" s="117" t="s">
        <v>148</v>
      </c>
      <c r="C102" s="117" t="s">
        <v>51</v>
      </c>
      <c r="D102" s="117" t="s">
        <v>54</v>
      </c>
      <c r="E102" s="117" t="n">
        <v>4342137</v>
      </c>
      <c r="F102" s="117" t="s">
        <v>149</v>
      </c>
      <c r="G102" s="118" t="n">
        <v>8490</v>
      </c>
      <c r="H102" s="118" t="n">
        <v>4</v>
      </c>
      <c r="I102" s="393" t="n">
        <v>43385.59861111111</v>
      </c>
      <c r="J102" s="3" t="s">
        <v>40</v>
      </c>
      <c r="K102" s="171">
        <f>VLOOKUP(D102,Base!D:E,2,0)</f>
        <v/>
      </c>
    </row>
    <row customHeight="1" ht="15" r="103" s="183" spans="1:15">
      <c r="A103" s="37">
        <f>E103</f>
        <v/>
      </c>
      <c r="B103" s="117" t="s">
        <v>148</v>
      </c>
      <c r="C103" s="117" t="s">
        <v>51</v>
      </c>
      <c r="D103" s="117" t="s">
        <v>55</v>
      </c>
      <c r="E103" s="117" t="n">
        <v>4342137</v>
      </c>
      <c r="F103" s="117" t="s">
        <v>149</v>
      </c>
      <c r="G103" s="118" t="n">
        <v>9490</v>
      </c>
      <c r="H103" s="118" t="n">
        <v>6</v>
      </c>
      <c r="I103" s="393" t="n">
        <v>43385.59930555556</v>
      </c>
      <c r="J103" s="3" t="s">
        <v>40</v>
      </c>
      <c r="K103" s="171">
        <f>VLOOKUP(D103,Base!D:E,2,0)</f>
        <v/>
      </c>
    </row>
    <row customHeight="1" ht="15" r="104" s="183" spans="1:15">
      <c r="A104" s="37">
        <f>E104</f>
        <v/>
      </c>
      <c r="B104" s="117" t="s">
        <v>148</v>
      </c>
      <c r="C104" s="117" t="s">
        <v>51</v>
      </c>
      <c r="D104" s="117" t="s">
        <v>56</v>
      </c>
      <c r="E104" s="117" t="n">
        <v>4342137</v>
      </c>
      <c r="F104" s="117" t="s">
        <v>149</v>
      </c>
      <c r="G104" s="118" t="n">
        <v>9990</v>
      </c>
      <c r="H104" s="118" t="n">
        <v>4</v>
      </c>
      <c r="I104" s="393" t="n">
        <v>43385.59930555556</v>
      </c>
      <c r="J104" s="3" t="s">
        <v>40</v>
      </c>
      <c r="K104" s="171">
        <f>VLOOKUP(D104,Base!D:E,2,0)</f>
        <v/>
      </c>
    </row>
    <row customHeight="1" ht="15" r="105" s="183" spans="1:15">
      <c r="A105" s="37">
        <f>E105</f>
        <v/>
      </c>
      <c r="B105" s="117" t="s">
        <v>148</v>
      </c>
      <c r="C105" s="117" t="s">
        <v>51</v>
      </c>
      <c r="D105" s="117" t="s">
        <v>57</v>
      </c>
      <c r="E105" s="117" t="n">
        <v>4342137</v>
      </c>
      <c r="F105" s="117" t="s">
        <v>149</v>
      </c>
      <c r="G105" s="118" t="n">
        <v>9490</v>
      </c>
      <c r="H105" s="118" t="n">
        <v>6</v>
      </c>
      <c r="I105" s="393" t="n">
        <v>43385.59930555556</v>
      </c>
      <c r="J105" s="3" t="s">
        <v>40</v>
      </c>
      <c r="K105" s="171">
        <f>VLOOKUP(D105,Base!D:E,2,0)</f>
        <v/>
      </c>
    </row>
    <row customHeight="1" ht="15" r="106" s="183" spans="1:15">
      <c r="A106" s="37">
        <f>E106</f>
        <v/>
      </c>
      <c r="B106" s="117" t="s">
        <v>148</v>
      </c>
      <c r="C106" s="117" t="s">
        <v>58</v>
      </c>
      <c r="D106" s="117" t="s">
        <v>59</v>
      </c>
      <c r="E106" s="117" t="n">
        <v>4342137</v>
      </c>
      <c r="F106" s="117" t="s">
        <v>149</v>
      </c>
      <c r="G106" s="118" t="n">
        <v>9490</v>
      </c>
      <c r="H106" s="118" t="n">
        <v>6</v>
      </c>
      <c r="I106" s="393" t="n">
        <v>43385.59930555556</v>
      </c>
      <c r="J106" s="3" t="s">
        <v>40</v>
      </c>
      <c r="K106" s="171">
        <f>VLOOKUP(D106,Base!D:E,2,0)</f>
        <v/>
      </c>
    </row>
    <row customHeight="1" ht="15" r="107" s="183" spans="1:15">
      <c r="A107" s="37">
        <f>E107</f>
        <v/>
      </c>
      <c r="B107" s="117" t="s">
        <v>148</v>
      </c>
      <c r="C107" s="117" t="s">
        <v>58</v>
      </c>
      <c r="D107" s="117" t="s">
        <v>60</v>
      </c>
      <c r="E107" s="117" t="n">
        <v>4342137</v>
      </c>
      <c r="F107" s="117" t="s">
        <v>149</v>
      </c>
      <c r="G107" s="118" t="n">
        <v>9990</v>
      </c>
      <c r="H107" s="118" t="n">
        <v>6</v>
      </c>
      <c r="I107" s="393" t="n">
        <v>43385.59930555556</v>
      </c>
      <c r="J107" s="3" t="s">
        <v>40</v>
      </c>
      <c r="K107" s="171">
        <f>VLOOKUP(D107,Base!D:E,2,0)</f>
        <v/>
      </c>
    </row>
    <row customHeight="1" ht="15" r="108" s="183" spans="1:15">
      <c r="A108" s="37">
        <f>E108</f>
        <v/>
      </c>
      <c r="B108" s="117" t="s">
        <v>148</v>
      </c>
      <c r="C108" s="117" t="s">
        <v>58</v>
      </c>
      <c r="D108" s="117" t="s">
        <v>61</v>
      </c>
      <c r="E108" s="117" t="n">
        <v>4342137</v>
      </c>
      <c r="F108" s="117" t="s">
        <v>149</v>
      </c>
      <c r="G108" s="118" t="n">
        <v>7990</v>
      </c>
      <c r="H108" s="118" t="n">
        <v>5</v>
      </c>
      <c r="I108" s="393" t="n">
        <v>43385.59930555556</v>
      </c>
      <c r="J108" s="3" t="s">
        <v>40</v>
      </c>
      <c r="K108" s="171">
        <f>VLOOKUP(D108,Base!D:E,2,0)</f>
        <v/>
      </c>
    </row>
    <row customHeight="1" ht="15" r="109" s="183" spans="1:15">
      <c r="A109" s="37">
        <f>E109</f>
        <v/>
      </c>
      <c r="B109" s="117" t="s">
        <v>148</v>
      </c>
      <c r="C109" s="117" t="s">
        <v>58</v>
      </c>
      <c r="D109" s="117" t="s">
        <v>62</v>
      </c>
      <c r="E109" s="117" t="n">
        <v>4342137</v>
      </c>
      <c r="F109" s="117" t="s">
        <v>149</v>
      </c>
      <c r="G109" s="118" t="n">
        <v>9990</v>
      </c>
      <c r="H109" s="118" t="n">
        <v>6</v>
      </c>
      <c r="I109" s="393" t="n">
        <v>43385.59930555556</v>
      </c>
      <c r="J109" s="3" t="s">
        <v>40</v>
      </c>
      <c r="K109" s="171">
        <f>VLOOKUP(D109,Base!D:E,2,0)</f>
        <v/>
      </c>
    </row>
    <row customHeight="1" ht="15" r="110" s="183" spans="1:15">
      <c r="A110" s="37">
        <f>E110</f>
        <v/>
      </c>
      <c r="B110" s="117" t="s">
        <v>148</v>
      </c>
      <c r="C110" s="117" t="s">
        <v>63</v>
      </c>
      <c r="D110" s="117" t="s">
        <v>64</v>
      </c>
      <c r="E110" s="117" t="n">
        <v>4342137</v>
      </c>
      <c r="F110" s="117" t="s">
        <v>149</v>
      </c>
      <c r="G110" s="118" t="n">
        <v>10490</v>
      </c>
      <c r="H110" s="118" t="n">
        <v>6</v>
      </c>
      <c r="I110" s="393" t="n">
        <v>43385.59930555556</v>
      </c>
      <c r="J110" s="3" t="s">
        <v>40</v>
      </c>
      <c r="K110" s="171">
        <f>VLOOKUP(D110,Base!D:E,2,0)</f>
        <v/>
      </c>
    </row>
    <row customHeight="1" ht="15" r="111" s="183" spans="1:15">
      <c r="A111" s="37">
        <f>E111</f>
        <v/>
      </c>
      <c r="B111" s="117" t="s">
        <v>148</v>
      </c>
      <c r="C111" s="117" t="s">
        <v>63</v>
      </c>
      <c r="D111" s="117" t="s">
        <v>65</v>
      </c>
      <c r="E111" s="117" t="n">
        <v>4342137</v>
      </c>
      <c r="F111" s="117" t="s">
        <v>149</v>
      </c>
      <c r="G111" s="118" t="n">
        <v>10990</v>
      </c>
      <c r="H111" s="118" t="n">
        <v>5</v>
      </c>
      <c r="I111" s="393" t="n">
        <v>43385.59930555556</v>
      </c>
      <c r="J111" s="3" t="s">
        <v>40</v>
      </c>
      <c r="K111" s="171">
        <f>VLOOKUP(D111,Base!D:E,2,0)</f>
        <v/>
      </c>
    </row>
    <row customHeight="1" ht="15" r="112" s="183" spans="1:15">
      <c r="A112" s="37">
        <f>E112</f>
        <v/>
      </c>
      <c r="B112" s="117" t="s">
        <v>148</v>
      </c>
      <c r="C112" s="117" t="s">
        <v>63</v>
      </c>
      <c r="D112" s="117" t="s">
        <v>66</v>
      </c>
      <c r="E112" s="117" t="n">
        <v>4342137</v>
      </c>
      <c r="F112" s="117" t="s">
        <v>149</v>
      </c>
      <c r="G112" s="118" t="n">
        <v>9490</v>
      </c>
      <c r="H112" s="118" t="n">
        <v>5</v>
      </c>
      <c r="I112" s="393" t="n">
        <v>43385.59930555556</v>
      </c>
      <c r="J112" s="3" t="s">
        <v>40</v>
      </c>
      <c r="K112" s="171">
        <f>VLOOKUP(D112,Base!D:E,2,0)</f>
        <v/>
      </c>
    </row>
    <row customHeight="1" ht="15" r="113" s="183" spans="1:15">
      <c r="A113" s="37">
        <f>E113</f>
        <v/>
      </c>
      <c r="B113" s="117" t="s">
        <v>148</v>
      </c>
      <c r="C113" s="117" t="s">
        <v>63</v>
      </c>
      <c r="D113" s="117" t="s">
        <v>67</v>
      </c>
      <c r="E113" s="117" t="n">
        <v>4342137</v>
      </c>
      <c r="F113" s="117" t="s">
        <v>149</v>
      </c>
      <c r="G113" s="118" t="n">
        <v>7990</v>
      </c>
      <c r="H113" s="118" t="n">
        <v>5</v>
      </c>
      <c r="I113" s="393" t="n">
        <v>43385.59930555556</v>
      </c>
      <c r="J113" s="3" t="s">
        <v>40</v>
      </c>
      <c r="K113" s="171">
        <f>VLOOKUP(D113,Base!D:E,2,0)</f>
        <v/>
      </c>
    </row>
    <row customHeight="1" ht="15" r="114" s="183" spans="1:15">
      <c r="A114" s="37">
        <f>E114</f>
        <v/>
      </c>
      <c r="B114" s="117" t="s">
        <v>148</v>
      </c>
      <c r="C114" s="117" t="s">
        <v>68</v>
      </c>
      <c r="D114" s="117" t="s">
        <v>69</v>
      </c>
      <c r="E114" s="117" t="n">
        <v>4342137</v>
      </c>
      <c r="F114" s="117" t="s">
        <v>149</v>
      </c>
      <c r="G114" s="118" t="n">
        <v>8990</v>
      </c>
      <c r="H114" s="118" t="n">
        <v>5</v>
      </c>
      <c r="I114" s="393" t="n">
        <v>43385.59930555556</v>
      </c>
      <c r="J114" s="3" t="s">
        <v>40</v>
      </c>
      <c r="K114" s="171">
        <f>VLOOKUP(D114,Base!D:E,2,0)</f>
        <v/>
      </c>
    </row>
    <row customHeight="1" ht="15" r="115" s="183" spans="1:15">
      <c r="A115" s="37">
        <f>E115</f>
        <v/>
      </c>
      <c r="B115" s="117" t="s">
        <v>148</v>
      </c>
      <c r="C115" s="117" t="s">
        <v>68</v>
      </c>
      <c r="D115" s="117" t="s">
        <v>70</v>
      </c>
      <c r="E115" s="117" t="n">
        <v>4342137</v>
      </c>
      <c r="F115" s="117" t="s">
        <v>149</v>
      </c>
      <c r="G115" s="118" t="n">
        <v>8990</v>
      </c>
      <c r="H115" s="118" t="n">
        <v>5</v>
      </c>
      <c r="I115" s="393" t="n">
        <v>43385.59861111111</v>
      </c>
      <c r="J115" s="3" t="s">
        <v>40</v>
      </c>
      <c r="K115" s="171">
        <f>VLOOKUP(D115,Base!D:E,2,0)</f>
        <v/>
      </c>
    </row>
    <row customHeight="1" ht="15" r="116" s="183" spans="1:15">
      <c r="A116" s="37">
        <f>E116</f>
        <v/>
      </c>
      <c r="B116" s="117" t="s">
        <v>148</v>
      </c>
      <c r="C116" s="117" t="s">
        <v>71</v>
      </c>
      <c r="D116" s="117" t="s">
        <v>72</v>
      </c>
      <c r="E116" s="117" t="n">
        <v>4342137</v>
      </c>
      <c r="F116" s="117" t="s">
        <v>149</v>
      </c>
      <c r="G116" s="118" t="n">
        <v>10490</v>
      </c>
      <c r="H116" s="118" t="n">
        <v>17</v>
      </c>
      <c r="I116" s="393" t="n">
        <v>43385.59930555556</v>
      </c>
      <c r="J116" s="3" t="s">
        <v>40</v>
      </c>
      <c r="K116" s="171">
        <f>VLOOKUP(D116,Base!D:E,2,0)</f>
        <v/>
      </c>
    </row>
    <row customHeight="1" ht="15" r="117" s="183" spans="1:15">
      <c r="A117" s="37">
        <f>E117</f>
        <v/>
      </c>
      <c r="B117" s="117" t="s">
        <v>148</v>
      </c>
      <c r="C117" s="117" t="s">
        <v>73</v>
      </c>
      <c r="D117" s="117" t="s">
        <v>74</v>
      </c>
      <c r="E117" s="117" t="n">
        <v>4342137</v>
      </c>
      <c r="F117" s="117" t="s">
        <v>149</v>
      </c>
      <c r="G117" s="118" t="n">
        <v>12490</v>
      </c>
      <c r="H117" s="118" t="n">
        <v>7</v>
      </c>
      <c r="I117" s="393" t="n">
        <v>43385.59861111111</v>
      </c>
      <c r="J117" s="3" t="s">
        <v>40</v>
      </c>
      <c r="K117" s="171">
        <f>VLOOKUP(D117,Base!D:E,2,0)</f>
        <v/>
      </c>
    </row>
    <row customHeight="1" ht="15" r="118" s="183" spans="1:15">
      <c r="A118" s="37">
        <f>E118</f>
        <v/>
      </c>
      <c r="B118" s="117" t="s">
        <v>148</v>
      </c>
      <c r="C118" s="117" t="s">
        <v>75</v>
      </c>
      <c r="D118" s="117" t="s">
        <v>76</v>
      </c>
      <c r="E118" s="117" t="n">
        <v>4342137</v>
      </c>
      <c r="F118" s="117" t="s">
        <v>149</v>
      </c>
      <c r="G118" s="118" t="n">
        <v>4990</v>
      </c>
      <c r="H118" s="118" t="n">
        <v>4</v>
      </c>
      <c r="I118" s="393" t="n">
        <v>43385.59930555556</v>
      </c>
      <c r="J118" s="3" t="s">
        <v>40</v>
      </c>
      <c r="K118" s="171">
        <f>VLOOKUP(D118,Base!D:E,2,0)</f>
        <v/>
      </c>
    </row>
    <row customHeight="1" ht="15" r="119" s="183" spans="1:15">
      <c r="A119" s="37">
        <f>E119</f>
        <v/>
      </c>
      <c r="B119" s="117" t="s">
        <v>148</v>
      </c>
      <c r="C119" s="117" t="s">
        <v>75</v>
      </c>
      <c r="D119" s="117" t="s">
        <v>77</v>
      </c>
      <c r="E119" s="117" t="n">
        <v>4342137</v>
      </c>
      <c r="F119" s="117" t="s">
        <v>149</v>
      </c>
      <c r="G119" s="118" t="n">
        <v>6490</v>
      </c>
      <c r="H119" s="118" t="n">
        <v>4</v>
      </c>
      <c r="I119" s="393" t="n">
        <v>43385.59930555556</v>
      </c>
      <c r="J119" s="3" t="s">
        <v>40</v>
      </c>
      <c r="K119" s="171">
        <f>VLOOKUP(D119,Base!D:E,2,0)</f>
        <v/>
      </c>
    </row>
    <row customHeight="1" ht="15" r="120" s="183" spans="1:15">
      <c r="A120" s="37">
        <f>E120</f>
        <v/>
      </c>
      <c r="B120" s="117" t="s">
        <v>148</v>
      </c>
      <c r="C120" s="117" t="s">
        <v>75</v>
      </c>
      <c r="D120" s="117" t="s">
        <v>78</v>
      </c>
      <c r="E120" s="117" t="n">
        <v>4342137</v>
      </c>
      <c r="F120" s="117" t="s">
        <v>149</v>
      </c>
      <c r="G120" s="118" t="n">
        <v>7490</v>
      </c>
      <c r="H120" s="118" t="n">
        <v>4</v>
      </c>
      <c r="I120" s="393" t="n">
        <v>43385.59930555556</v>
      </c>
      <c r="J120" s="3" t="s">
        <v>40</v>
      </c>
      <c r="K120" s="171">
        <f>VLOOKUP(D120,Base!D:E,2,0)</f>
        <v/>
      </c>
    </row>
    <row customHeight="1" ht="15" r="121" s="183" spans="1:15">
      <c r="A121" s="37">
        <f>E121</f>
        <v/>
      </c>
      <c r="B121" s="117" t="s">
        <v>148</v>
      </c>
      <c r="C121" s="117" t="s">
        <v>75</v>
      </c>
      <c r="D121" s="117" t="s">
        <v>79</v>
      </c>
      <c r="E121" s="117" t="n">
        <v>4342137</v>
      </c>
      <c r="F121" s="117" t="s">
        <v>149</v>
      </c>
      <c r="G121" s="118" t="n">
        <v>4990</v>
      </c>
      <c r="H121" s="118" t="n">
        <v>4</v>
      </c>
      <c r="I121" s="393" t="n">
        <v>43385.59930555556</v>
      </c>
      <c r="J121" s="3" t="s">
        <v>40</v>
      </c>
      <c r="K121" s="171">
        <f>VLOOKUP(D121,Base!D:E,2,0)</f>
        <v/>
      </c>
    </row>
    <row customHeight="1" ht="15" r="122" s="183" spans="1:15">
      <c r="A122" s="37">
        <f>E122</f>
        <v/>
      </c>
      <c r="B122" s="117" t="s">
        <v>148</v>
      </c>
      <c r="C122" s="117" t="s">
        <v>75</v>
      </c>
      <c r="D122" s="117" t="s">
        <v>80</v>
      </c>
      <c r="E122" s="117" t="n">
        <v>4342137</v>
      </c>
      <c r="F122" s="117" t="s">
        <v>149</v>
      </c>
      <c r="G122" s="118" t="n">
        <v>4990</v>
      </c>
      <c r="H122" s="118" t="n">
        <v>4</v>
      </c>
      <c r="I122" s="393" t="n">
        <v>43385.59930555556</v>
      </c>
      <c r="J122" s="3" t="s">
        <v>40</v>
      </c>
      <c r="K122" s="171">
        <f>VLOOKUP(D122,Base!D:E,2,0)</f>
        <v/>
      </c>
    </row>
    <row customHeight="1" ht="15" r="123" s="183" spans="1:15">
      <c r="A123" s="37">
        <f>E123</f>
        <v/>
      </c>
      <c r="B123" s="117" t="s">
        <v>148</v>
      </c>
      <c r="C123" s="117" t="s">
        <v>75</v>
      </c>
      <c r="D123" s="117" t="s">
        <v>81</v>
      </c>
      <c r="E123" s="117" t="n">
        <v>4342137</v>
      </c>
      <c r="F123" s="117" t="s">
        <v>149</v>
      </c>
      <c r="G123" s="118" t="n">
        <v>6990</v>
      </c>
      <c r="H123" s="118" t="n">
        <v>4</v>
      </c>
      <c r="I123" s="393" t="n">
        <v>43385.59930555556</v>
      </c>
      <c r="J123" s="3" t="s">
        <v>40</v>
      </c>
      <c r="K123" s="171">
        <f>VLOOKUP(D123,Base!D:E,2,0)</f>
        <v/>
      </c>
    </row>
    <row customHeight="1" ht="15" r="124" s="183" spans="1:15">
      <c r="A124" s="37">
        <f>E124</f>
        <v/>
      </c>
      <c r="B124" s="117" t="s">
        <v>148</v>
      </c>
      <c r="C124" s="117" t="s">
        <v>75</v>
      </c>
      <c r="D124" s="117" t="s">
        <v>82</v>
      </c>
      <c r="E124" s="117" t="n">
        <v>4342137</v>
      </c>
      <c r="F124" s="117" t="s">
        <v>149</v>
      </c>
      <c r="G124" s="118" t="n">
        <v>7990</v>
      </c>
      <c r="H124" s="118" t="n">
        <v>4</v>
      </c>
      <c r="I124" s="393" t="n">
        <v>43385.59861111111</v>
      </c>
      <c r="J124" s="3" t="s">
        <v>40</v>
      </c>
      <c r="K124" s="171">
        <f>VLOOKUP(D124,Base!D:E,2,0)</f>
        <v/>
      </c>
    </row>
    <row customHeight="1" ht="15" r="125" s="183" spans="1:15">
      <c r="A125" s="37">
        <f>E125</f>
        <v/>
      </c>
      <c r="B125" s="117" t="s">
        <v>148</v>
      </c>
      <c r="C125" s="117" t="s">
        <v>75</v>
      </c>
      <c r="D125" s="117" t="s">
        <v>83</v>
      </c>
      <c r="E125" s="117" t="n">
        <v>4342137</v>
      </c>
      <c r="F125" s="117" t="s">
        <v>149</v>
      </c>
      <c r="G125" s="118" t="n">
        <v>3990</v>
      </c>
      <c r="H125" s="118" t="n">
        <v>4</v>
      </c>
      <c r="I125" s="393" t="n">
        <v>43385.59930555556</v>
      </c>
      <c r="J125" s="3" t="s">
        <v>40</v>
      </c>
      <c r="K125" s="171">
        <f>VLOOKUP(D125,Base!D:E,2,0)</f>
        <v/>
      </c>
    </row>
    <row customHeight="1" ht="15" r="126" s="183" spans="1:15">
      <c r="A126" s="37">
        <f>E126</f>
        <v/>
      </c>
      <c r="B126" s="117" t="s">
        <v>148</v>
      </c>
      <c r="C126" s="117" t="s">
        <v>75</v>
      </c>
      <c r="D126" s="117" t="s">
        <v>84</v>
      </c>
      <c r="E126" s="117" t="n">
        <v>4342137</v>
      </c>
      <c r="F126" s="117" t="s">
        <v>149</v>
      </c>
      <c r="G126" s="118" t="n">
        <v>5990</v>
      </c>
      <c r="H126" s="118" t="n">
        <v>4</v>
      </c>
      <c r="I126" s="393" t="n">
        <v>43385.59930555556</v>
      </c>
      <c r="J126" s="3" t="s">
        <v>40</v>
      </c>
      <c r="K126" s="171">
        <f>VLOOKUP(D126,Base!D:E,2,0)</f>
        <v/>
      </c>
    </row>
    <row customHeight="1" ht="15" r="127" s="183" spans="1:15">
      <c r="A127" s="37">
        <f>E127</f>
        <v/>
      </c>
      <c r="B127" s="117" t="s">
        <v>148</v>
      </c>
      <c r="C127" s="117" t="s">
        <v>75</v>
      </c>
      <c r="D127" s="117" t="s">
        <v>85</v>
      </c>
      <c r="E127" s="117" t="n">
        <v>4342137</v>
      </c>
      <c r="F127" s="117" t="s">
        <v>149</v>
      </c>
      <c r="G127" s="118" t="n">
        <v>3990</v>
      </c>
      <c r="H127" s="118" t="n">
        <v>4</v>
      </c>
      <c r="I127" s="393" t="n">
        <v>43385.59861111111</v>
      </c>
      <c r="J127" s="3" t="s">
        <v>40</v>
      </c>
      <c r="K127" s="171">
        <f>VLOOKUP(D127,Base!D:E,2,0)</f>
        <v/>
      </c>
    </row>
    <row customHeight="1" ht="15" r="128" s="183" spans="1:15">
      <c r="A128" s="37">
        <f>E128</f>
        <v/>
      </c>
      <c r="B128" s="117" t="s">
        <v>148</v>
      </c>
      <c r="C128" s="117" t="s">
        <v>86</v>
      </c>
      <c r="D128" s="117" t="s">
        <v>87</v>
      </c>
      <c r="E128" s="117" t="n">
        <v>4342137</v>
      </c>
      <c r="F128" s="117" t="s">
        <v>149</v>
      </c>
      <c r="G128" s="118" t="n">
        <v>6990</v>
      </c>
      <c r="H128" s="118" t="n">
        <v>6</v>
      </c>
      <c r="I128" s="393" t="n">
        <v>43385.59930555556</v>
      </c>
      <c r="J128" s="3" t="s">
        <v>40</v>
      </c>
      <c r="K128" s="171">
        <f>VLOOKUP(D128,Base!D:E,2,0)</f>
        <v/>
      </c>
    </row>
    <row customHeight="1" ht="15" r="129" s="183" spans="1:15">
      <c r="A129" s="37">
        <f>E129</f>
        <v/>
      </c>
      <c r="B129" s="117" t="s">
        <v>148</v>
      </c>
      <c r="C129" s="117" t="s">
        <v>86</v>
      </c>
      <c r="D129" s="117" t="s">
        <v>88</v>
      </c>
      <c r="E129" s="117" t="n">
        <v>4342137</v>
      </c>
      <c r="F129" s="117" t="s">
        <v>149</v>
      </c>
      <c r="G129" s="118" t="n">
        <v>6490</v>
      </c>
      <c r="H129" s="118" t="n">
        <v>5</v>
      </c>
      <c r="I129" s="393" t="n">
        <v>43385.59930555556</v>
      </c>
      <c r="J129" s="3" t="s">
        <v>40</v>
      </c>
      <c r="K129" s="171">
        <f>VLOOKUP(D129,Base!D:E,2,0)</f>
        <v/>
      </c>
    </row>
    <row customHeight="1" ht="15" r="130" s="183" spans="1:15">
      <c r="A130" s="37">
        <f>E130</f>
        <v/>
      </c>
      <c r="B130" s="117" t="s">
        <v>148</v>
      </c>
      <c r="C130" s="117" t="s">
        <v>86</v>
      </c>
      <c r="D130" s="117" t="s">
        <v>89</v>
      </c>
      <c r="E130" s="117" t="n">
        <v>4342137</v>
      </c>
      <c r="F130" s="117" t="s">
        <v>149</v>
      </c>
      <c r="G130" s="118" t="n">
        <v>5490</v>
      </c>
      <c r="H130" s="118" t="n">
        <v>5</v>
      </c>
      <c r="I130" s="393" t="n">
        <v>43385.59930555556</v>
      </c>
      <c r="J130" s="3" t="s">
        <v>40</v>
      </c>
      <c r="K130" s="171">
        <f>VLOOKUP(D130,Base!D:E,2,0)</f>
        <v/>
      </c>
    </row>
    <row customHeight="1" ht="15" r="131" s="183" spans="1:15">
      <c r="A131" s="37">
        <f>E131</f>
        <v/>
      </c>
      <c r="B131" s="117" t="s">
        <v>148</v>
      </c>
      <c r="C131" s="117" t="s">
        <v>86</v>
      </c>
      <c r="D131" s="117" t="s">
        <v>90</v>
      </c>
      <c r="E131" s="117" t="n">
        <v>4342137</v>
      </c>
      <c r="F131" s="117" t="s">
        <v>149</v>
      </c>
      <c r="G131" s="118" t="n">
        <v>4990</v>
      </c>
      <c r="H131" s="118" t="n">
        <v>5</v>
      </c>
      <c r="I131" s="393" t="n">
        <v>43385.59861111111</v>
      </c>
      <c r="J131" s="3" t="s">
        <v>40</v>
      </c>
      <c r="K131" s="171">
        <f>VLOOKUP(D131,Base!D:E,2,0)</f>
        <v/>
      </c>
    </row>
    <row customHeight="1" ht="15" r="132" s="183" spans="1:15">
      <c r="A132" s="37">
        <f>E132</f>
        <v/>
      </c>
      <c r="B132" s="117" t="s">
        <v>148</v>
      </c>
      <c r="C132" s="117" t="s">
        <v>86</v>
      </c>
      <c r="D132" s="117" t="s">
        <v>91</v>
      </c>
      <c r="E132" s="117" t="n">
        <v>4342137</v>
      </c>
      <c r="F132" s="117" t="s">
        <v>149</v>
      </c>
      <c r="G132" s="118" t="n">
        <v>6490</v>
      </c>
      <c r="H132" s="118" t="n">
        <v>5</v>
      </c>
      <c r="I132" s="393" t="n">
        <v>43385.59930555556</v>
      </c>
      <c r="J132" s="3" t="s">
        <v>40</v>
      </c>
      <c r="K132" s="171">
        <f>VLOOKUP(D132,Base!D:E,2,0)</f>
        <v/>
      </c>
    </row>
    <row customHeight="1" ht="15" r="133" s="183" spans="1:15">
      <c r="A133" s="37">
        <f>E133</f>
        <v/>
      </c>
      <c r="B133" s="117" t="s">
        <v>148</v>
      </c>
      <c r="C133" s="117" t="s">
        <v>86</v>
      </c>
      <c r="D133" s="117" t="s">
        <v>92</v>
      </c>
      <c r="E133" s="117" t="n">
        <v>4342137</v>
      </c>
      <c r="F133" s="117" t="s">
        <v>149</v>
      </c>
      <c r="G133" s="118" t="n">
        <v>6490</v>
      </c>
      <c r="H133" s="118" t="n">
        <v>6</v>
      </c>
      <c r="I133" s="393" t="n">
        <v>43385.59930555556</v>
      </c>
      <c r="J133" s="3" t="s">
        <v>40</v>
      </c>
      <c r="K133" s="171">
        <f>VLOOKUP(D133,Base!D:E,2,0)</f>
        <v/>
      </c>
    </row>
    <row customHeight="1" ht="15" r="134" s="183" spans="1:15">
      <c r="A134" s="37">
        <f>E134</f>
        <v/>
      </c>
      <c r="B134" s="117" t="s">
        <v>148</v>
      </c>
      <c r="C134" s="117" t="s">
        <v>86</v>
      </c>
      <c r="D134" s="117" t="s">
        <v>93</v>
      </c>
      <c r="E134" s="117" t="n">
        <v>4342137</v>
      </c>
      <c r="F134" s="117" t="s">
        <v>149</v>
      </c>
      <c r="G134" s="118" t="n">
        <v>5490</v>
      </c>
      <c r="H134" s="118" t="n">
        <v>5</v>
      </c>
      <c r="I134" s="393" t="n">
        <v>43385.59930555556</v>
      </c>
      <c r="J134" s="3" t="s">
        <v>40</v>
      </c>
      <c r="K134" s="171">
        <f>VLOOKUP(D134,Base!D:E,2,0)</f>
        <v/>
      </c>
    </row>
    <row customHeight="1" ht="15" r="135" s="183" spans="1:15">
      <c r="A135" s="37">
        <f>E135</f>
        <v/>
      </c>
      <c r="B135" s="117" t="s">
        <v>148</v>
      </c>
      <c r="C135" s="117" t="s">
        <v>86</v>
      </c>
      <c r="D135" s="117" t="s">
        <v>94</v>
      </c>
      <c r="E135" s="117" t="n">
        <v>4342137</v>
      </c>
      <c r="F135" s="117" t="s">
        <v>149</v>
      </c>
      <c r="G135" s="118" t="n">
        <v>5990</v>
      </c>
      <c r="H135" s="118" t="n">
        <v>5</v>
      </c>
      <c r="I135" s="393" t="n">
        <v>43385.59861111111</v>
      </c>
      <c r="J135" s="3" t="s">
        <v>40</v>
      </c>
      <c r="K135" s="171">
        <f>VLOOKUP(D135,Base!D:E,2,0)</f>
        <v/>
      </c>
    </row>
    <row customHeight="1" ht="15" r="136" s="183" spans="1:15">
      <c r="A136" s="37">
        <f>E136</f>
        <v/>
      </c>
      <c r="B136" s="117" t="s">
        <v>148</v>
      </c>
      <c r="C136" s="117" t="s">
        <v>86</v>
      </c>
      <c r="D136" s="117" t="s">
        <v>95</v>
      </c>
      <c r="E136" s="117" t="n">
        <v>4342137</v>
      </c>
      <c r="F136" s="117" t="s">
        <v>149</v>
      </c>
      <c r="G136" s="118" t="n">
        <v>5990</v>
      </c>
      <c r="H136" s="118" t="n">
        <v>5</v>
      </c>
      <c r="I136" s="393" t="n">
        <v>43385.59930555556</v>
      </c>
      <c r="J136" s="3" t="s">
        <v>40</v>
      </c>
      <c r="K136" s="171">
        <f>VLOOKUP(D136,Base!D:E,2,0)</f>
        <v/>
      </c>
    </row>
    <row customHeight="1" ht="15" r="137" s="183" spans="1:15">
      <c r="A137" s="37">
        <f>E137</f>
        <v/>
      </c>
      <c r="B137" s="117" t="s">
        <v>148</v>
      </c>
      <c r="C137" s="117" t="s">
        <v>96</v>
      </c>
      <c r="D137" s="117" t="s">
        <v>97</v>
      </c>
      <c r="E137" s="117" t="n">
        <v>4342137</v>
      </c>
      <c r="F137" s="117" t="s">
        <v>149</v>
      </c>
      <c r="G137" s="118" t="n">
        <v>5990</v>
      </c>
      <c r="H137" s="118" t="n">
        <v>6</v>
      </c>
      <c r="I137" s="393" t="n">
        <v>43385.59930555556</v>
      </c>
      <c r="J137" s="3" t="s">
        <v>40</v>
      </c>
      <c r="K137" s="171">
        <f>VLOOKUP(D137,Base!D:E,2,0)</f>
        <v/>
      </c>
    </row>
    <row customHeight="1" ht="15" r="138" s="183" spans="1:15">
      <c r="A138" s="37">
        <f>E138</f>
        <v/>
      </c>
      <c r="B138" s="117" t="s">
        <v>148</v>
      </c>
      <c r="C138" s="117" t="s">
        <v>96</v>
      </c>
      <c r="D138" s="117" t="s">
        <v>98</v>
      </c>
      <c r="E138" s="117" t="n">
        <v>4342137</v>
      </c>
      <c r="F138" s="117" t="s">
        <v>149</v>
      </c>
      <c r="G138" s="118" t="n">
        <v>4990</v>
      </c>
      <c r="H138" s="118" t="n">
        <v>4</v>
      </c>
      <c r="I138" s="393" t="n">
        <v>43385.59930555556</v>
      </c>
      <c r="J138" s="3" t="s">
        <v>40</v>
      </c>
      <c r="K138" s="171">
        <f>VLOOKUP(D138,Base!D:E,2,0)</f>
        <v/>
      </c>
    </row>
    <row customHeight="1" ht="15" r="139" s="183" spans="1:15">
      <c r="A139" s="37">
        <f>E139</f>
        <v/>
      </c>
      <c r="B139" s="117" t="s">
        <v>148</v>
      </c>
      <c r="C139" s="117" t="s">
        <v>96</v>
      </c>
      <c r="D139" s="117" t="s">
        <v>99</v>
      </c>
      <c r="E139" s="117" t="n">
        <v>4342137</v>
      </c>
      <c r="F139" s="117" t="s">
        <v>149</v>
      </c>
      <c r="G139" s="118" t="n">
        <v>5990</v>
      </c>
      <c r="H139" s="118" t="n">
        <v>4</v>
      </c>
      <c r="I139" s="393" t="n">
        <v>43385.59930555556</v>
      </c>
      <c r="J139" s="3" t="s">
        <v>40</v>
      </c>
      <c r="K139" s="171">
        <f>VLOOKUP(D139,Base!D:E,2,0)</f>
        <v/>
      </c>
    </row>
    <row customHeight="1" ht="15" r="140" s="183" spans="1:15">
      <c r="A140" s="37">
        <f>E140</f>
        <v/>
      </c>
      <c r="B140" s="117" t="s">
        <v>148</v>
      </c>
      <c r="C140" s="117" t="s">
        <v>96</v>
      </c>
      <c r="D140" s="117" t="s">
        <v>100</v>
      </c>
      <c r="E140" s="117" t="n">
        <v>4342137</v>
      </c>
      <c r="F140" s="117" t="s">
        <v>149</v>
      </c>
      <c r="G140" s="118" t="n">
        <v>6990</v>
      </c>
      <c r="H140" s="118" t="n">
        <v>4</v>
      </c>
      <c r="I140" s="393" t="n">
        <v>43385.59861111111</v>
      </c>
      <c r="J140" s="3" t="s">
        <v>40</v>
      </c>
      <c r="K140" s="171">
        <f>VLOOKUP(D140,Base!D:E,2,0)</f>
        <v/>
      </c>
    </row>
    <row customHeight="1" ht="15" r="141" s="183" spans="1:15">
      <c r="A141" s="37">
        <f>E141</f>
        <v/>
      </c>
      <c r="B141" s="117" t="s">
        <v>148</v>
      </c>
      <c r="C141" s="117" t="s">
        <v>101</v>
      </c>
      <c r="D141" s="117" t="s">
        <v>102</v>
      </c>
      <c r="E141" s="117" t="n">
        <v>4342137</v>
      </c>
      <c r="F141" s="117" t="s">
        <v>149</v>
      </c>
      <c r="G141" s="118" t="n">
        <v>5490</v>
      </c>
      <c r="H141" s="118" t="n">
        <v>4</v>
      </c>
      <c r="I141" s="393" t="n">
        <v>43385.59930555556</v>
      </c>
      <c r="J141" s="3" t="s">
        <v>40</v>
      </c>
      <c r="K141" s="171">
        <f>VLOOKUP(D141,Base!D:E,2,0)</f>
        <v/>
      </c>
    </row>
    <row customHeight="1" ht="15" r="142" s="183" spans="1:15">
      <c r="A142" s="37">
        <f>E142</f>
        <v/>
      </c>
      <c r="B142" s="117" t="s">
        <v>148</v>
      </c>
      <c r="C142" s="117" t="s">
        <v>101</v>
      </c>
      <c r="D142" s="117" t="s">
        <v>103</v>
      </c>
      <c r="E142" s="117" t="n">
        <v>4342137</v>
      </c>
      <c r="F142" s="117" t="s">
        <v>149</v>
      </c>
      <c r="G142" s="118" t="n">
        <v>8490</v>
      </c>
      <c r="H142" s="118" t="n">
        <v>4</v>
      </c>
      <c r="I142" s="393" t="n">
        <v>43385.59930555556</v>
      </c>
      <c r="J142" s="3" t="s">
        <v>40</v>
      </c>
      <c r="K142" s="171">
        <f>VLOOKUP(D142,Base!D:E,2,0)</f>
        <v/>
      </c>
    </row>
    <row customHeight="1" ht="15" r="143" s="183" spans="1:15">
      <c r="A143" s="37">
        <f>E143</f>
        <v/>
      </c>
      <c r="B143" s="117" t="s">
        <v>148</v>
      </c>
      <c r="C143" s="117" t="s">
        <v>101</v>
      </c>
      <c r="D143" s="117" t="s">
        <v>104</v>
      </c>
      <c r="E143" s="117" t="n">
        <v>4342137</v>
      </c>
      <c r="F143" s="117" t="s">
        <v>149</v>
      </c>
      <c r="G143" s="118" t="n">
        <v>4990</v>
      </c>
      <c r="H143" s="118" t="n">
        <v>4</v>
      </c>
      <c r="I143" s="393" t="n">
        <v>43385.59861111111</v>
      </c>
      <c r="J143" s="3" t="s">
        <v>40</v>
      </c>
      <c r="K143" s="171">
        <f>VLOOKUP(D143,Base!D:E,2,0)</f>
        <v/>
      </c>
    </row>
    <row customHeight="1" ht="15" r="144" s="183" spans="1:15">
      <c r="A144" s="37">
        <f>E144</f>
        <v/>
      </c>
      <c r="B144" s="117" t="s">
        <v>148</v>
      </c>
      <c r="C144" s="117" t="s">
        <v>105</v>
      </c>
      <c r="D144" s="117" t="s">
        <v>106</v>
      </c>
      <c r="E144" s="117" t="n">
        <v>4342137</v>
      </c>
      <c r="F144" s="117" t="s">
        <v>149</v>
      </c>
      <c r="G144" s="118" t="n">
        <v>4990</v>
      </c>
      <c r="H144" s="118" t="n">
        <v>4</v>
      </c>
      <c r="I144" s="393" t="n">
        <v>43385.59930555556</v>
      </c>
      <c r="J144" s="3" t="s">
        <v>40</v>
      </c>
      <c r="K144" s="171">
        <f>VLOOKUP(D144,Base!D:E,2,0)</f>
        <v/>
      </c>
    </row>
    <row customHeight="1" ht="15" r="145" s="183" spans="1:15">
      <c r="A145" s="37">
        <f>E145</f>
        <v/>
      </c>
      <c r="B145" s="117" t="s">
        <v>148</v>
      </c>
      <c r="C145" s="117" t="s">
        <v>105</v>
      </c>
      <c r="D145" s="117" t="s">
        <v>107</v>
      </c>
      <c r="E145" s="117" t="n">
        <v>4342137</v>
      </c>
      <c r="F145" s="117" t="s">
        <v>149</v>
      </c>
      <c r="G145" s="118" t="n">
        <v>3990</v>
      </c>
      <c r="H145" s="118" t="n">
        <v>4</v>
      </c>
      <c r="I145" s="393" t="n">
        <v>43385.59861111111</v>
      </c>
      <c r="J145" s="3" t="s">
        <v>40</v>
      </c>
      <c r="K145" s="171">
        <f>VLOOKUP(D145,Base!D:E,2,0)</f>
        <v/>
      </c>
    </row>
    <row customHeight="1" ht="15" r="146" s="183" spans="1:15">
      <c r="A146" s="37">
        <f>E146</f>
        <v/>
      </c>
      <c r="B146" s="117" t="s">
        <v>148</v>
      </c>
      <c r="C146" s="117" t="s">
        <v>105</v>
      </c>
      <c r="D146" s="117" t="s">
        <v>108</v>
      </c>
      <c r="E146" s="117" t="n">
        <v>4342137</v>
      </c>
      <c r="F146" s="117" t="s">
        <v>149</v>
      </c>
      <c r="G146" s="118" t="n">
        <v>3990</v>
      </c>
      <c r="H146" s="118" t="n">
        <v>4</v>
      </c>
      <c r="I146" s="393" t="n">
        <v>43385.59861111111</v>
      </c>
      <c r="J146" s="3" t="s">
        <v>40</v>
      </c>
      <c r="K146" s="171">
        <f>VLOOKUP(D146,Base!D:E,2,0)</f>
        <v/>
      </c>
    </row>
    <row customHeight="1" ht="15" r="147" s="183" spans="1:15">
      <c r="A147" s="37">
        <f>E147</f>
        <v/>
      </c>
      <c r="B147" s="117" t="s">
        <v>148</v>
      </c>
      <c r="C147" s="117" t="s">
        <v>105</v>
      </c>
      <c r="D147" s="117" t="s">
        <v>109</v>
      </c>
      <c r="E147" s="117" t="n">
        <v>4342137</v>
      </c>
      <c r="F147" s="117" t="s">
        <v>149</v>
      </c>
      <c r="G147" s="118" t="n">
        <v>4490</v>
      </c>
      <c r="H147" s="118" t="n">
        <v>4</v>
      </c>
      <c r="I147" s="393" t="n">
        <v>43385.59930555556</v>
      </c>
      <c r="J147" s="3" t="s">
        <v>40</v>
      </c>
      <c r="K147" s="171">
        <f>VLOOKUP(D147,Base!D:E,2,0)</f>
        <v/>
      </c>
    </row>
    <row customHeight="1" ht="15" r="148" s="183" spans="1:15">
      <c r="A148" s="37">
        <f>E148</f>
        <v/>
      </c>
      <c r="B148" s="117" t="s">
        <v>148</v>
      </c>
      <c r="C148" s="117" t="s">
        <v>105</v>
      </c>
      <c r="D148" s="117" t="s">
        <v>110</v>
      </c>
      <c r="E148" s="117" t="n">
        <v>4342137</v>
      </c>
      <c r="F148" s="117" t="s">
        <v>149</v>
      </c>
      <c r="G148" s="118" t="n">
        <v>3990</v>
      </c>
      <c r="H148" s="118" t="n">
        <v>4</v>
      </c>
      <c r="I148" s="393" t="n">
        <v>43385.59930555556</v>
      </c>
      <c r="J148" s="3" t="s">
        <v>40</v>
      </c>
      <c r="K148" s="171">
        <f>VLOOKUP(D148,Base!D:E,2,0)</f>
        <v/>
      </c>
    </row>
    <row customHeight="1" ht="15" r="149" s="183" spans="1:15">
      <c r="A149" s="37">
        <f>E149</f>
        <v/>
      </c>
      <c r="B149" s="117" t="s">
        <v>148</v>
      </c>
      <c r="C149" s="117" t="s">
        <v>105</v>
      </c>
      <c r="D149" s="117" t="s">
        <v>111</v>
      </c>
      <c r="E149" s="117" t="n">
        <v>4342137</v>
      </c>
      <c r="F149" s="117" t="s">
        <v>149</v>
      </c>
      <c r="G149" s="118" t="n">
        <v>3990</v>
      </c>
      <c r="H149" s="118" t="n">
        <v>4</v>
      </c>
      <c r="I149" s="393" t="n">
        <v>43385.59930555556</v>
      </c>
      <c r="J149" s="3" t="s">
        <v>40</v>
      </c>
      <c r="K149" s="171">
        <f>VLOOKUP(D149,Base!D:E,2,0)</f>
        <v/>
      </c>
    </row>
    <row customHeight="1" ht="15" r="150" s="183" spans="1:15">
      <c r="A150" s="37">
        <f>E150</f>
        <v/>
      </c>
      <c r="B150" s="117" t="s">
        <v>148</v>
      </c>
      <c r="C150" s="117" t="s">
        <v>105</v>
      </c>
      <c r="D150" s="117" t="s">
        <v>112</v>
      </c>
      <c r="E150" s="117" t="n">
        <v>4342137</v>
      </c>
      <c r="F150" s="117" t="s">
        <v>149</v>
      </c>
      <c r="G150" s="118" t="n">
        <v>3990</v>
      </c>
      <c r="H150" s="118" t="n">
        <v>4</v>
      </c>
      <c r="I150" s="393" t="n">
        <v>43385.59861111111</v>
      </c>
      <c r="J150" s="3" t="s">
        <v>40</v>
      </c>
      <c r="K150" s="171">
        <f>VLOOKUP(D150,Base!D:E,2,0)</f>
        <v/>
      </c>
    </row>
    <row customHeight="1" ht="15" r="151" s="183" spans="1:15">
      <c r="A151" s="37">
        <f>E151</f>
        <v/>
      </c>
      <c r="B151" s="117" t="s">
        <v>148</v>
      </c>
      <c r="C151" s="117" t="s">
        <v>105</v>
      </c>
      <c r="D151" s="117" t="s">
        <v>113</v>
      </c>
      <c r="E151" s="117" t="n">
        <v>4342137</v>
      </c>
      <c r="F151" s="117" t="s">
        <v>149</v>
      </c>
      <c r="G151" s="118" t="n">
        <v>3990</v>
      </c>
      <c r="H151" s="118" t="n">
        <v>4</v>
      </c>
      <c r="I151" s="393" t="n">
        <v>43385.59861111111</v>
      </c>
      <c r="J151" s="3" t="s">
        <v>40</v>
      </c>
      <c r="K151" s="171">
        <f>VLOOKUP(D151,Base!D:E,2,0)</f>
        <v/>
      </c>
    </row>
    <row customHeight="1" ht="15" r="152" s="183" spans="1:15">
      <c r="A152" s="37">
        <f>E152</f>
        <v/>
      </c>
      <c r="B152" s="117" t="s">
        <v>148</v>
      </c>
      <c r="C152" s="117" t="s">
        <v>105</v>
      </c>
      <c r="D152" s="117" t="s">
        <v>114</v>
      </c>
      <c r="E152" s="117" t="n">
        <v>4342137</v>
      </c>
      <c r="F152" s="117" t="s">
        <v>149</v>
      </c>
      <c r="G152" s="118" t="n">
        <v>3990</v>
      </c>
      <c r="H152" s="118" t="n">
        <v>4</v>
      </c>
      <c r="I152" s="393" t="n">
        <v>43385.59930555556</v>
      </c>
      <c r="J152" s="3" t="s">
        <v>40</v>
      </c>
      <c r="K152" s="171">
        <f>VLOOKUP(D152,Base!D:E,2,0)</f>
        <v/>
      </c>
    </row>
    <row customHeight="1" ht="15" r="153" s="183" spans="1:15">
      <c r="A153" s="37">
        <f>E153</f>
        <v/>
      </c>
      <c r="B153" s="117" t="s">
        <v>148</v>
      </c>
      <c r="C153" s="117" t="s">
        <v>105</v>
      </c>
      <c r="D153" s="117" t="s">
        <v>115</v>
      </c>
      <c r="E153" s="117" t="n">
        <v>4342137</v>
      </c>
      <c r="F153" s="117" t="s">
        <v>149</v>
      </c>
      <c r="G153" s="118" t="n">
        <v>3990</v>
      </c>
      <c r="H153" s="118" t="n">
        <v>4</v>
      </c>
      <c r="I153" s="393" t="n">
        <v>43385.59930555556</v>
      </c>
      <c r="J153" s="3" t="s">
        <v>40</v>
      </c>
      <c r="K153" s="171">
        <f>VLOOKUP(D153,Base!D:E,2,0)</f>
        <v/>
      </c>
    </row>
    <row customHeight="1" ht="15" r="154" s="183" spans="1:15">
      <c r="A154" s="37">
        <f>E154</f>
        <v/>
      </c>
      <c r="B154" s="117" t="s">
        <v>148</v>
      </c>
      <c r="C154" s="117" t="s">
        <v>105</v>
      </c>
      <c r="D154" s="117" t="s">
        <v>150</v>
      </c>
      <c r="E154" s="117" t="n">
        <v>4342137</v>
      </c>
      <c r="F154" s="117" t="s">
        <v>149</v>
      </c>
      <c r="G154" s="118" t="n">
        <v>3990</v>
      </c>
      <c r="H154" s="118" t="n">
        <v>4</v>
      </c>
      <c r="I154" s="393" t="n">
        <v>43385.59930555556</v>
      </c>
      <c r="J154" s="3" t="s">
        <v>40</v>
      </c>
      <c r="K154" s="171">
        <f>VLOOKUP(D154,Base!D:E,2,0)</f>
        <v/>
      </c>
    </row>
    <row customHeight="1" ht="15" r="155" s="183" spans="1:15">
      <c r="A155" s="37">
        <f>E155</f>
        <v/>
      </c>
      <c r="B155" s="117" t="s">
        <v>148</v>
      </c>
      <c r="C155" s="117" t="s">
        <v>105</v>
      </c>
      <c r="D155" s="117" t="s">
        <v>116</v>
      </c>
      <c r="E155" s="117" t="n">
        <v>4342137</v>
      </c>
      <c r="F155" s="117" t="s">
        <v>149</v>
      </c>
      <c r="G155" s="118" t="n">
        <v>3990</v>
      </c>
      <c r="H155" s="118" t="n">
        <v>4</v>
      </c>
      <c r="I155" s="393" t="n">
        <v>43385.59930555556</v>
      </c>
      <c r="J155" s="3" t="s">
        <v>40</v>
      </c>
      <c r="K155" s="171">
        <f>VLOOKUP(D155,Base!D:E,2,0)</f>
        <v/>
      </c>
    </row>
    <row customHeight="1" ht="15" r="156" s="183" spans="1:15">
      <c r="A156" s="37">
        <f>E156</f>
        <v/>
      </c>
      <c r="B156" s="117" t="s">
        <v>148</v>
      </c>
      <c r="C156" s="117" t="s">
        <v>105</v>
      </c>
      <c r="D156" s="117" t="s">
        <v>117</v>
      </c>
      <c r="E156" s="117" t="n">
        <v>4342137</v>
      </c>
      <c r="F156" s="117" t="s">
        <v>149</v>
      </c>
      <c r="G156" s="118" t="n">
        <v>3990</v>
      </c>
      <c r="H156" s="118" t="n">
        <v>4</v>
      </c>
      <c r="I156" s="393" t="n">
        <v>43385.59930555556</v>
      </c>
      <c r="J156" s="3" t="s">
        <v>40</v>
      </c>
      <c r="K156" s="171">
        <f>VLOOKUP(D156,Base!D:E,2,0)</f>
        <v/>
      </c>
    </row>
    <row customHeight="1" ht="15" r="157" s="183" spans="1:15">
      <c r="A157" s="37">
        <f>E157</f>
        <v/>
      </c>
      <c r="B157" s="117" t="s">
        <v>148</v>
      </c>
      <c r="C157" s="117" t="s">
        <v>105</v>
      </c>
      <c r="D157" s="117" t="s">
        <v>119</v>
      </c>
      <c r="E157" s="117" t="n">
        <v>4342137</v>
      </c>
      <c r="F157" s="117" t="s">
        <v>149</v>
      </c>
      <c r="G157" s="118" t="n">
        <v>3990</v>
      </c>
      <c r="H157" s="118" t="n">
        <v>4</v>
      </c>
      <c r="I157" s="393" t="n">
        <v>43385.59930555556</v>
      </c>
      <c r="J157" s="3" t="s">
        <v>40</v>
      </c>
      <c r="K157" s="171">
        <f>VLOOKUP(D157,Base!D:E,2,0)</f>
        <v/>
      </c>
    </row>
    <row customHeight="1" ht="15" r="158" s="183" spans="1:15">
      <c r="A158" s="37">
        <f>E158</f>
        <v/>
      </c>
      <c r="B158" s="117" t="s">
        <v>148</v>
      </c>
      <c r="C158" s="117" t="s">
        <v>105</v>
      </c>
      <c r="D158" s="117" t="s">
        <v>120</v>
      </c>
      <c r="E158" s="117" t="n">
        <v>4342137</v>
      </c>
      <c r="F158" s="117" t="s">
        <v>149</v>
      </c>
      <c r="G158" s="118" t="n">
        <v>5990</v>
      </c>
      <c r="H158" s="118" t="n">
        <v>4</v>
      </c>
      <c r="I158" s="393" t="n">
        <v>43385.59861111111</v>
      </c>
      <c r="J158" s="3" t="s">
        <v>40</v>
      </c>
      <c r="K158" s="171">
        <f>VLOOKUP(D158,Base!D:E,2,0)</f>
        <v/>
      </c>
    </row>
    <row customHeight="1" ht="15" r="159" s="183" spans="1:15">
      <c r="A159" s="37">
        <f>E159</f>
        <v/>
      </c>
      <c r="B159" s="117" t="s">
        <v>148</v>
      </c>
      <c r="C159" s="117" t="s">
        <v>105</v>
      </c>
      <c r="D159" s="117" t="s">
        <v>121</v>
      </c>
      <c r="E159" s="117" t="n">
        <v>4342137</v>
      </c>
      <c r="F159" s="117" t="s">
        <v>149</v>
      </c>
      <c r="G159" s="118" t="n">
        <v>3990</v>
      </c>
      <c r="H159" s="118" t="n">
        <v>4</v>
      </c>
      <c r="I159" s="393" t="n">
        <v>43385.59930555556</v>
      </c>
      <c r="J159" s="3" t="s">
        <v>40</v>
      </c>
      <c r="K159" s="171">
        <f>VLOOKUP(D159,Base!D:E,2,0)</f>
        <v/>
      </c>
    </row>
    <row customHeight="1" ht="15" r="160" s="183" spans="1:15">
      <c r="A160" s="37">
        <f>E160</f>
        <v/>
      </c>
      <c r="B160" s="117" t="s">
        <v>148</v>
      </c>
      <c r="C160" s="117" t="s">
        <v>105</v>
      </c>
      <c r="D160" s="117" t="s">
        <v>122</v>
      </c>
      <c r="E160" s="117" t="n">
        <v>4342137</v>
      </c>
      <c r="F160" s="117" t="s">
        <v>149</v>
      </c>
      <c r="G160" s="118" t="n">
        <v>3990</v>
      </c>
      <c r="H160" s="118" t="n">
        <v>4</v>
      </c>
      <c r="I160" s="393" t="n">
        <v>43385.59930555556</v>
      </c>
      <c r="J160" s="3" t="s">
        <v>40</v>
      </c>
      <c r="K160" s="171">
        <f>VLOOKUP(D160,Base!D:E,2,0)</f>
        <v/>
      </c>
    </row>
    <row customHeight="1" ht="15" r="161" s="183" spans="1:15">
      <c r="A161" s="37">
        <f>E161</f>
        <v/>
      </c>
      <c r="B161" s="117" t="s">
        <v>148</v>
      </c>
      <c r="C161" s="117" t="s">
        <v>105</v>
      </c>
      <c r="D161" s="117" t="s">
        <v>123</v>
      </c>
      <c r="E161" s="117" t="n">
        <v>4342137</v>
      </c>
      <c r="F161" s="117" t="s">
        <v>149</v>
      </c>
      <c r="G161" s="118" t="n">
        <v>4490</v>
      </c>
      <c r="H161" s="118" t="n">
        <v>4</v>
      </c>
      <c r="I161" s="393" t="n">
        <v>43385.59930555556</v>
      </c>
      <c r="J161" s="3" t="s">
        <v>40</v>
      </c>
      <c r="K161" s="171">
        <f>VLOOKUP(D161,Base!D:E,2,0)</f>
        <v/>
      </c>
    </row>
    <row customHeight="1" ht="15" r="162" s="183" spans="1:15">
      <c r="A162" s="37">
        <f>E162</f>
        <v/>
      </c>
      <c r="B162" s="117" t="s">
        <v>148</v>
      </c>
      <c r="C162" s="117" t="s">
        <v>105</v>
      </c>
      <c r="D162" s="117" t="s">
        <v>124</v>
      </c>
      <c r="E162" s="117" t="n">
        <v>4342137</v>
      </c>
      <c r="F162" s="117" t="s">
        <v>149</v>
      </c>
      <c r="G162" s="118" t="n">
        <v>3990</v>
      </c>
      <c r="H162" s="118" t="n">
        <v>4</v>
      </c>
      <c r="I162" s="393" t="n">
        <v>43385.59861111111</v>
      </c>
      <c r="J162" s="3" t="s">
        <v>40</v>
      </c>
      <c r="K162" s="171">
        <f>VLOOKUP(D162,Base!D:E,2,0)</f>
        <v/>
      </c>
    </row>
    <row customHeight="1" ht="15" r="163" s="183" spans="1:15">
      <c r="A163" s="37">
        <f>E163</f>
        <v/>
      </c>
      <c r="B163" s="117" t="s">
        <v>148</v>
      </c>
      <c r="C163" s="117" t="s">
        <v>105</v>
      </c>
      <c r="D163" s="117" t="s">
        <v>125</v>
      </c>
      <c r="E163" s="117" t="n">
        <v>4342137</v>
      </c>
      <c r="F163" s="117" t="s">
        <v>149</v>
      </c>
      <c r="G163" s="118" t="n">
        <v>3990</v>
      </c>
      <c r="H163" s="118" t="n">
        <v>4</v>
      </c>
      <c r="I163" s="393" t="n">
        <v>43385.59930555556</v>
      </c>
      <c r="J163" s="3" t="s">
        <v>40</v>
      </c>
      <c r="K163" s="171">
        <f>VLOOKUP(D163,Base!D:E,2,0)</f>
        <v/>
      </c>
    </row>
    <row customHeight="1" ht="15" r="164" s="183" spans="1:15">
      <c r="A164" s="37">
        <f>E164</f>
        <v/>
      </c>
      <c r="B164" s="117" t="s">
        <v>148</v>
      </c>
      <c r="C164" s="117" t="s">
        <v>105</v>
      </c>
      <c r="D164" s="117" t="s">
        <v>126</v>
      </c>
      <c r="E164" s="117" t="n">
        <v>4342137</v>
      </c>
      <c r="F164" s="117" t="s">
        <v>149</v>
      </c>
      <c r="G164" s="118" t="n">
        <v>3990</v>
      </c>
      <c r="H164" s="118" t="n">
        <v>4</v>
      </c>
      <c r="I164" s="393" t="n">
        <v>43385.59861111111</v>
      </c>
      <c r="J164" s="3" t="s">
        <v>40</v>
      </c>
      <c r="K164" s="171">
        <f>VLOOKUP(D164,Base!D:E,2,0)</f>
        <v/>
      </c>
    </row>
    <row customHeight="1" ht="15" r="165" s="183" spans="1:15">
      <c r="A165" s="37">
        <f>E165</f>
        <v/>
      </c>
      <c r="B165" s="117" t="s">
        <v>148</v>
      </c>
      <c r="C165" s="117" t="s">
        <v>105</v>
      </c>
      <c r="D165" s="117" t="s">
        <v>127</v>
      </c>
      <c r="E165" s="117" t="n">
        <v>4342137</v>
      </c>
      <c r="F165" s="117" t="s">
        <v>149</v>
      </c>
      <c r="G165" s="118" t="n">
        <v>5490</v>
      </c>
      <c r="H165" s="118" t="n">
        <v>4</v>
      </c>
      <c r="I165" s="393" t="n">
        <v>43385.59861111111</v>
      </c>
      <c r="J165" s="3" t="s">
        <v>40</v>
      </c>
      <c r="K165" s="171">
        <f>VLOOKUP(D165,Base!D:E,2,0)</f>
        <v/>
      </c>
    </row>
    <row customHeight="1" ht="15" r="166" s="183" spans="1:15">
      <c r="A166" s="37">
        <f>E166</f>
        <v/>
      </c>
      <c r="B166" s="117" t="s">
        <v>148</v>
      </c>
      <c r="C166" s="117" t="s">
        <v>105</v>
      </c>
      <c r="D166" s="117" t="s">
        <v>128</v>
      </c>
      <c r="E166" s="117" t="n">
        <v>4342137</v>
      </c>
      <c r="F166" s="117" t="s">
        <v>149</v>
      </c>
      <c r="G166" s="118" t="n">
        <v>3990</v>
      </c>
      <c r="H166" s="118" t="n">
        <v>4</v>
      </c>
      <c r="I166" s="393" t="n">
        <v>43385.59930555556</v>
      </c>
      <c r="J166" s="3" t="s">
        <v>40</v>
      </c>
      <c r="K166" s="171">
        <f>VLOOKUP(D166,Base!D:E,2,0)</f>
        <v/>
      </c>
    </row>
    <row customHeight="1" ht="15" r="167" s="183" spans="1:15">
      <c r="A167" s="37">
        <f>E167</f>
        <v/>
      </c>
      <c r="B167" s="117" t="s">
        <v>148</v>
      </c>
      <c r="C167" s="117" t="s">
        <v>105</v>
      </c>
      <c r="D167" s="117" t="s">
        <v>129</v>
      </c>
      <c r="E167" s="117" t="n">
        <v>4342137</v>
      </c>
      <c r="F167" s="117" t="s">
        <v>149</v>
      </c>
      <c r="G167" s="118" t="n">
        <v>5490</v>
      </c>
      <c r="H167" s="118" t="n">
        <v>4</v>
      </c>
      <c r="I167" s="393" t="n">
        <v>43385.59930555556</v>
      </c>
      <c r="J167" s="3" t="s">
        <v>40</v>
      </c>
      <c r="K167" s="171">
        <f>VLOOKUP(D167,Base!D:E,2,0)</f>
        <v/>
      </c>
    </row>
    <row customHeight="1" ht="15" r="168" s="183" spans="1:15">
      <c r="A168" s="37">
        <f>E168</f>
        <v/>
      </c>
      <c r="B168" s="117" t="s">
        <v>148</v>
      </c>
      <c r="C168" s="117" t="s">
        <v>105</v>
      </c>
      <c r="D168" s="117" t="s">
        <v>130</v>
      </c>
      <c r="E168" s="117" t="n">
        <v>4342137</v>
      </c>
      <c r="F168" s="117" t="s">
        <v>149</v>
      </c>
      <c r="G168" s="118" t="n">
        <v>4990</v>
      </c>
      <c r="H168" s="118" t="n">
        <v>4</v>
      </c>
      <c r="I168" s="393" t="n">
        <v>43385.59930555556</v>
      </c>
      <c r="J168" s="3" t="s">
        <v>40</v>
      </c>
      <c r="K168" s="171">
        <f>VLOOKUP(D168,Base!D:E,2,0)</f>
        <v/>
      </c>
    </row>
    <row customHeight="1" ht="15" r="169" s="183" spans="1:15">
      <c r="A169" s="37">
        <f>E169</f>
        <v/>
      </c>
      <c r="B169" s="117" t="s">
        <v>148</v>
      </c>
      <c r="C169" s="117" t="s">
        <v>105</v>
      </c>
      <c r="D169" s="117" t="s">
        <v>131</v>
      </c>
      <c r="E169" s="117" t="n">
        <v>4342137</v>
      </c>
      <c r="F169" s="117" t="s">
        <v>149</v>
      </c>
      <c r="G169" s="118" t="n">
        <v>3990</v>
      </c>
      <c r="H169" s="118" t="n">
        <v>4</v>
      </c>
      <c r="I169" s="393" t="n">
        <v>43385.59930555556</v>
      </c>
      <c r="J169" s="3" t="s">
        <v>40</v>
      </c>
      <c r="K169" s="171">
        <f>VLOOKUP(D169,Base!D:E,2,0)</f>
        <v/>
      </c>
    </row>
    <row customHeight="1" ht="15" r="170" s="183" spans="1:15">
      <c r="A170" s="37">
        <f>E170</f>
        <v/>
      </c>
      <c r="B170" s="117" t="s">
        <v>148</v>
      </c>
      <c r="C170" s="117" t="s">
        <v>105</v>
      </c>
      <c r="D170" s="117" t="s">
        <v>132</v>
      </c>
      <c r="E170" s="117" t="n">
        <v>4342137</v>
      </c>
      <c r="F170" s="117" t="s">
        <v>149</v>
      </c>
      <c r="G170" s="118" t="n">
        <v>5490</v>
      </c>
      <c r="H170" s="118" t="n">
        <v>4</v>
      </c>
      <c r="I170" s="393" t="n">
        <v>43385.59861111111</v>
      </c>
      <c r="J170" s="3" t="s">
        <v>40</v>
      </c>
      <c r="K170" s="171">
        <f>VLOOKUP(D170,Base!D:E,2,0)</f>
        <v/>
      </c>
    </row>
    <row customHeight="1" ht="15" r="171" s="183" spans="1:15">
      <c r="A171" s="37">
        <f>E171</f>
        <v/>
      </c>
      <c r="B171" s="117" t="s">
        <v>148</v>
      </c>
      <c r="C171" s="117" t="s">
        <v>105</v>
      </c>
      <c r="D171" s="117" t="s">
        <v>133</v>
      </c>
      <c r="E171" s="117" t="n">
        <v>4342137</v>
      </c>
      <c r="F171" s="117" t="s">
        <v>149</v>
      </c>
      <c r="G171" s="118" t="n">
        <v>3990</v>
      </c>
      <c r="H171" s="118" t="n">
        <v>4</v>
      </c>
      <c r="I171" s="393" t="n">
        <v>43385.59930555556</v>
      </c>
      <c r="J171" s="3" t="s">
        <v>40</v>
      </c>
      <c r="K171" s="171">
        <f>VLOOKUP(D171,Base!D:E,2,0)</f>
        <v/>
      </c>
    </row>
    <row customHeight="1" ht="15" r="172" s="183" spans="1:15">
      <c r="A172" s="37">
        <f>E172</f>
        <v/>
      </c>
      <c r="B172" s="117" t="s">
        <v>148</v>
      </c>
      <c r="C172" s="117" t="s">
        <v>105</v>
      </c>
      <c r="D172" s="117" t="s">
        <v>134</v>
      </c>
      <c r="E172" s="117" t="n">
        <v>4342137</v>
      </c>
      <c r="F172" s="117" t="s">
        <v>149</v>
      </c>
      <c r="G172" s="118" t="n">
        <v>3990</v>
      </c>
      <c r="H172" s="118" t="n">
        <v>4</v>
      </c>
      <c r="I172" s="393" t="n">
        <v>43385.59930555556</v>
      </c>
      <c r="J172" s="3" t="s">
        <v>40</v>
      </c>
      <c r="K172" s="171">
        <f>VLOOKUP(D172,Base!D:E,2,0)</f>
        <v/>
      </c>
    </row>
    <row customHeight="1" ht="15" r="173" s="183" spans="1:15">
      <c r="A173" s="37">
        <f>E173</f>
        <v/>
      </c>
      <c r="B173" s="117" t="s">
        <v>148</v>
      </c>
      <c r="C173" s="117" t="s">
        <v>105</v>
      </c>
      <c r="D173" s="117" t="s">
        <v>135</v>
      </c>
      <c r="E173" s="117" t="n">
        <v>4342137</v>
      </c>
      <c r="F173" s="117" t="s">
        <v>149</v>
      </c>
      <c r="G173" s="118" t="n">
        <v>3990</v>
      </c>
      <c r="H173" s="118" t="n">
        <v>4</v>
      </c>
      <c r="I173" s="393" t="n">
        <v>43385.59861111111</v>
      </c>
      <c r="J173" s="3" t="s">
        <v>40</v>
      </c>
      <c r="K173" s="171">
        <f>VLOOKUP(D173,Base!D:E,2,0)</f>
        <v/>
      </c>
    </row>
    <row customHeight="1" ht="15" r="174" s="183" spans="1:15">
      <c r="A174" s="37">
        <f>E174</f>
        <v/>
      </c>
      <c r="B174" s="117" t="s">
        <v>148</v>
      </c>
      <c r="C174" s="117" t="s">
        <v>105</v>
      </c>
      <c r="D174" s="117" t="s">
        <v>136</v>
      </c>
      <c r="E174" s="117" t="n">
        <v>4342137</v>
      </c>
      <c r="F174" s="117" t="s">
        <v>149</v>
      </c>
      <c r="G174" s="118" t="n">
        <v>3990</v>
      </c>
      <c r="H174" s="118" t="n">
        <v>4</v>
      </c>
      <c r="I174" s="393" t="n">
        <v>43385.59930555556</v>
      </c>
      <c r="J174" s="3" t="s">
        <v>40</v>
      </c>
      <c r="K174" s="171">
        <f>VLOOKUP(D174,Base!D:E,2,0)</f>
        <v/>
      </c>
    </row>
    <row customHeight="1" ht="15" r="175" s="183" spans="1:15">
      <c r="A175" s="37">
        <f>E175</f>
        <v/>
      </c>
      <c r="B175" s="117" t="s">
        <v>148</v>
      </c>
      <c r="C175" s="117" t="s">
        <v>105</v>
      </c>
      <c r="D175" s="117" t="s">
        <v>137</v>
      </c>
      <c r="E175" s="117" t="n">
        <v>4342137</v>
      </c>
      <c r="F175" s="117" t="s">
        <v>149</v>
      </c>
      <c r="G175" s="118" t="n">
        <v>3990</v>
      </c>
      <c r="H175" s="118" t="n">
        <v>4</v>
      </c>
      <c r="I175" s="393" t="n">
        <v>43385.59861111111</v>
      </c>
      <c r="J175" s="3" t="s">
        <v>40</v>
      </c>
      <c r="K175" s="171">
        <f>VLOOKUP(D175,Base!D:E,2,0)</f>
        <v/>
      </c>
    </row>
    <row customHeight="1" ht="15" r="176" s="183" spans="1:15">
      <c r="A176" s="37">
        <f>E176</f>
        <v/>
      </c>
      <c r="B176" s="117" t="s">
        <v>148</v>
      </c>
      <c r="C176" s="117" t="s">
        <v>105</v>
      </c>
      <c r="D176" s="117" t="s">
        <v>138</v>
      </c>
      <c r="E176" s="117" t="n">
        <v>4342137</v>
      </c>
      <c r="F176" s="117" t="s">
        <v>149</v>
      </c>
      <c r="G176" s="118" t="n">
        <v>3990</v>
      </c>
      <c r="H176" s="118" t="n">
        <v>4</v>
      </c>
      <c r="I176" s="393" t="n">
        <v>43385.59930555556</v>
      </c>
      <c r="J176" s="3" t="s">
        <v>40</v>
      </c>
      <c r="K176" s="171">
        <f>VLOOKUP(D176,Base!D:E,2,0)</f>
        <v/>
      </c>
    </row>
    <row customHeight="1" ht="15" r="177" s="183" spans="1:15">
      <c r="A177" s="37">
        <f>E177</f>
        <v/>
      </c>
      <c r="B177" s="117" t="s">
        <v>148</v>
      </c>
      <c r="C177" s="117" t="s">
        <v>105</v>
      </c>
      <c r="D177" s="117" t="s">
        <v>139</v>
      </c>
      <c r="E177" s="117" t="n">
        <v>4342137</v>
      </c>
      <c r="F177" s="117" t="s">
        <v>149</v>
      </c>
      <c r="G177" s="118" t="n">
        <v>3990</v>
      </c>
      <c r="H177" s="118" t="n">
        <v>4</v>
      </c>
      <c r="I177" s="393" t="n">
        <v>43385.59861111111</v>
      </c>
      <c r="J177" s="3" t="s">
        <v>40</v>
      </c>
      <c r="K177" s="171">
        <f>VLOOKUP(D177,Base!D:E,2,0)</f>
        <v/>
      </c>
    </row>
    <row customHeight="1" ht="15" r="178" s="183" spans="1:15">
      <c r="A178" s="37">
        <f>E178</f>
        <v/>
      </c>
      <c r="B178" s="117" t="s">
        <v>148</v>
      </c>
      <c r="C178" s="117" t="s">
        <v>105</v>
      </c>
      <c r="D178" s="117" t="s">
        <v>140</v>
      </c>
      <c r="E178" s="117" t="n">
        <v>4342137</v>
      </c>
      <c r="F178" s="117" t="s">
        <v>149</v>
      </c>
      <c r="G178" s="118" t="n">
        <v>3990</v>
      </c>
      <c r="H178" s="118" t="n">
        <v>4</v>
      </c>
      <c r="I178" s="393" t="n">
        <v>43385.59930555556</v>
      </c>
      <c r="J178" s="3" t="s">
        <v>40</v>
      </c>
      <c r="K178" s="171">
        <f>VLOOKUP(D178,Base!D:E,2,0)</f>
        <v/>
      </c>
    </row>
    <row customHeight="1" ht="15" r="179" s="183" spans="1:15">
      <c r="A179" s="37">
        <f>E179</f>
        <v/>
      </c>
      <c r="B179" s="117" t="s">
        <v>148</v>
      </c>
      <c r="C179" s="117" t="s">
        <v>105</v>
      </c>
      <c r="D179" s="117" t="s">
        <v>141</v>
      </c>
      <c r="E179" s="117" t="n">
        <v>4342137</v>
      </c>
      <c r="F179" s="117" t="s">
        <v>149</v>
      </c>
      <c r="G179" s="118" t="n">
        <v>3990</v>
      </c>
      <c r="H179" s="118" t="n">
        <v>4</v>
      </c>
      <c r="I179" s="393" t="n">
        <v>43385.59930555556</v>
      </c>
      <c r="J179" s="3" t="s">
        <v>40</v>
      </c>
      <c r="K179" s="171">
        <f>VLOOKUP(D179,Base!D:E,2,0)</f>
        <v/>
      </c>
    </row>
    <row customHeight="1" ht="15" r="180" s="183" spans="1:15">
      <c r="A180" s="37">
        <f>E180</f>
        <v/>
      </c>
      <c r="B180" s="117" t="s">
        <v>148</v>
      </c>
      <c r="C180" s="117" t="s">
        <v>105</v>
      </c>
      <c r="D180" s="117" t="s">
        <v>142</v>
      </c>
      <c r="E180" s="117" t="n">
        <v>4342137</v>
      </c>
      <c r="F180" s="117" t="s">
        <v>149</v>
      </c>
      <c r="G180" s="118" t="n">
        <v>3990</v>
      </c>
      <c r="H180" s="118" t="n">
        <v>4</v>
      </c>
      <c r="I180" s="393" t="n">
        <v>43385.59930555556</v>
      </c>
      <c r="J180" s="3" t="s">
        <v>40</v>
      </c>
      <c r="K180" s="171">
        <f>VLOOKUP(D180,Base!D:E,2,0)</f>
        <v/>
      </c>
    </row>
    <row customHeight="1" ht="15" r="181" s="183" spans="1:15">
      <c r="A181" s="37">
        <f>E181</f>
        <v/>
      </c>
      <c r="B181" s="117" t="s">
        <v>148</v>
      </c>
      <c r="C181" s="117" t="s">
        <v>105</v>
      </c>
      <c r="D181" s="117" t="s">
        <v>143</v>
      </c>
      <c r="E181" s="117" t="n">
        <v>4342137</v>
      </c>
      <c r="F181" s="117" t="s">
        <v>149</v>
      </c>
      <c r="G181" s="118" t="n">
        <v>3990</v>
      </c>
      <c r="H181" s="118" t="n">
        <v>4</v>
      </c>
      <c r="I181" s="393" t="n">
        <v>43385.59930555556</v>
      </c>
      <c r="J181" s="3" t="s">
        <v>40</v>
      </c>
      <c r="K181" s="171">
        <f>VLOOKUP(D181,Base!D:E,2,0)</f>
        <v/>
      </c>
    </row>
    <row customHeight="1" ht="15" r="182" s="183" spans="1:15">
      <c r="A182" s="37">
        <f>E182</f>
        <v/>
      </c>
      <c r="B182" s="117" t="s">
        <v>148</v>
      </c>
      <c r="C182" s="117" t="s">
        <v>105</v>
      </c>
      <c r="D182" s="117" t="s">
        <v>144</v>
      </c>
      <c r="E182" s="117" t="n">
        <v>4342137</v>
      </c>
      <c r="F182" s="117" t="s">
        <v>149</v>
      </c>
      <c r="G182" s="118" t="n">
        <v>3990</v>
      </c>
      <c r="H182" s="118" t="n">
        <v>4</v>
      </c>
      <c r="I182" s="393" t="n">
        <v>43385.59861111111</v>
      </c>
      <c r="J182" s="3" t="s">
        <v>40</v>
      </c>
      <c r="K182" s="171">
        <f>VLOOKUP(D182,Base!D:E,2,0)</f>
        <v/>
      </c>
    </row>
    <row customHeight="1" ht="15" r="183" s="183" spans="1:15">
      <c r="A183" s="37">
        <f>E183</f>
        <v/>
      </c>
      <c r="B183" s="117" t="s">
        <v>148</v>
      </c>
      <c r="C183" s="117" t="s">
        <v>105</v>
      </c>
      <c r="D183" s="117" t="s">
        <v>145</v>
      </c>
      <c r="E183" s="117" t="n">
        <v>4342137</v>
      </c>
      <c r="F183" s="117" t="s">
        <v>149</v>
      </c>
      <c r="G183" s="118" t="n">
        <v>3990</v>
      </c>
      <c r="H183" s="118" t="n">
        <v>4</v>
      </c>
      <c r="I183" s="393" t="n">
        <v>43385.59930555556</v>
      </c>
      <c r="J183" s="3" t="s">
        <v>40</v>
      </c>
      <c r="K183" s="171">
        <f>VLOOKUP(D183,Base!D:E,2,0)</f>
        <v/>
      </c>
    </row>
    <row customHeight="1" ht="15" r="184" s="183" spans="1:15">
      <c r="A184" s="37">
        <f>E184</f>
        <v/>
      </c>
      <c r="B184" s="117" t="s">
        <v>148</v>
      </c>
      <c r="C184" s="117" t="s">
        <v>105</v>
      </c>
      <c r="D184" s="117" t="s">
        <v>146</v>
      </c>
      <c r="E184" s="117" t="n">
        <v>4342137</v>
      </c>
      <c r="F184" s="117" t="s">
        <v>149</v>
      </c>
      <c r="G184" s="118" t="n">
        <v>5490</v>
      </c>
      <c r="H184" s="118" t="n">
        <v>4</v>
      </c>
      <c r="I184" s="393" t="n">
        <v>43385.59861111111</v>
      </c>
      <c r="J184" s="3" t="s">
        <v>40</v>
      </c>
      <c r="K184" s="171">
        <f>VLOOKUP(D184,Base!D:E,2,0)</f>
        <v/>
      </c>
    </row>
    <row customHeight="1" ht="15" r="185" s="183" spans="1:15">
      <c r="A185" s="37">
        <f>E185</f>
        <v/>
      </c>
      <c r="B185" s="117" t="s">
        <v>148</v>
      </c>
      <c r="C185" s="117" t="s">
        <v>105</v>
      </c>
      <c r="D185" s="117" t="s">
        <v>147</v>
      </c>
      <c r="E185" s="117" t="n">
        <v>4342137</v>
      </c>
      <c r="F185" s="117" t="s">
        <v>149</v>
      </c>
      <c r="G185" s="118" t="n">
        <v>3990</v>
      </c>
      <c r="H185" s="118" t="n">
        <v>4</v>
      </c>
      <c r="I185" s="393" t="n">
        <v>43385.59861111111</v>
      </c>
      <c r="J185" s="3" t="s">
        <v>40</v>
      </c>
      <c r="K185" s="171">
        <f>VLOOKUP(D185,Base!D:E,2,0)</f>
        <v/>
      </c>
    </row>
    <row customHeight="1" ht="15" r="186" s="183" spans="1:15">
      <c r="A186" s="37">
        <f>E186</f>
        <v/>
      </c>
      <c r="B186" s="117" t="s">
        <v>148</v>
      </c>
      <c r="C186" s="117" t="s">
        <v>36</v>
      </c>
      <c r="D186" s="117" t="s">
        <v>37</v>
      </c>
      <c r="E186" s="117" t="n">
        <v>5643210</v>
      </c>
      <c r="F186" s="117" t="s">
        <v>151</v>
      </c>
      <c r="G186" s="118" t="n">
        <v>9990</v>
      </c>
      <c r="H186" s="118" t="n">
        <v>6</v>
      </c>
      <c r="I186" s="393" t="n">
        <v>43385.59861111111</v>
      </c>
      <c r="J186" s="3" t="s">
        <v>152</v>
      </c>
      <c r="K186" s="171">
        <f>VLOOKUP(D186,Base!D:E,2,0)</f>
        <v/>
      </c>
    </row>
    <row customHeight="1" ht="15" r="187" s="183" spans="1:15">
      <c r="A187" s="37">
        <f>E187</f>
        <v/>
      </c>
      <c r="B187" s="117" t="s">
        <v>148</v>
      </c>
      <c r="C187" s="117" t="s">
        <v>36</v>
      </c>
      <c r="D187" s="117" t="s">
        <v>42</v>
      </c>
      <c r="E187" s="117" t="n">
        <v>5643210</v>
      </c>
      <c r="F187" s="117" t="s">
        <v>151</v>
      </c>
      <c r="G187" s="118" t="n">
        <v>9990</v>
      </c>
      <c r="H187" s="118" t="n">
        <v>7</v>
      </c>
      <c r="I187" s="393" t="n">
        <v>43385.59930555556</v>
      </c>
      <c r="J187" s="3" t="s">
        <v>152</v>
      </c>
      <c r="K187" s="171">
        <f>VLOOKUP(D187,Base!D:E,2,0)</f>
        <v/>
      </c>
    </row>
    <row customHeight="1" ht="15" r="188" s="183" spans="1:15">
      <c r="A188" s="37">
        <f>E188</f>
        <v/>
      </c>
      <c r="B188" s="117" t="s">
        <v>148</v>
      </c>
      <c r="C188" s="117" t="s">
        <v>44</v>
      </c>
      <c r="D188" s="117" t="s">
        <v>45</v>
      </c>
      <c r="E188" s="117" t="n">
        <v>5643210</v>
      </c>
      <c r="F188" s="117" t="s">
        <v>151</v>
      </c>
      <c r="G188" s="118" t="n">
        <v>10990</v>
      </c>
      <c r="H188" s="118" t="n">
        <v>8</v>
      </c>
      <c r="I188" s="393" t="n">
        <v>43385.59861111111</v>
      </c>
      <c r="J188" s="3" t="s">
        <v>152</v>
      </c>
      <c r="K188" s="171">
        <f>VLOOKUP(D188,Base!D:E,2,0)</f>
        <v/>
      </c>
    </row>
    <row customHeight="1" ht="15" r="189" s="183" spans="1:15">
      <c r="A189" s="37">
        <f>E189</f>
        <v/>
      </c>
      <c r="B189" s="117" t="s">
        <v>148</v>
      </c>
      <c r="C189" s="117" t="s">
        <v>46</v>
      </c>
      <c r="D189" s="117" t="s">
        <v>47</v>
      </c>
      <c r="E189" s="117" t="n">
        <v>5643210</v>
      </c>
      <c r="F189" s="117" t="s">
        <v>151</v>
      </c>
      <c r="G189" s="118" t="n">
        <v>9990</v>
      </c>
      <c r="H189" s="118" t="n">
        <v>6</v>
      </c>
      <c r="I189" s="393" t="n">
        <v>43385.59930555556</v>
      </c>
      <c r="J189" s="3" t="s">
        <v>152</v>
      </c>
      <c r="K189" s="171">
        <f>VLOOKUP(D189,Base!D:E,2,0)</f>
        <v/>
      </c>
    </row>
    <row customHeight="1" ht="15" r="190" s="183" spans="1:15">
      <c r="A190" s="37">
        <f>E190</f>
        <v/>
      </c>
      <c r="B190" s="117" t="s">
        <v>148</v>
      </c>
      <c r="C190" s="117" t="s">
        <v>46</v>
      </c>
      <c r="D190" s="117" t="s">
        <v>48</v>
      </c>
      <c r="E190" s="117" t="n">
        <v>5643210</v>
      </c>
      <c r="F190" s="117" t="s">
        <v>151</v>
      </c>
      <c r="G190" s="118" t="n">
        <v>6990</v>
      </c>
      <c r="H190" s="118" t="n">
        <v>8</v>
      </c>
      <c r="I190" s="393" t="n">
        <v>43385.59930555556</v>
      </c>
      <c r="J190" s="3" t="s">
        <v>152</v>
      </c>
      <c r="K190" s="171">
        <f>VLOOKUP(D190,Base!D:E,2,0)</f>
        <v/>
      </c>
    </row>
    <row customHeight="1" ht="15" r="191" s="183" spans="1:15">
      <c r="A191" s="37">
        <f>E191</f>
        <v/>
      </c>
      <c r="B191" s="117" t="s">
        <v>148</v>
      </c>
      <c r="C191" s="117" t="s">
        <v>49</v>
      </c>
      <c r="D191" s="117" t="s">
        <v>50</v>
      </c>
      <c r="E191" s="117" t="n">
        <v>5643210</v>
      </c>
      <c r="F191" s="117" t="s">
        <v>151</v>
      </c>
      <c r="G191" s="118" t="n">
        <v>15490</v>
      </c>
      <c r="H191" s="118" t="n">
        <v>15</v>
      </c>
      <c r="I191" s="393" t="n">
        <v>43385.59861111111</v>
      </c>
      <c r="J191" s="3" t="s">
        <v>152</v>
      </c>
      <c r="K191" s="171">
        <f>VLOOKUP(D191,Base!D:E,2,0)</f>
        <v/>
      </c>
    </row>
    <row customHeight="1" ht="15" r="192" s="183" spans="1:15">
      <c r="A192" s="37">
        <f>E192</f>
        <v/>
      </c>
      <c r="B192" s="117" t="s">
        <v>148</v>
      </c>
      <c r="C192" s="117" t="s">
        <v>51</v>
      </c>
      <c r="D192" s="117" t="s">
        <v>52</v>
      </c>
      <c r="E192" s="117" t="n">
        <v>5643210</v>
      </c>
      <c r="F192" s="117" t="s">
        <v>151</v>
      </c>
      <c r="G192" s="118" t="n">
        <v>8490</v>
      </c>
      <c r="H192" s="118" t="n">
        <v>4</v>
      </c>
      <c r="I192" s="393" t="n">
        <v>43385.59861111111</v>
      </c>
      <c r="J192" s="3" t="s">
        <v>152</v>
      </c>
      <c r="K192" s="171">
        <f>VLOOKUP(D192,Base!D:E,2,0)</f>
        <v/>
      </c>
    </row>
    <row customHeight="1" ht="15" r="193" s="183" spans="1:15">
      <c r="A193" s="37">
        <f>E193</f>
        <v/>
      </c>
      <c r="B193" s="117" t="s">
        <v>148</v>
      </c>
      <c r="C193" s="117" t="s">
        <v>51</v>
      </c>
      <c r="D193" s="117" t="s">
        <v>53</v>
      </c>
      <c r="E193" s="117" t="n">
        <v>5643210</v>
      </c>
      <c r="F193" s="117" t="s">
        <v>151</v>
      </c>
      <c r="G193" s="118" t="n">
        <v>9490</v>
      </c>
      <c r="H193" s="118" t="n">
        <v>6</v>
      </c>
      <c r="I193" s="393" t="n">
        <v>43385.59930555556</v>
      </c>
      <c r="J193" s="3" t="s">
        <v>152</v>
      </c>
      <c r="K193" s="171">
        <f>VLOOKUP(D193,Base!D:E,2,0)</f>
        <v/>
      </c>
    </row>
    <row customHeight="1" ht="15" r="194" s="183" spans="1:15">
      <c r="A194" s="37">
        <f>E194</f>
        <v/>
      </c>
      <c r="B194" s="117" t="s">
        <v>148</v>
      </c>
      <c r="C194" s="117" t="s">
        <v>51</v>
      </c>
      <c r="D194" s="117" t="s">
        <v>54</v>
      </c>
      <c r="E194" s="117" t="n">
        <v>5643210</v>
      </c>
      <c r="F194" s="117" t="s">
        <v>151</v>
      </c>
      <c r="G194" s="118" t="n">
        <v>8490</v>
      </c>
      <c r="H194" s="118" t="n">
        <v>4</v>
      </c>
      <c r="I194" s="393" t="n">
        <v>43385.59861111111</v>
      </c>
      <c r="J194" s="3" t="s">
        <v>152</v>
      </c>
      <c r="K194" s="171">
        <f>VLOOKUP(D194,Base!D:E,2,0)</f>
        <v/>
      </c>
    </row>
    <row customHeight="1" ht="15" r="195" s="183" spans="1:15">
      <c r="A195" s="37">
        <f>E195</f>
        <v/>
      </c>
      <c r="B195" s="117" t="s">
        <v>148</v>
      </c>
      <c r="C195" s="117" t="s">
        <v>51</v>
      </c>
      <c r="D195" s="117" t="s">
        <v>55</v>
      </c>
      <c r="E195" s="117" t="n">
        <v>5643210</v>
      </c>
      <c r="F195" s="117" t="s">
        <v>151</v>
      </c>
      <c r="G195" s="118" t="n">
        <v>9490</v>
      </c>
      <c r="H195" s="118" t="n">
        <v>6</v>
      </c>
      <c r="I195" s="393" t="n">
        <v>43385.59930555556</v>
      </c>
      <c r="J195" s="3" t="s">
        <v>152</v>
      </c>
      <c r="K195" s="171">
        <f>VLOOKUP(D195,Base!D:E,2,0)</f>
        <v/>
      </c>
    </row>
    <row customHeight="1" ht="15" r="196" s="183" spans="1:15">
      <c r="A196" s="37">
        <f>E196</f>
        <v/>
      </c>
      <c r="B196" s="117" t="s">
        <v>148</v>
      </c>
      <c r="C196" s="117" t="s">
        <v>51</v>
      </c>
      <c r="D196" s="117" t="s">
        <v>56</v>
      </c>
      <c r="E196" s="117" t="n">
        <v>5643210</v>
      </c>
      <c r="F196" s="117" t="s">
        <v>151</v>
      </c>
      <c r="G196" s="118" t="n">
        <v>9990</v>
      </c>
      <c r="H196" s="118" t="n">
        <v>4</v>
      </c>
      <c r="I196" s="393" t="n">
        <v>43385.59930555556</v>
      </c>
      <c r="J196" s="3" t="s">
        <v>152</v>
      </c>
      <c r="K196" s="171">
        <f>VLOOKUP(D196,Base!D:E,2,0)</f>
        <v/>
      </c>
    </row>
    <row customHeight="1" ht="15" r="197" s="183" spans="1:15">
      <c r="A197" s="37">
        <f>E197</f>
        <v/>
      </c>
      <c r="B197" s="117" t="s">
        <v>148</v>
      </c>
      <c r="C197" s="117" t="s">
        <v>51</v>
      </c>
      <c r="D197" s="117" t="s">
        <v>57</v>
      </c>
      <c r="E197" s="117" t="n">
        <v>5643210</v>
      </c>
      <c r="F197" s="117" t="s">
        <v>151</v>
      </c>
      <c r="G197" s="118" t="n">
        <v>9490</v>
      </c>
      <c r="H197" s="118" t="n">
        <v>6</v>
      </c>
      <c r="I197" s="393" t="n">
        <v>43385.59930555556</v>
      </c>
      <c r="J197" s="3" t="s">
        <v>152</v>
      </c>
      <c r="K197" s="171">
        <f>VLOOKUP(D197,Base!D:E,2,0)</f>
        <v/>
      </c>
    </row>
    <row customHeight="1" ht="15" r="198" s="183" spans="1:15">
      <c r="A198" s="37">
        <f>E198</f>
        <v/>
      </c>
      <c r="B198" s="117" t="s">
        <v>148</v>
      </c>
      <c r="C198" s="117" t="s">
        <v>58</v>
      </c>
      <c r="D198" s="117" t="s">
        <v>59</v>
      </c>
      <c r="E198" s="117" t="n">
        <v>5643210</v>
      </c>
      <c r="F198" s="117" t="s">
        <v>151</v>
      </c>
      <c r="G198" s="118" t="n">
        <v>9490</v>
      </c>
      <c r="H198" s="118" t="n">
        <v>6</v>
      </c>
      <c r="I198" s="393" t="n">
        <v>43385.59930555556</v>
      </c>
      <c r="J198" s="3" t="s">
        <v>152</v>
      </c>
      <c r="K198" s="171">
        <f>VLOOKUP(D198,Base!D:E,2,0)</f>
        <v/>
      </c>
    </row>
    <row customHeight="1" ht="15" r="199" s="183" spans="1:15">
      <c r="A199" s="37">
        <f>E199</f>
        <v/>
      </c>
      <c r="B199" s="117" t="s">
        <v>148</v>
      </c>
      <c r="C199" s="117" t="s">
        <v>58</v>
      </c>
      <c r="D199" s="117" t="s">
        <v>60</v>
      </c>
      <c r="E199" s="117" t="n">
        <v>5643210</v>
      </c>
      <c r="F199" s="117" t="s">
        <v>151</v>
      </c>
      <c r="G199" s="118" t="n">
        <v>9990</v>
      </c>
      <c r="H199" s="118" t="n">
        <v>6</v>
      </c>
      <c r="I199" s="393" t="n">
        <v>43385.59930555556</v>
      </c>
      <c r="J199" s="3" t="s">
        <v>152</v>
      </c>
      <c r="K199" s="171">
        <f>VLOOKUP(D199,Base!D:E,2,0)</f>
        <v/>
      </c>
    </row>
    <row customHeight="1" ht="15" r="200" s="183" spans="1:15">
      <c r="A200" s="37">
        <f>E200</f>
        <v/>
      </c>
      <c r="B200" s="117" t="s">
        <v>148</v>
      </c>
      <c r="C200" s="117" t="s">
        <v>58</v>
      </c>
      <c r="D200" s="117" t="s">
        <v>61</v>
      </c>
      <c r="E200" s="117" t="n">
        <v>5643210</v>
      </c>
      <c r="F200" s="117" t="s">
        <v>151</v>
      </c>
      <c r="G200" s="118" t="n">
        <v>7990</v>
      </c>
      <c r="H200" s="118" t="n">
        <v>5</v>
      </c>
      <c r="I200" s="393" t="n">
        <v>43385.59930555556</v>
      </c>
      <c r="J200" s="3" t="s">
        <v>152</v>
      </c>
      <c r="K200" s="171">
        <f>VLOOKUP(D200,Base!D:E,2,0)</f>
        <v/>
      </c>
    </row>
    <row customHeight="1" ht="15" r="201" s="183" spans="1:15">
      <c r="A201" s="37">
        <f>E201</f>
        <v/>
      </c>
      <c r="B201" s="117" t="s">
        <v>148</v>
      </c>
      <c r="C201" s="117" t="s">
        <v>58</v>
      </c>
      <c r="D201" s="117" t="s">
        <v>62</v>
      </c>
      <c r="E201" s="117" t="n">
        <v>5643210</v>
      </c>
      <c r="F201" s="117" t="s">
        <v>151</v>
      </c>
      <c r="G201" s="118" t="n">
        <v>9990</v>
      </c>
      <c r="H201" s="118" t="n">
        <v>6</v>
      </c>
      <c r="I201" s="393" t="n">
        <v>43385.59930555556</v>
      </c>
      <c r="J201" s="3" t="s">
        <v>152</v>
      </c>
      <c r="K201" s="171">
        <f>VLOOKUP(D201,Base!D:E,2,0)</f>
        <v/>
      </c>
    </row>
    <row customHeight="1" ht="15" r="202" s="183" spans="1:15">
      <c r="A202" s="37">
        <f>E202</f>
        <v/>
      </c>
      <c r="B202" s="117" t="s">
        <v>148</v>
      </c>
      <c r="C202" s="117" t="s">
        <v>63</v>
      </c>
      <c r="D202" s="117" t="s">
        <v>64</v>
      </c>
      <c r="E202" s="117" t="n">
        <v>5643210</v>
      </c>
      <c r="F202" s="117" t="s">
        <v>151</v>
      </c>
      <c r="G202" s="118" t="n">
        <v>10490</v>
      </c>
      <c r="H202" s="118" t="n">
        <v>6</v>
      </c>
      <c r="I202" s="393" t="n">
        <v>43385.59930555556</v>
      </c>
      <c r="J202" s="3" t="s">
        <v>152</v>
      </c>
      <c r="K202" s="171">
        <f>VLOOKUP(D202,Base!D:E,2,0)</f>
        <v/>
      </c>
    </row>
    <row customHeight="1" ht="15" r="203" s="183" spans="1:15">
      <c r="A203" s="37">
        <f>E203</f>
        <v/>
      </c>
      <c r="B203" s="117" t="s">
        <v>148</v>
      </c>
      <c r="C203" s="117" t="s">
        <v>63</v>
      </c>
      <c r="D203" s="117" t="s">
        <v>65</v>
      </c>
      <c r="E203" s="117" t="n">
        <v>5643210</v>
      </c>
      <c r="F203" s="117" t="s">
        <v>151</v>
      </c>
      <c r="G203" s="118" t="n">
        <v>10990</v>
      </c>
      <c r="H203" s="118" t="n">
        <v>5</v>
      </c>
      <c r="I203" s="393" t="n">
        <v>43385.59930555556</v>
      </c>
      <c r="J203" s="3" t="s">
        <v>152</v>
      </c>
      <c r="K203" s="171">
        <f>VLOOKUP(D203,Base!D:E,2,0)</f>
        <v/>
      </c>
    </row>
    <row customHeight="1" ht="15" r="204" s="183" spans="1:15">
      <c r="A204" s="37">
        <f>E204</f>
        <v/>
      </c>
      <c r="B204" s="117" t="s">
        <v>148</v>
      </c>
      <c r="C204" s="117" t="s">
        <v>63</v>
      </c>
      <c r="D204" s="117" t="s">
        <v>66</v>
      </c>
      <c r="E204" s="117" t="n">
        <v>5643210</v>
      </c>
      <c r="F204" s="117" t="s">
        <v>151</v>
      </c>
      <c r="G204" s="118" t="n">
        <v>9490</v>
      </c>
      <c r="H204" s="118" t="n">
        <v>5</v>
      </c>
      <c r="I204" s="393" t="n">
        <v>43385.59930555556</v>
      </c>
      <c r="J204" s="3" t="s">
        <v>152</v>
      </c>
      <c r="K204" s="171">
        <f>VLOOKUP(D204,Base!D:E,2,0)</f>
        <v/>
      </c>
    </row>
    <row customHeight="1" ht="15" r="205" s="183" spans="1:15">
      <c r="A205" s="37">
        <f>E205</f>
        <v/>
      </c>
      <c r="B205" s="117" t="s">
        <v>148</v>
      </c>
      <c r="C205" s="117" t="s">
        <v>63</v>
      </c>
      <c r="D205" s="117" t="s">
        <v>67</v>
      </c>
      <c r="E205" s="117" t="n">
        <v>5643210</v>
      </c>
      <c r="F205" s="117" t="s">
        <v>151</v>
      </c>
      <c r="G205" s="118" t="n">
        <v>7990</v>
      </c>
      <c r="H205" s="118" t="n">
        <v>5</v>
      </c>
      <c r="I205" s="393" t="n">
        <v>43385.59930555556</v>
      </c>
      <c r="J205" s="3" t="s">
        <v>152</v>
      </c>
      <c r="K205" s="171">
        <f>VLOOKUP(D205,Base!D:E,2,0)</f>
        <v/>
      </c>
    </row>
    <row customHeight="1" ht="15" r="206" s="183" spans="1:15">
      <c r="A206" s="37">
        <f>E206</f>
        <v/>
      </c>
      <c r="B206" s="117" t="s">
        <v>148</v>
      </c>
      <c r="C206" s="117" t="s">
        <v>68</v>
      </c>
      <c r="D206" s="117" t="s">
        <v>69</v>
      </c>
      <c r="E206" s="117" t="n">
        <v>5643210</v>
      </c>
      <c r="F206" s="117" t="s">
        <v>151</v>
      </c>
      <c r="G206" s="118" t="n">
        <v>8990</v>
      </c>
      <c r="H206" s="118" t="n">
        <v>5</v>
      </c>
      <c r="I206" s="393" t="n">
        <v>43385.59930555556</v>
      </c>
      <c r="J206" s="3" t="s">
        <v>152</v>
      </c>
      <c r="K206" s="171">
        <f>VLOOKUP(D206,Base!D:E,2,0)</f>
        <v/>
      </c>
    </row>
    <row customHeight="1" ht="15" r="207" s="183" spans="1:15">
      <c r="A207" s="37">
        <f>E207</f>
        <v/>
      </c>
      <c r="B207" s="117" t="s">
        <v>148</v>
      </c>
      <c r="C207" s="117" t="s">
        <v>68</v>
      </c>
      <c r="D207" s="117" t="s">
        <v>70</v>
      </c>
      <c r="E207" s="117" t="n">
        <v>5643210</v>
      </c>
      <c r="F207" s="117" t="s">
        <v>151</v>
      </c>
      <c r="G207" s="118" t="n">
        <v>8990</v>
      </c>
      <c r="H207" s="118" t="n">
        <v>5</v>
      </c>
      <c r="I207" s="393" t="n">
        <v>43385.59861111111</v>
      </c>
      <c r="J207" s="3" t="s">
        <v>152</v>
      </c>
      <c r="K207" s="171">
        <f>VLOOKUP(D207,Base!D:E,2,0)</f>
        <v/>
      </c>
    </row>
    <row customHeight="1" ht="15" r="208" s="183" spans="1:15">
      <c r="A208" s="37">
        <f>E208</f>
        <v/>
      </c>
      <c r="B208" s="117" t="s">
        <v>148</v>
      </c>
      <c r="C208" s="117" t="s">
        <v>71</v>
      </c>
      <c r="D208" s="117" t="s">
        <v>72</v>
      </c>
      <c r="E208" s="117" t="n">
        <v>5643210</v>
      </c>
      <c r="F208" s="117" t="s">
        <v>151</v>
      </c>
      <c r="G208" s="118" t="n">
        <v>10490</v>
      </c>
      <c r="H208" s="118" t="n">
        <v>17</v>
      </c>
      <c r="I208" s="393" t="n">
        <v>43385.59930555556</v>
      </c>
      <c r="J208" s="3" t="s">
        <v>152</v>
      </c>
      <c r="K208" s="171">
        <f>VLOOKUP(D208,Base!D:E,2,0)</f>
        <v/>
      </c>
    </row>
    <row customHeight="1" ht="15" r="209" s="183" spans="1:15">
      <c r="A209" s="37">
        <f>E209</f>
        <v/>
      </c>
      <c r="B209" s="117" t="s">
        <v>148</v>
      </c>
      <c r="C209" s="117" t="s">
        <v>73</v>
      </c>
      <c r="D209" s="117" t="s">
        <v>74</v>
      </c>
      <c r="E209" s="117" t="n">
        <v>5643210</v>
      </c>
      <c r="F209" s="117" t="s">
        <v>151</v>
      </c>
      <c r="G209" s="118" t="n">
        <v>12490</v>
      </c>
      <c r="H209" s="118" t="n">
        <v>7</v>
      </c>
      <c r="I209" s="393" t="n">
        <v>43385.59861111111</v>
      </c>
      <c r="J209" s="3" t="s">
        <v>152</v>
      </c>
      <c r="K209" s="171">
        <f>VLOOKUP(D209,Base!D:E,2,0)</f>
        <v/>
      </c>
    </row>
    <row customHeight="1" ht="15" r="210" s="183" spans="1:15">
      <c r="A210" s="37">
        <f>E210</f>
        <v/>
      </c>
      <c r="B210" s="117" t="s">
        <v>148</v>
      </c>
      <c r="C210" s="117" t="s">
        <v>75</v>
      </c>
      <c r="D210" s="117" t="s">
        <v>76</v>
      </c>
      <c r="E210" s="117" t="n">
        <v>5643210</v>
      </c>
      <c r="F210" s="117" t="s">
        <v>151</v>
      </c>
      <c r="G210" s="118" t="n">
        <v>4990</v>
      </c>
      <c r="H210" s="118" t="n">
        <v>4</v>
      </c>
      <c r="I210" s="393" t="n">
        <v>43385.59930555556</v>
      </c>
      <c r="J210" s="3" t="s">
        <v>152</v>
      </c>
      <c r="K210" s="171">
        <f>VLOOKUP(D210,Base!D:E,2,0)</f>
        <v/>
      </c>
    </row>
    <row customHeight="1" ht="15" r="211" s="183" spans="1:15">
      <c r="A211" s="37">
        <f>E211</f>
        <v/>
      </c>
      <c r="B211" s="117" t="s">
        <v>148</v>
      </c>
      <c r="C211" s="117" t="s">
        <v>75</v>
      </c>
      <c r="D211" s="117" t="s">
        <v>77</v>
      </c>
      <c r="E211" s="117" t="n">
        <v>5643210</v>
      </c>
      <c r="F211" s="117" t="s">
        <v>151</v>
      </c>
      <c r="G211" s="118" t="n">
        <v>6490</v>
      </c>
      <c r="H211" s="118" t="n">
        <v>4</v>
      </c>
      <c r="I211" s="393" t="n">
        <v>43385.59930555556</v>
      </c>
      <c r="J211" s="3" t="s">
        <v>152</v>
      </c>
      <c r="K211" s="171">
        <f>VLOOKUP(D211,Base!D:E,2,0)</f>
        <v/>
      </c>
    </row>
    <row customHeight="1" ht="15" r="212" s="183" spans="1:15">
      <c r="A212" s="37">
        <f>E212</f>
        <v/>
      </c>
      <c r="B212" s="117" t="s">
        <v>148</v>
      </c>
      <c r="C212" s="117" t="s">
        <v>75</v>
      </c>
      <c r="D212" s="117" t="s">
        <v>78</v>
      </c>
      <c r="E212" s="117" t="n">
        <v>5643210</v>
      </c>
      <c r="F212" s="117" t="s">
        <v>151</v>
      </c>
      <c r="G212" s="118" t="n">
        <v>7490</v>
      </c>
      <c r="H212" s="118" t="n">
        <v>4</v>
      </c>
      <c r="I212" s="393" t="n">
        <v>43385.59930555556</v>
      </c>
      <c r="J212" s="3" t="s">
        <v>152</v>
      </c>
      <c r="K212" s="171">
        <f>VLOOKUP(D212,Base!D:E,2,0)</f>
        <v/>
      </c>
    </row>
    <row customHeight="1" ht="15" r="213" s="183" spans="1:15">
      <c r="A213" s="37">
        <f>E213</f>
        <v/>
      </c>
      <c r="B213" s="117" t="s">
        <v>148</v>
      </c>
      <c r="C213" s="117" t="s">
        <v>75</v>
      </c>
      <c r="D213" s="117" t="s">
        <v>79</v>
      </c>
      <c r="E213" s="117" t="n">
        <v>5643210</v>
      </c>
      <c r="F213" s="117" t="s">
        <v>151</v>
      </c>
      <c r="G213" s="118" t="n">
        <v>4990</v>
      </c>
      <c r="H213" s="118" t="n">
        <v>4</v>
      </c>
      <c r="I213" s="393" t="n">
        <v>43385.59930555556</v>
      </c>
      <c r="J213" s="3" t="s">
        <v>152</v>
      </c>
      <c r="K213" s="171">
        <f>VLOOKUP(D213,Base!D:E,2,0)</f>
        <v/>
      </c>
    </row>
    <row customHeight="1" ht="15" r="214" s="183" spans="1:15">
      <c r="A214" s="37">
        <f>E214</f>
        <v/>
      </c>
      <c r="B214" s="117" t="s">
        <v>148</v>
      </c>
      <c r="C214" s="117" t="s">
        <v>75</v>
      </c>
      <c r="D214" s="117" t="s">
        <v>80</v>
      </c>
      <c r="E214" s="117" t="n">
        <v>5643210</v>
      </c>
      <c r="F214" s="117" t="s">
        <v>151</v>
      </c>
      <c r="G214" s="118" t="n">
        <v>4990</v>
      </c>
      <c r="H214" s="118" t="n">
        <v>4</v>
      </c>
      <c r="I214" s="393" t="n">
        <v>43385.59930555556</v>
      </c>
      <c r="J214" s="3" t="s">
        <v>152</v>
      </c>
      <c r="K214" s="171">
        <f>VLOOKUP(D214,Base!D:E,2,0)</f>
        <v/>
      </c>
    </row>
    <row customHeight="1" ht="15" r="215" s="183" spans="1:15">
      <c r="A215" s="37">
        <f>E215</f>
        <v/>
      </c>
      <c r="B215" s="117" t="s">
        <v>148</v>
      </c>
      <c r="C215" s="117" t="s">
        <v>75</v>
      </c>
      <c r="D215" s="117" t="s">
        <v>81</v>
      </c>
      <c r="E215" s="117" t="n">
        <v>5643210</v>
      </c>
      <c r="F215" s="117" t="s">
        <v>151</v>
      </c>
      <c r="G215" s="118" t="n">
        <v>6990</v>
      </c>
      <c r="H215" s="118" t="n">
        <v>4</v>
      </c>
      <c r="I215" s="393" t="n">
        <v>43385.59930555556</v>
      </c>
      <c r="J215" s="3" t="s">
        <v>152</v>
      </c>
      <c r="K215" s="171">
        <f>VLOOKUP(D215,Base!D:E,2,0)</f>
        <v/>
      </c>
    </row>
    <row customHeight="1" ht="15" r="216" s="183" spans="1:15">
      <c r="A216" s="37">
        <f>E216</f>
        <v/>
      </c>
      <c r="B216" s="117" t="s">
        <v>148</v>
      </c>
      <c r="C216" s="117" t="s">
        <v>75</v>
      </c>
      <c r="D216" s="117" t="s">
        <v>82</v>
      </c>
      <c r="E216" s="117" t="n">
        <v>5643210</v>
      </c>
      <c r="F216" s="117" t="s">
        <v>151</v>
      </c>
      <c r="G216" s="118" t="n">
        <v>7990</v>
      </c>
      <c r="H216" s="118" t="n">
        <v>4</v>
      </c>
      <c r="I216" s="393" t="n">
        <v>43385.59861111111</v>
      </c>
      <c r="J216" s="3" t="s">
        <v>152</v>
      </c>
      <c r="K216" s="171">
        <f>VLOOKUP(D216,Base!D:E,2,0)</f>
        <v/>
      </c>
    </row>
    <row customHeight="1" ht="15" r="217" s="183" spans="1:15">
      <c r="A217" s="37">
        <f>E217</f>
        <v/>
      </c>
      <c r="B217" s="117" t="s">
        <v>148</v>
      </c>
      <c r="C217" s="117" t="s">
        <v>75</v>
      </c>
      <c r="D217" s="117" t="s">
        <v>83</v>
      </c>
      <c r="E217" s="117" t="n">
        <v>5643210</v>
      </c>
      <c r="F217" s="117" t="s">
        <v>151</v>
      </c>
      <c r="G217" s="118" t="n">
        <v>3990</v>
      </c>
      <c r="H217" s="118" t="n">
        <v>4</v>
      </c>
      <c r="I217" s="393" t="n">
        <v>43385.59930555556</v>
      </c>
      <c r="J217" s="3" t="s">
        <v>152</v>
      </c>
      <c r="K217" s="171">
        <f>VLOOKUP(D217,Base!D:E,2,0)</f>
        <v/>
      </c>
    </row>
    <row customHeight="1" ht="15" r="218" s="183" spans="1:15">
      <c r="A218" s="37">
        <f>E218</f>
        <v/>
      </c>
      <c r="B218" s="117" t="s">
        <v>148</v>
      </c>
      <c r="C218" s="117" t="s">
        <v>75</v>
      </c>
      <c r="D218" s="117" t="s">
        <v>84</v>
      </c>
      <c r="E218" s="117" t="n">
        <v>5643210</v>
      </c>
      <c r="F218" s="117" t="s">
        <v>151</v>
      </c>
      <c r="G218" s="118" t="n">
        <v>5990</v>
      </c>
      <c r="H218" s="118" t="n">
        <v>4</v>
      </c>
      <c r="I218" s="393" t="n">
        <v>43385.59930555556</v>
      </c>
      <c r="J218" s="3" t="s">
        <v>152</v>
      </c>
      <c r="K218" s="171">
        <f>VLOOKUP(D218,Base!D:E,2,0)</f>
        <v/>
      </c>
    </row>
    <row customHeight="1" ht="15" r="219" s="183" spans="1:15">
      <c r="A219" s="37">
        <f>E219</f>
        <v/>
      </c>
      <c r="B219" s="117" t="s">
        <v>148</v>
      </c>
      <c r="C219" s="117" t="s">
        <v>75</v>
      </c>
      <c r="D219" s="117" t="s">
        <v>85</v>
      </c>
      <c r="E219" s="117" t="n">
        <v>5643210</v>
      </c>
      <c r="F219" s="117" t="s">
        <v>151</v>
      </c>
      <c r="G219" s="118" t="n">
        <v>3990</v>
      </c>
      <c r="H219" s="118" t="n">
        <v>4</v>
      </c>
      <c r="I219" s="393" t="n">
        <v>43385.59861111111</v>
      </c>
      <c r="J219" s="3" t="s">
        <v>152</v>
      </c>
      <c r="K219" s="171">
        <f>VLOOKUP(D219,Base!D:E,2,0)</f>
        <v/>
      </c>
    </row>
    <row customHeight="1" ht="15" r="220" s="183" spans="1:15">
      <c r="A220" s="37">
        <f>E220</f>
        <v/>
      </c>
      <c r="B220" s="117" t="s">
        <v>148</v>
      </c>
      <c r="C220" s="117" t="s">
        <v>86</v>
      </c>
      <c r="D220" s="117" t="s">
        <v>87</v>
      </c>
      <c r="E220" s="117" t="n">
        <v>5643210</v>
      </c>
      <c r="F220" s="117" t="s">
        <v>151</v>
      </c>
      <c r="G220" s="118" t="n">
        <v>6990</v>
      </c>
      <c r="H220" s="118" t="n">
        <v>6</v>
      </c>
      <c r="I220" s="393" t="n">
        <v>43385.59930555556</v>
      </c>
      <c r="J220" s="3" t="s">
        <v>152</v>
      </c>
      <c r="K220" s="171">
        <f>VLOOKUP(D220,Base!D:E,2,0)</f>
        <v/>
      </c>
    </row>
    <row customHeight="1" ht="15" r="221" s="183" spans="1:15">
      <c r="A221" s="37">
        <f>E221</f>
        <v/>
      </c>
      <c r="B221" s="117" t="s">
        <v>148</v>
      </c>
      <c r="C221" s="117" t="s">
        <v>86</v>
      </c>
      <c r="D221" s="117" t="s">
        <v>88</v>
      </c>
      <c r="E221" s="117" t="n">
        <v>5643210</v>
      </c>
      <c r="F221" s="117" t="s">
        <v>151</v>
      </c>
      <c r="G221" s="118" t="n">
        <v>6490</v>
      </c>
      <c r="H221" s="118" t="n">
        <v>5</v>
      </c>
      <c r="I221" s="393" t="n">
        <v>43385.59930555556</v>
      </c>
      <c r="J221" s="3" t="s">
        <v>152</v>
      </c>
      <c r="K221" s="171">
        <f>VLOOKUP(D221,Base!D:E,2,0)</f>
        <v/>
      </c>
    </row>
    <row customHeight="1" ht="15" r="222" s="183" spans="1:15">
      <c r="A222" s="37">
        <f>E222</f>
        <v/>
      </c>
      <c r="B222" s="117" t="s">
        <v>148</v>
      </c>
      <c r="C222" s="117" t="s">
        <v>86</v>
      </c>
      <c r="D222" s="117" t="s">
        <v>89</v>
      </c>
      <c r="E222" s="117" t="n">
        <v>5643210</v>
      </c>
      <c r="F222" s="117" t="s">
        <v>151</v>
      </c>
      <c r="G222" s="118" t="n">
        <v>5490</v>
      </c>
      <c r="H222" s="118" t="n">
        <v>5</v>
      </c>
      <c r="I222" s="393" t="n">
        <v>43385.59930555556</v>
      </c>
      <c r="J222" s="3" t="s">
        <v>152</v>
      </c>
      <c r="K222" s="171">
        <f>VLOOKUP(D222,Base!D:E,2,0)</f>
        <v/>
      </c>
    </row>
    <row customHeight="1" ht="15" r="223" s="183" spans="1:15">
      <c r="A223" s="37">
        <f>E223</f>
        <v/>
      </c>
      <c r="B223" s="117" t="s">
        <v>148</v>
      </c>
      <c r="C223" s="117" t="s">
        <v>86</v>
      </c>
      <c r="D223" s="117" t="s">
        <v>90</v>
      </c>
      <c r="E223" s="117" t="n">
        <v>5643210</v>
      </c>
      <c r="F223" s="117" t="s">
        <v>151</v>
      </c>
      <c r="G223" s="118" t="n">
        <v>4990</v>
      </c>
      <c r="H223" s="118" t="n">
        <v>5</v>
      </c>
      <c r="I223" s="393" t="n">
        <v>43385.59861111111</v>
      </c>
      <c r="J223" s="3" t="s">
        <v>152</v>
      </c>
      <c r="K223" s="171">
        <f>VLOOKUP(D223,Base!D:E,2,0)</f>
        <v/>
      </c>
    </row>
    <row customHeight="1" ht="15" r="224" s="183" spans="1:15">
      <c r="A224" s="37">
        <f>E224</f>
        <v/>
      </c>
      <c r="B224" s="117" t="s">
        <v>148</v>
      </c>
      <c r="C224" s="117" t="s">
        <v>86</v>
      </c>
      <c r="D224" s="117" t="s">
        <v>91</v>
      </c>
      <c r="E224" s="117" t="n">
        <v>5643210</v>
      </c>
      <c r="F224" s="117" t="s">
        <v>151</v>
      </c>
      <c r="G224" s="118" t="n">
        <v>6490</v>
      </c>
      <c r="H224" s="118" t="n">
        <v>5</v>
      </c>
      <c r="I224" s="393" t="n">
        <v>43385.59930555556</v>
      </c>
      <c r="J224" s="3" t="s">
        <v>152</v>
      </c>
      <c r="K224" s="171">
        <f>VLOOKUP(D224,Base!D:E,2,0)</f>
        <v/>
      </c>
    </row>
    <row customHeight="1" ht="15" r="225" s="183" spans="1:15">
      <c r="A225" s="37">
        <f>E225</f>
        <v/>
      </c>
      <c r="B225" s="117" t="s">
        <v>148</v>
      </c>
      <c r="C225" s="117" t="s">
        <v>86</v>
      </c>
      <c r="D225" s="117" t="s">
        <v>92</v>
      </c>
      <c r="E225" s="117" t="n">
        <v>5643210</v>
      </c>
      <c r="F225" s="117" t="s">
        <v>151</v>
      </c>
      <c r="G225" s="118" t="n">
        <v>6490</v>
      </c>
      <c r="H225" s="118" t="n">
        <v>6</v>
      </c>
      <c r="I225" s="393" t="n">
        <v>43385.59930555556</v>
      </c>
      <c r="J225" s="3" t="s">
        <v>152</v>
      </c>
      <c r="K225" s="171">
        <f>VLOOKUP(D225,Base!D:E,2,0)</f>
        <v/>
      </c>
    </row>
    <row customHeight="1" ht="15" r="226" s="183" spans="1:15">
      <c r="A226" s="37">
        <f>E226</f>
        <v/>
      </c>
      <c r="B226" s="117" t="s">
        <v>148</v>
      </c>
      <c r="C226" s="117" t="s">
        <v>86</v>
      </c>
      <c r="D226" s="117" t="s">
        <v>93</v>
      </c>
      <c r="E226" s="117" t="n">
        <v>5643210</v>
      </c>
      <c r="F226" s="117" t="s">
        <v>151</v>
      </c>
      <c r="G226" s="118" t="n">
        <v>5490</v>
      </c>
      <c r="H226" s="118" t="n">
        <v>5</v>
      </c>
      <c r="I226" s="393" t="n">
        <v>43385.59930555556</v>
      </c>
      <c r="J226" s="3" t="s">
        <v>152</v>
      </c>
      <c r="K226" s="171">
        <f>VLOOKUP(D226,Base!D:E,2,0)</f>
        <v/>
      </c>
    </row>
    <row customHeight="1" ht="15" r="227" s="183" spans="1:15">
      <c r="A227" s="37">
        <f>E227</f>
        <v/>
      </c>
      <c r="B227" s="117" t="s">
        <v>148</v>
      </c>
      <c r="C227" s="117" t="s">
        <v>86</v>
      </c>
      <c r="D227" s="117" t="s">
        <v>94</v>
      </c>
      <c r="E227" s="117" t="n">
        <v>5643210</v>
      </c>
      <c r="F227" s="117" t="s">
        <v>151</v>
      </c>
      <c r="G227" s="118" t="n">
        <v>5990</v>
      </c>
      <c r="H227" s="118" t="n">
        <v>5</v>
      </c>
      <c r="I227" s="393" t="n">
        <v>43385.59861111111</v>
      </c>
      <c r="J227" s="3" t="s">
        <v>152</v>
      </c>
      <c r="K227" s="171">
        <f>VLOOKUP(D227,Base!D:E,2,0)</f>
        <v/>
      </c>
    </row>
    <row customHeight="1" ht="15" r="228" s="183" spans="1:15">
      <c r="A228" s="37">
        <f>E228</f>
        <v/>
      </c>
      <c r="B228" s="117" t="s">
        <v>148</v>
      </c>
      <c r="C228" s="117" t="s">
        <v>86</v>
      </c>
      <c r="D228" s="117" t="s">
        <v>95</v>
      </c>
      <c r="E228" s="117" t="n">
        <v>5643210</v>
      </c>
      <c r="F228" s="117" t="s">
        <v>151</v>
      </c>
      <c r="G228" s="118" t="n">
        <v>5990</v>
      </c>
      <c r="H228" s="118" t="n">
        <v>5</v>
      </c>
      <c r="I228" s="393" t="n">
        <v>43385.59930555556</v>
      </c>
      <c r="J228" s="3" t="s">
        <v>152</v>
      </c>
      <c r="K228" s="171">
        <f>VLOOKUP(D228,Base!D:E,2,0)</f>
        <v/>
      </c>
    </row>
    <row customHeight="1" ht="15" r="229" s="183" spans="1:15">
      <c r="A229" s="37">
        <f>E229</f>
        <v/>
      </c>
      <c r="B229" s="117" t="s">
        <v>148</v>
      </c>
      <c r="C229" s="117" t="s">
        <v>96</v>
      </c>
      <c r="D229" s="117" t="s">
        <v>97</v>
      </c>
      <c r="E229" s="117" t="n">
        <v>5643210</v>
      </c>
      <c r="F229" s="117" t="s">
        <v>151</v>
      </c>
      <c r="G229" s="118" t="n">
        <v>5990</v>
      </c>
      <c r="H229" s="118" t="n">
        <v>6</v>
      </c>
      <c r="I229" s="393" t="n">
        <v>43385.59930555556</v>
      </c>
      <c r="J229" s="3" t="s">
        <v>152</v>
      </c>
      <c r="K229" s="171">
        <f>VLOOKUP(D229,Base!D:E,2,0)</f>
        <v/>
      </c>
    </row>
    <row customHeight="1" ht="15" r="230" s="183" spans="1:15">
      <c r="A230" s="37">
        <f>E230</f>
        <v/>
      </c>
      <c r="B230" s="117" t="s">
        <v>148</v>
      </c>
      <c r="C230" s="117" t="s">
        <v>96</v>
      </c>
      <c r="D230" s="117" t="s">
        <v>98</v>
      </c>
      <c r="E230" s="117" t="n">
        <v>5643210</v>
      </c>
      <c r="F230" s="117" t="s">
        <v>151</v>
      </c>
      <c r="G230" s="118" t="n">
        <v>4990</v>
      </c>
      <c r="H230" s="118" t="n">
        <v>4</v>
      </c>
      <c r="I230" s="393" t="n">
        <v>43385.59930555556</v>
      </c>
      <c r="J230" s="3" t="s">
        <v>152</v>
      </c>
      <c r="K230" s="171">
        <f>VLOOKUP(D230,Base!D:E,2,0)</f>
        <v/>
      </c>
    </row>
    <row customHeight="1" ht="15" r="231" s="183" spans="1:15">
      <c r="A231" s="37">
        <f>E231</f>
        <v/>
      </c>
      <c r="B231" s="117" t="s">
        <v>148</v>
      </c>
      <c r="C231" s="117" t="s">
        <v>96</v>
      </c>
      <c r="D231" s="117" t="s">
        <v>99</v>
      </c>
      <c r="E231" s="117" t="n">
        <v>5643210</v>
      </c>
      <c r="F231" s="117" t="s">
        <v>151</v>
      </c>
      <c r="G231" s="118" t="n">
        <v>5990</v>
      </c>
      <c r="H231" s="118" t="n">
        <v>4</v>
      </c>
      <c r="I231" s="393" t="n">
        <v>43385.59930555556</v>
      </c>
      <c r="J231" s="3" t="s">
        <v>152</v>
      </c>
      <c r="K231" s="171">
        <f>VLOOKUP(D231,Base!D:E,2,0)</f>
        <v/>
      </c>
    </row>
    <row customHeight="1" ht="15" r="232" s="183" spans="1:15">
      <c r="A232" s="37">
        <f>E232</f>
        <v/>
      </c>
      <c r="B232" s="117" t="s">
        <v>148</v>
      </c>
      <c r="C232" s="117" t="s">
        <v>96</v>
      </c>
      <c r="D232" s="117" t="s">
        <v>100</v>
      </c>
      <c r="E232" s="117" t="n">
        <v>5643210</v>
      </c>
      <c r="F232" s="117" t="s">
        <v>151</v>
      </c>
      <c r="G232" s="118" t="n">
        <v>6990</v>
      </c>
      <c r="H232" s="118" t="n">
        <v>4</v>
      </c>
      <c r="I232" s="393" t="n">
        <v>43385.59930555556</v>
      </c>
      <c r="J232" s="3" t="s">
        <v>152</v>
      </c>
      <c r="K232" s="171">
        <f>VLOOKUP(D232,Base!D:E,2,0)</f>
        <v/>
      </c>
    </row>
    <row customHeight="1" ht="15" r="233" s="183" spans="1:15">
      <c r="A233" s="37">
        <f>E233</f>
        <v/>
      </c>
      <c r="B233" s="117" t="s">
        <v>148</v>
      </c>
      <c r="C233" s="117" t="s">
        <v>101</v>
      </c>
      <c r="D233" s="117" t="s">
        <v>102</v>
      </c>
      <c r="E233" s="117" t="n">
        <v>5643210</v>
      </c>
      <c r="F233" s="117" t="s">
        <v>151</v>
      </c>
      <c r="G233" s="118" t="n">
        <v>5490</v>
      </c>
      <c r="H233" s="118" t="n">
        <v>4</v>
      </c>
      <c r="I233" s="393" t="n">
        <v>43385.59930555556</v>
      </c>
      <c r="J233" s="3" t="s">
        <v>152</v>
      </c>
      <c r="K233" s="171">
        <f>VLOOKUP(D233,Base!D:E,2,0)</f>
        <v/>
      </c>
    </row>
    <row customHeight="1" ht="15" r="234" s="183" spans="1:15">
      <c r="A234" s="37">
        <f>E234</f>
        <v/>
      </c>
      <c r="B234" s="117" t="s">
        <v>148</v>
      </c>
      <c r="C234" s="117" t="s">
        <v>101</v>
      </c>
      <c r="D234" s="117" t="s">
        <v>103</v>
      </c>
      <c r="E234" s="117" t="n">
        <v>5643210</v>
      </c>
      <c r="F234" s="117" t="s">
        <v>151</v>
      </c>
      <c r="G234" s="118" t="n">
        <v>8490</v>
      </c>
      <c r="H234" s="118" t="n">
        <v>4</v>
      </c>
      <c r="I234" s="393" t="n">
        <v>43385.59930555556</v>
      </c>
      <c r="J234" s="3" t="s">
        <v>152</v>
      </c>
      <c r="K234" s="171">
        <f>VLOOKUP(D234,Base!D:E,2,0)</f>
        <v/>
      </c>
    </row>
    <row customHeight="1" ht="15" r="235" s="183" spans="1:15">
      <c r="A235" s="37">
        <f>E235</f>
        <v/>
      </c>
      <c r="B235" s="117" t="s">
        <v>148</v>
      </c>
      <c r="C235" s="117" t="s">
        <v>101</v>
      </c>
      <c r="D235" s="117" t="s">
        <v>104</v>
      </c>
      <c r="E235" s="117" t="n">
        <v>5643210</v>
      </c>
      <c r="F235" s="117" t="s">
        <v>151</v>
      </c>
      <c r="G235" s="118" t="n">
        <v>4990</v>
      </c>
      <c r="H235" s="118" t="n">
        <v>4</v>
      </c>
      <c r="I235" s="393" t="n">
        <v>43385.59861111111</v>
      </c>
      <c r="J235" s="3" t="s">
        <v>152</v>
      </c>
      <c r="K235" s="171">
        <f>VLOOKUP(D235,Base!D:E,2,0)</f>
        <v/>
      </c>
    </row>
    <row customHeight="1" ht="15" r="236" s="183" spans="1:15">
      <c r="A236" s="37">
        <f>E236</f>
        <v/>
      </c>
      <c r="B236" s="117" t="s">
        <v>148</v>
      </c>
      <c r="C236" s="117" t="s">
        <v>105</v>
      </c>
      <c r="D236" s="117" t="s">
        <v>106</v>
      </c>
      <c r="E236" s="117" t="n">
        <v>5643210</v>
      </c>
      <c r="F236" s="117" t="s">
        <v>151</v>
      </c>
      <c r="G236" s="118" t="n">
        <v>4990</v>
      </c>
      <c r="H236" s="118" t="n">
        <v>4</v>
      </c>
      <c r="I236" s="393" t="n">
        <v>43385.59930555556</v>
      </c>
      <c r="J236" s="3" t="s">
        <v>152</v>
      </c>
      <c r="K236" s="171">
        <f>VLOOKUP(D236,Base!D:E,2,0)</f>
        <v/>
      </c>
    </row>
    <row customHeight="1" ht="15" r="237" s="183" spans="1:15">
      <c r="A237" s="37">
        <f>E237</f>
        <v/>
      </c>
      <c r="B237" s="117" t="s">
        <v>148</v>
      </c>
      <c r="C237" s="117" t="s">
        <v>105</v>
      </c>
      <c r="D237" s="117" t="s">
        <v>107</v>
      </c>
      <c r="E237" s="117" t="n">
        <v>5643210</v>
      </c>
      <c r="F237" s="117" t="s">
        <v>151</v>
      </c>
      <c r="G237" s="118" t="n">
        <v>3990</v>
      </c>
      <c r="H237" s="118" t="n">
        <v>4</v>
      </c>
      <c r="I237" s="393" t="n">
        <v>43385.59861111111</v>
      </c>
      <c r="J237" s="3" t="s">
        <v>152</v>
      </c>
      <c r="K237" s="171">
        <f>VLOOKUP(D237,Base!D:E,2,0)</f>
        <v/>
      </c>
    </row>
    <row customHeight="1" ht="15" r="238" s="183" spans="1:15">
      <c r="A238" s="37">
        <f>E238</f>
        <v/>
      </c>
      <c r="B238" s="117" t="s">
        <v>148</v>
      </c>
      <c r="C238" s="117" t="s">
        <v>105</v>
      </c>
      <c r="D238" s="117" t="s">
        <v>108</v>
      </c>
      <c r="E238" s="117" t="n">
        <v>5643210</v>
      </c>
      <c r="F238" s="117" t="s">
        <v>151</v>
      </c>
      <c r="G238" s="118" t="n">
        <v>3990</v>
      </c>
      <c r="H238" s="118" t="n">
        <v>4</v>
      </c>
      <c r="I238" s="393" t="n">
        <v>43385.59930555556</v>
      </c>
      <c r="J238" s="3" t="s">
        <v>152</v>
      </c>
      <c r="K238" s="171">
        <f>VLOOKUP(D238,Base!D:E,2,0)</f>
        <v/>
      </c>
    </row>
    <row customHeight="1" ht="15" r="239" s="183" spans="1:15">
      <c r="A239" s="37">
        <f>E239</f>
        <v/>
      </c>
      <c r="B239" s="117" t="s">
        <v>148</v>
      </c>
      <c r="C239" s="117" t="s">
        <v>105</v>
      </c>
      <c r="D239" s="117" t="s">
        <v>109</v>
      </c>
      <c r="E239" s="117" t="n">
        <v>5643210</v>
      </c>
      <c r="F239" s="117" t="s">
        <v>151</v>
      </c>
      <c r="G239" s="118" t="n">
        <v>4490</v>
      </c>
      <c r="H239" s="118" t="n">
        <v>4</v>
      </c>
      <c r="I239" s="393" t="n">
        <v>43385.59930555556</v>
      </c>
      <c r="J239" s="3" t="s">
        <v>152</v>
      </c>
      <c r="K239" s="171">
        <f>VLOOKUP(D239,Base!D:E,2,0)</f>
        <v/>
      </c>
    </row>
    <row customHeight="1" ht="15" r="240" s="183" spans="1:15">
      <c r="A240" s="37">
        <f>E240</f>
        <v/>
      </c>
      <c r="B240" s="117" t="s">
        <v>148</v>
      </c>
      <c r="C240" s="117" t="s">
        <v>105</v>
      </c>
      <c r="D240" s="117" t="s">
        <v>110</v>
      </c>
      <c r="E240" s="117" t="n">
        <v>5643210</v>
      </c>
      <c r="F240" s="117" t="s">
        <v>151</v>
      </c>
      <c r="G240" s="118" t="n">
        <v>3990</v>
      </c>
      <c r="H240" s="118" t="n">
        <v>4</v>
      </c>
      <c r="I240" s="393" t="n">
        <v>43385.59930555556</v>
      </c>
      <c r="J240" s="3" t="s">
        <v>152</v>
      </c>
      <c r="K240" s="171">
        <f>VLOOKUP(D240,Base!D:E,2,0)</f>
        <v/>
      </c>
    </row>
    <row customHeight="1" ht="15" r="241" s="183" spans="1:15">
      <c r="A241" s="37">
        <f>E241</f>
        <v/>
      </c>
      <c r="B241" s="117" t="s">
        <v>148</v>
      </c>
      <c r="C241" s="117" t="s">
        <v>105</v>
      </c>
      <c r="D241" s="117" t="s">
        <v>111</v>
      </c>
      <c r="E241" s="117" t="n">
        <v>5643210</v>
      </c>
      <c r="F241" s="117" t="s">
        <v>151</v>
      </c>
      <c r="G241" s="118" t="n">
        <v>3990</v>
      </c>
      <c r="H241" s="118" t="n">
        <v>4</v>
      </c>
      <c r="I241" s="393" t="n">
        <v>43385.59930555556</v>
      </c>
      <c r="J241" s="3" t="s">
        <v>152</v>
      </c>
      <c r="K241" s="171">
        <f>VLOOKUP(D241,Base!D:E,2,0)</f>
        <v/>
      </c>
    </row>
    <row customHeight="1" ht="15" r="242" s="183" spans="1:15">
      <c r="A242" s="37">
        <f>E242</f>
        <v/>
      </c>
      <c r="B242" s="117" t="s">
        <v>148</v>
      </c>
      <c r="C242" s="117" t="s">
        <v>105</v>
      </c>
      <c r="D242" s="117" t="s">
        <v>112</v>
      </c>
      <c r="E242" s="117" t="n">
        <v>5643210</v>
      </c>
      <c r="F242" s="117" t="s">
        <v>151</v>
      </c>
      <c r="G242" s="118" t="n">
        <v>3990</v>
      </c>
      <c r="H242" s="118" t="n">
        <v>4</v>
      </c>
      <c r="I242" s="393" t="n">
        <v>43385.59861111111</v>
      </c>
      <c r="J242" s="3" t="s">
        <v>152</v>
      </c>
      <c r="K242" s="171">
        <f>VLOOKUP(D242,Base!D:E,2,0)</f>
        <v/>
      </c>
    </row>
    <row customHeight="1" ht="15" r="243" s="183" spans="1:15">
      <c r="A243" s="37">
        <f>E243</f>
        <v/>
      </c>
      <c r="B243" s="117" t="s">
        <v>148</v>
      </c>
      <c r="C243" s="117" t="s">
        <v>105</v>
      </c>
      <c r="D243" s="117" t="s">
        <v>113</v>
      </c>
      <c r="E243" s="117" t="n">
        <v>5643210</v>
      </c>
      <c r="F243" s="117" t="s">
        <v>151</v>
      </c>
      <c r="G243" s="118" t="n">
        <v>3990</v>
      </c>
      <c r="H243" s="118" t="n">
        <v>4</v>
      </c>
      <c r="I243" s="393" t="n">
        <v>43385.59930555556</v>
      </c>
      <c r="J243" s="3" t="s">
        <v>152</v>
      </c>
      <c r="K243" s="171">
        <f>VLOOKUP(D243,Base!D:E,2,0)</f>
        <v/>
      </c>
    </row>
    <row customHeight="1" ht="15" r="244" s="183" spans="1:15">
      <c r="A244" s="37">
        <f>E244</f>
        <v/>
      </c>
      <c r="B244" s="117" t="s">
        <v>148</v>
      </c>
      <c r="C244" s="117" t="s">
        <v>105</v>
      </c>
      <c r="D244" s="117" t="s">
        <v>114</v>
      </c>
      <c r="E244" s="117" t="n">
        <v>5643210</v>
      </c>
      <c r="F244" s="117" t="s">
        <v>151</v>
      </c>
      <c r="G244" s="118" t="n">
        <v>3990</v>
      </c>
      <c r="H244" s="118" t="n">
        <v>4</v>
      </c>
      <c r="I244" s="393" t="n">
        <v>43385.59930555556</v>
      </c>
      <c r="J244" s="3" t="s">
        <v>152</v>
      </c>
      <c r="K244" s="171">
        <f>VLOOKUP(D244,Base!D:E,2,0)</f>
        <v/>
      </c>
    </row>
    <row customHeight="1" ht="15" r="245" s="183" spans="1:15">
      <c r="A245" s="37">
        <f>E245</f>
        <v/>
      </c>
      <c r="B245" s="117" t="s">
        <v>148</v>
      </c>
      <c r="C245" s="117" t="s">
        <v>105</v>
      </c>
      <c r="D245" s="117" t="s">
        <v>115</v>
      </c>
      <c r="E245" s="117" t="n">
        <v>5643210</v>
      </c>
      <c r="F245" s="117" t="s">
        <v>151</v>
      </c>
      <c r="G245" s="118" t="n">
        <v>3990</v>
      </c>
      <c r="H245" s="118" t="n">
        <v>4</v>
      </c>
      <c r="I245" s="393" t="n">
        <v>43385.59861111111</v>
      </c>
      <c r="J245" s="3" t="s">
        <v>152</v>
      </c>
      <c r="K245" s="171">
        <f>VLOOKUP(D245,Base!D:E,2,0)</f>
        <v/>
      </c>
    </row>
    <row customHeight="1" ht="15" r="246" s="183" spans="1:15">
      <c r="A246" s="37">
        <f>E246</f>
        <v/>
      </c>
      <c r="B246" s="117" t="s">
        <v>148</v>
      </c>
      <c r="C246" s="117" t="s">
        <v>105</v>
      </c>
      <c r="D246" s="117" t="s">
        <v>150</v>
      </c>
      <c r="E246" s="117" t="n">
        <v>5643210</v>
      </c>
      <c r="F246" s="117" t="s">
        <v>151</v>
      </c>
      <c r="G246" s="118" t="n">
        <v>3990</v>
      </c>
      <c r="H246" s="118" t="n">
        <v>4</v>
      </c>
      <c r="I246" s="393" t="n">
        <v>43385.59930555556</v>
      </c>
      <c r="J246" s="3" t="s">
        <v>152</v>
      </c>
      <c r="K246" s="171">
        <f>VLOOKUP(D246,Base!D:E,2,0)</f>
        <v/>
      </c>
    </row>
    <row customHeight="1" ht="15" r="247" s="183" spans="1:15">
      <c r="A247" s="37">
        <f>E247</f>
        <v/>
      </c>
      <c r="B247" s="117" t="s">
        <v>148</v>
      </c>
      <c r="C247" s="117" t="s">
        <v>105</v>
      </c>
      <c r="D247" s="117" t="s">
        <v>116</v>
      </c>
      <c r="E247" s="117" t="n">
        <v>5643210</v>
      </c>
      <c r="F247" s="117" t="s">
        <v>151</v>
      </c>
      <c r="G247" s="118" t="n">
        <v>3990</v>
      </c>
      <c r="H247" s="118" t="n">
        <v>4</v>
      </c>
      <c r="I247" s="393" t="n">
        <v>43385.59930555556</v>
      </c>
      <c r="J247" s="3" t="s">
        <v>152</v>
      </c>
      <c r="K247" s="171">
        <f>VLOOKUP(D247,Base!D:E,2,0)</f>
        <v/>
      </c>
    </row>
    <row customHeight="1" ht="15" r="248" s="183" spans="1:15">
      <c r="A248" s="37">
        <f>E248</f>
        <v/>
      </c>
      <c r="B248" s="117" t="s">
        <v>148</v>
      </c>
      <c r="C248" s="117" t="s">
        <v>105</v>
      </c>
      <c r="D248" s="117" t="s">
        <v>117</v>
      </c>
      <c r="E248" s="117" t="n">
        <v>5643210</v>
      </c>
      <c r="F248" s="117" t="s">
        <v>151</v>
      </c>
      <c r="G248" s="118" t="n">
        <v>3990</v>
      </c>
      <c r="H248" s="118" t="n">
        <v>4</v>
      </c>
      <c r="I248" s="393" t="n">
        <v>43385.59861111111</v>
      </c>
      <c r="J248" s="3" t="s">
        <v>152</v>
      </c>
      <c r="K248" s="171">
        <f>VLOOKUP(D248,Base!D:E,2,0)</f>
        <v/>
      </c>
    </row>
    <row customHeight="1" ht="15" r="249" s="183" spans="1:15">
      <c r="A249" s="37">
        <f>E249</f>
        <v/>
      </c>
      <c r="B249" s="117" t="s">
        <v>148</v>
      </c>
      <c r="C249" s="117" t="s">
        <v>105</v>
      </c>
      <c r="D249" s="117" t="s">
        <v>119</v>
      </c>
      <c r="E249" s="117" t="n">
        <v>5643210</v>
      </c>
      <c r="F249" s="117" t="s">
        <v>151</v>
      </c>
      <c r="G249" s="118" t="n">
        <v>3990</v>
      </c>
      <c r="H249" s="118" t="n">
        <v>4</v>
      </c>
      <c r="I249" s="393" t="n">
        <v>43385.59930555556</v>
      </c>
      <c r="J249" s="3" t="s">
        <v>152</v>
      </c>
      <c r="K249" s="171">
        <f>VLOOKUP(D249,Base!D:E,2,0)</f>
        <v/>
      </c>
    </row>
    <row customHeight="1" ht="15" r="250" s="183" spans="1:15">
      <c r="A250" s="37">
        <f>E250</f>
        <v/>
      </c>
      <c r="B250" s="117" t="s">
        <v>148</v>
      </c>
      <c r="C250" s="117" t="s">
        <v>105</v>
      </c>
      <c r="D250" s="117" t="s">
        <v>120</v>
      </c>
      <c r="E250" s="117" t="n">
        <v>5643210</v>
      </c>
      <c r="F250" s="117" t="s">
        <v>151</v>
      </c>
      <c r="G250" s="118" t="n">
        <v>5990</v>
      </c>
      <c r="H250" s="118" t="n">
        <v>4</v>
      </c>
      <c r="I250" s="393" t="n">
        <v>43385.59930555556</v>
      </c>
      <c r="J250" s="3" t="s">
        <v>152</v>
      </c>
      <c r="K250" s="171">
        <f>VLOOKUP(D250,Base!D:E,2,0)</f>
        <v/>
      </c>
    </row>
    <row customHeight="1" ht="15" r="251" s="183" spans="1:15">
      <c r="A251" s="37">
        <f>E251</f>
        <v/>
      </c>
      <c r="B251" s="117" t="s">
        <v>148</v>
      </c>
      <c r="C251" s="117" t="s">
        <v>105</v>
      </c>
      <c r="D251" s="117" t="s">
        <v>121</v>
      </c>
      <c r="E251" s="117" t="n">
        <v>5643210</v>
      </c>
      <c r="F251" s="117" t="s">
        <v>151</v>
      </c>
      <c r="G251" s="118" t="n">
        <v>3990</v>
      </c>
      <c r="H251" s="118" t="n">
        <v>4</v>
      </c>
      <c r="I251" s="393" t="n">
        <v>43385.59930555556</v>
      </c>
      <c r="J251" s="3" t="s">
        <v>152</v>
      </c>
      <c r="K251" s="171">
        <f>VLOOKUP(D251,Base!D:E,2,0)</f>
        <v/>
      </c>
    </row>
    <row customHeight="1" ht="15" r="252" s="183" spans="1:15">
      <c r="A252" s="37">
        <f>E252</f>
        <v/>
      </c>
      <c r="B252" s="117" t="s">
        <v>148</v>
      </c>
      <c r="C252" s="117" t="s">
        <v>105</v>
      </c>
      <c r="D252" s="117" t="s">
        <v>122</v>
      </c>
      <c r="E252" s="117" t="n">
        <v>5643210</v>
      </c>
      <c r="F252" s="117" t="s">
        <v>151</v>
      </c>
      <c r="G252" s="118" t="n">
        <v>3990</v>
      </c>
      <c r="H252" s="118" t="n">
        <v>4</v>
      </c>
      <c r="I252" s="393" t="n">
        <v>43385.59930555556</v>
      </c>
      <c r="J252" s="3" t="s">
        <v>152</v>
      </c>
      <c r="K252" s="171">
        <f>VLOOKUP(D252,Base!D:E,2,0)</f>
        <v/>
      </c>
    </row>
    <row customHeight="1" ht="15" r="253" s="183" spans="1:15">
      <c r="A253" s="37">
        <f>E253</f>
        <v/>
      </c>
      <c r="B253" s="117" t="s">
        <v>148</v>
      </c>
      <c r="C253" s="117" t="s">
        <v>105</v>
      </c>
      <c r="D253" s="117" t="s">
        <v>123</v>
      </c>
      <c r="E253" s="117" t="n">
        <v>5643210</v>
      </c>
      <c r="F253" s="117" t="s">
        <v>151</v>
      </c>
      <c r="G253" s="118" t="n">
        <v>4490</v>
      </c>
      <c r="H253" s="118" t="n">
        <v>4</v>
      </c>
      <c r="I253" s="393" t="n">
        <v>43385.59930555556</v>
      </c>
      <c r="J253" s="3" t="s">
        <v>152</v>
      </c>
      <c r="K253" s="171">
        <f>VLOOKUP(D253,Base!D:E,2,0)</f>
        <v/>
      </c>
    </row>
    <row customHeight="1" ht="15" r="254" s="183" spans="1:15">
      <c r="A254" s="37">
        <f>E254</f>
        <v/>
      </c>
      <c r="B254" s="117" t="s">
        <v>148</v>
      </c>
      <c r="C254" s="117" t="s">
        <v>105</v>
      </c>
      <c r="D254" s="117" t="s">
        <v>124</v>
      </c>
      <c r="E254" s="117" t="n">
        <v>5643210</v>
      </c>
      <c r="F254" s="117" t="s">
        <v>151</v>
      </c>
      <c r="G254" s="118" t="n">
        <v>3990</v>
      </c>
      <c r="H254" s="118" t="n">
        <v>4</v>
      </c>
      <c r="I254" s="393" t="n">
        <v>43385.59861111111</v>
      </c>
      <c r="J254" s="3" t="s">
        <v>152</v>
      </c>
      <c r="K254" s="171">
        <f>VLOOKUP(D254,Base!D:E,2,0)</f>
        <v/>
      </c>
    </row>
    <row customHeight="1" ht="15" r="255" s="183" spans="1:15">
      <c r="A255" s="37">
        <f>E255</f>
        <v/>
      </c>
      <c r="B255" s="117" t="s">
        <v>148</v>
      </c>
      <c r="C255" s="117" t="s">
        <v>105</v>
      </c>
      <c r="D255" s="117" t="s">
        <v>125</v>
      </c>
      <c r="E255" s="117" t="n">
        <v>5643210</v>
      </c>
      <c r="F255" s="117" t="s">
        <v>151</v>
      </c>
      <c r="G255" s="118" t="n">
        <v>3990</v>
      </c>
      <c r="H255" s="118" t="n">
        <v>4</v>
      </c>
      <c r="I255" s="393" t="n">
        <v>43385.59930555556</v>
      </c>
      <c r="J255" s="3" t="s">
        <v>152</v>
      </c>
      <c r="K255" s="171">
        <f>VLOOKUP(D255,Base!D:E,2,0)</f>
        <v/>
      </c>
    </row>
    <row customHeight="1" ht="15" r="256" s="183" spans="1:15">
      <c r="A256" s="37">
        <f>E256</f>
        <v/>
      </c>
      <c r="B256" s="117" t="s">
        <v>148</v>
      </c>
      <c r="C256" s="117" t="s">
        <v>105</v>
      </c>
      <c r="D256" s="117" t="s">
        <v>126</v>
      </c>
      <c r="E256" s="117" t="n">
        <v>5643210</v>
      </c>
      <c r="F256" s="117" t="s">
        <v>151</v>
      </c>
      <c r="G256" s="118" t="n">
        <v>3990</v>
      </c>
      <c r="H256" s="118" t="n">
        <v>4</v>
      </c>
      <c r="I256" s="393" t="n">
        <v>43385.59861111111</v>
      </c>
      <c r="J256" s="3" t="s">
        <v>152</v>
      </c>
      <c r="K256" s="171">
        <f>VLOOKUP(D256,Base!D:E,2,0)</f>
        <v/>
      </c>
    </row>
    <row customHeight="1" ht="15" r="257" s="183" spans="1:15">
      <c r="A257" s="37">
        <f>E257</f>
        <v/>
      </c>
      <c r="B257" s="117" t="s">
        <v>148</v>
      </c>
      <c r="C257" s="117" t="s">
        <v>105</v>
      </c>
      <c r="D257" s="117" t="s">
        <v>127</v>
      </c>
      <c r="E257" s="117" t="n">
        <v>5643210</v>
      </c>
      <c r="F257" s="117" t="s">
        <v>151</v>
      </c>
      <c r="G257" s="118" t="n">
        <v>5490</v>
      </c>
      <c r="H257" s="118" t="n">
        <v>4</v>
      </c>
      <c r="I257" s="393" t="n">
        <v>43385.59930555556</v>
      </c>
      <c r="J257" s="3" t="s">
        <v>152</v>
      </c>
      <c r="K257" s="171">
        <f>VLOOKUP(D257,Base!D:E,2,0)</f>
        <v/>
      </c>
    </row>
    <row customHeight="1" ht="15" r="258" s="183" spans="1:15">
      <c r="A258" s="37">
        <f>E258</f>
        <v/>
      </c>
      <c r="B258" s="117" t="s">
        <v>148</v>
      </c>
      <c r="C258" s="117" t="s">
        <v>105</v>
      </c>
      <c r="D258" s="117" t="s">
        <v>128</v>
      </c>
      <c r="E258" s="117" t="n">
        <v>5643210</v>
      </c>
      <c r="F258" s="117" t="s">
        <v>151</v>
      </c>
      <c r="G258" s="118" t="n">
        <v>3990</v>
      </c>
      <c r="H258" s="118" t="n">
        <v>4</v>
      </c>
      <c r="I258" s="393" t="n">
        <v>43385.59930555556</v>
      </c>
      <c r="J258" s="3" t="s">
        <v>152</v>
      </c>
      <c r="K258" s="171">
        <f>VLOOKUP(D258,Base!D:E,2,0)</f>
        <v/>
      </c>
    </row>
    <row customHeight="1" ht="15" r="259" s="183" spans="1:15">
      <c r="A259" s="37">
        <f>E259</f>
        <v/>
      </c>
      <c r="B259" s="117" t="s">
        <v>148</v>
      </c>
      <c r="C259" s="117" t="s">
        <v>105</v>
      </c>
      <c r="D259" s="117" t="s">
        <v>129</v>
      </c>
      <c r="E259" s="117" t="n">
        <v>5643210</v>
      </c>
      <c r="F259" s="117" t="s">
        <v>151</v>
      </c>
      <c r="G259" s="118" t="n">
        <v>5490</v>
      </c>
      <c r="H259" s="118" t="n">
        <v>4</v>
      </c>
      <c r="I259" s="393" t="n">
        <v>43385.59930555556</v>
      </c>
      <c r="J259" s="3" t="s">
        <v>152</v>
      </c>
      <c r="K259" s="171">
        <f>VLOOKUP(D259,Base!D:E,2,0)</f>
        <v/>
      </c>
    </row>
    <row customHeight="1" ht="15" r="260" s="183" spans="1:15">
      <c r="A260" s="37">
        <f>E260</f>
        <v/>
      </c>
      <c r="B260" s="117" t="s">
        <v>148</v>
      </c>
      <c r="C260" s="117" t="s">
        <v>105</v>
      </c>
      <c r="D260" s="117" t="s">
        <v>130</v>
      </c>
      <c r="E260" s="117" t="n">
        <v>5643210</v>
      </c>
      <c r="F260" s="117" t="s">
        <v>151</v>
      </c>
      <c r="G260" s="118" t="n">
        <v>4990</v>
      </c>
      <c r="H260" s="118" t="n">
        <v>4</v>
      </c>
      <c r="I260" s="393" t="n">
        <v>43385.59930555556</v>
      </c>
      <c r="J260" s="3" t="s">
        <v>152</v>
      </c>
      <c r="K260" s="171">
        <f>VLOOKUP(D260,Base!D:E,2,0)</f>
        <v/>
      </c>
    </row>
    <row customHeight="1" ht="15" r="261" s="183" spans="1:15">
      <c r="A261" s="37">
        <f>E261</f>
        <v/>
      </c>
      <c r="B261" s="117" t="s">
        <v>148</v>
      </c>
      <c r="C261" s="117" t="s">
        <v>105</v>
      </c>
      <c r="D261" s="117" t="s">
        <v>131</v>
      </c>
      <c r="E261" s="117" t="n">
        <v>5643210</v>
      </c>
      <c r="F261" s="117" t="s">
        <v>151</v>
      </c>
      <c r="G261" s="118" t="n">
        <v>3990</v>
      </c>
      <c r="H261" s="118" t="n">
        <v>4</v>
      </c>
      <c r="I261" s="393" t="n">
        <v>43385.59861111111</v>
      </c>
      <c r="J261" s="3" t="s">
        <v>152</v>
      </c>
      <c r="K261" s="171">
        <f>VLOOKUP(D261,Base!D:E,2,0)</f>
        <v/>
      </c>
    </row>
    <row customHeight="1" ht="15" r="262" s="183" spans="1:15">
      <c r="A262" s="37">
        <f>E262</f>
        <v/>
      </c>
      <c r="B262" s="117" t="s">
        <v>148</v>
      </c>
      <c r="C262" s="117" t="s">
        <v>105</v>
      </c>
      <c r="D262" s="117" t="s">
        <v>132</v>
      </c>
      <c r="E262" s="117" t="n">
        <v>5643210</v>
      </c>
      <c r="F262" s="117" t="s">
        <v>151</v>
      </c>
      <c r="G262" s="118" t="n">
        <v>5490</v>
      </c>
      <c r="H262" s="118" t="n">
        <v>4</v>
      </c>
      <c r="I262" s="393" t="n">
        <v>43385.59861111111</v>
      </c>
      <c r="J262" s="3" t="s">
        <v>152</v>
      </c>
      <c r="K262" s="171">
        <f>VLOOKUP(D262,Base!D:E,2,0)</f>
        <v/>
      </c>
    </row>
    <row customHeight="1" ht="15" r="263" s="183" spans="1:15">
      <c r="A263" s="37">
        <f>E263</f>
        <v/>
      </c>
      <c r="B263" s="117" t="s">
        <v>148</v>
      </c>
      <c r="C263" s="117" t="s">
        <v>105</v>
      </c>
      <c r="D263" s="117" t="s">
        <v>133</v>
      </c>
      <c r="E263" s="117" t="n">
        <v>5643210</v>
      </c>
      <c r="F263" s="117" t="s">
        <v>151</v>
      </c>
      <c r="G263" s="118" t="n">
        <v>3990</v>
      </c>
      <c r="H263" s="118" t="n">
        <v>4</v>
      </c>
      <c r="I263" s="393" t="n">
        <v>43385.59930555556</v>
      </c>
      <c r="J263" s="3" t="s">
        <v>152</v>
      </c>
      <c r="K263" s="171">
        <f>VLOOKUP(D263,Base!D:E,2,0)</f>
        <v/>
      </c>
    </row>
    <row customHeight="1" ht="15" r="264" s="183" spans="1:15">
      <c r="A264" s="37">
        <f>E264</f>
        <v/>
      </c>
      <c r="B264" s="117" t="s">
        <v>148</v>
      </c>
      <c r="C264" s="117" t="s">
        <v>105</v>
      </c>
      <c r="D264" s="117" t="s">
        <v>134</v>
      </c>
      <c r="E264" s="117" t="n">
        <v>5643210</v>
      </c>
      <c r="F264" s="117" t="s">
        <v>151</v>
      </c>
      <c r="G264" s="118" t="n">
        <v>3990</v>
      </c>
      <c r="H264" s="118" t="n">
        <v>4</v>
      </c>
      <c r="I264" s="393" t="n">
        <v>43385.59930555556</v>
      </c>
      <c r="J264" s="3" t="s">
        <v>152</v>
      </c>
      <c r="K264" s="171">
        <f>VLOOKUP(D264,Base!D:E,2,0)</f>
        <v/>
      </c>
    </row>
    <row customHeight="1" ht="15" r="265" s="183" spans="1:15">
      <c r="A265" s="37">
        <f>E265</f>
        <v/>
      </c>
      <c r="B265" s="117" t="s">
        <v>148</v>
      </c>
      <c r="C265" s="117" t="s">
        <v>105</v>
      </c>
      <c r="D265" s="117" t="s">
        <v>135</v>
      </c>
      <c r="E265" s="117" t="n">
        <v>5643210</v>
      </c>
      <c r="F265" s="117" t="s">
        <v>151</v>
      </c>
      <c r="G265" s="118" t="n">
        <v>3990</v>
      </c>
      <c r="H265" s="118" t="n">
        <v>4</v>
      </c>
      <c r="I265" s="393" t="n">
        <v>43385.59930555556</v>
      </c>
      <c r="J265" s="3" t="s">
        <v>152</v>
      </c>
      <c r="K265" s="171">
        <f>VLOOKUP(D265,Base!D:E,2,0)</f>
        <v/>
      </c>
    </row>
    <row customHeight="1" ht="15" r="266" s="183" spans="1:15">
      <c r="A266" s="37">
        <f>E266</f>
        <v/>
      </c>
      <c r="B266" s="117" t="s">
        <v>148</v>
      </c>
      <c r="C266" s="117" t="s">
        <v>105</v>
      </c>
      <c r="D266" s="117" t="s">
        <v>136</v>
      </c>
      <c r="E266" s="117" t="n">
        <v>5643210</v>
      </c>
      <c r="F266" s="117" t="s">
        <v>151</v>
      </c>
      <c r="G266" s="118" t="n">
        <v>3990</v>
      </c>
      <c r="H266" s="118" t="n">
        <v>4</v>
      </c>
      <c r="I266" s="393" t="n">
        <v>43385.59930555556</v>
      </c>
      <c r="J266" s="3" t="s">
        <v>152</v>
      </c>
      <c r="K266" s="171">
        <f>VLOOKUP(D266,Base!D:E,2,0)</f>
        <v/>
      </c>
    </row>
    <row customHeight="1" ht="15" r="267" s="183" spans="1:15">
      <c r="A267" s="37">
        <f>E267</f>
        <v/>
      </c>
      <c r="B267" s="117" t="s">
        <v>148</v>
      </c>
      <c r="C267" s="117" t="s">
        <v>105</v>
      </c>
      <c r="D267" s="117" t="s">
        <v>137</v>
      </c>
      <c r="E267" s="117" t="n">
        <v>5643210</v>
      </c>
      <c r="F267" s="117" t="s">
        <v>151</v>
      </c>
      <c r="G267" s="118" t="n">
        <v>3990</v>
      </c>
      <c r="H267" s="118" t="n">
        <v>4</v>
      </c>
      <c r="I267" s="393" t="n">
        <v>43385.59861111111</v>
      </c>
      <c r="J267" s="3" t="s">
        <v>152</v>
      </c>
      <c r="K267" s="171">
        <f>VLOOKUP(D267,Base!D:E,2,0)</f>
        <v/>
      </c>
    </row>
    <row customHeight="1" ht="15" r="268" s="183" spans="1:15">
      <c r="A268" s="37">
        <f>E268</f>
        <v/>
      </c>
      <c r="B268" s="117" t="s">
        <v>148</v>
      </c>
      <c r="C268" s="117" t="s">
        <v>105</v>
      </c>
      <c r="D268" s="117" t="s">
        <v>138</v>
      </c>
      <c r="E268" s="117" t="n">
        <v>5643210</v>
      </c>
      <c r="F268" s="117" t="s">
        <v>151</v>
      </c>
      <c r="G268" s="118" t="n">
        <v>3990</v>
      </c>
      <c r="H268" s="118" t="n">
        <v>4</v>
      </c>
      <c r="I268" s="393" t="n">
        <v>43385.59930555556</v>
      </c>
      <c r="J268" s="3" t="s">
        <v>152</v>
      </c>
      <c r="K268" s="171">
        <f>VLOOKUP(D268,Base!D:E,2,0)</f>
        <v/>
      </c>
    </row>
    <row customHeight="1" ht="15" r="269" s="183" spans="1:15">
      <c r="A269" s="37">
        <f>E269</f>
        <v/>
      </c>
      <c r="B269" s="117" t="s">
        <v>148</v>
      </c>
      <c r="C269" s="117" t="s">
        <v>105</v>
      </c>
      <c r="D269" s="117" t="s">
        <v>139</v>
      </c>
      <c r="E269" s="117" t="n">
        <v>5643210</v>
      </c>
      <c r="F269" s="117" t="s">
        <v>151</v>
      </c>
      <c r="G269" s="118" t="n">
        <v>3990</v>
      </c>
      <c r="H269" s="118" t="n">
        <v>4</v>
      </c>
      <c r="I269" s="393" t="n">
        <v>43385.59930555556</v>
      </c>
      <c r="J269" s="3" t="s">
        <v>152</v>
      </c>
      <c r="K269" s="171">
        <f>VLOOKUP(D269,Base!D:E,2,0)</f>
        <v/>
      </c>
    </row>
    <row customHeight="1" ht="15" r="270" s="183" spans="1:15">
      <c r="A270" s="37">
        <f>E270</f>
        <v/>
      </c>
      <c r="B270" s="117" t="s">
        <v>148</v>
      </c>
      <c r="C270" s="117" t="s">
        <v>105</v>
      </c>
      <c r="D270" s="117" t="s">
        <v>140</v>
      </c>
      <c r="E270" s="117" t="n">
        <v>5643210</v>
      </c>
      <c r="F270" s="117" t="s">
        <v>151</v>
      </c>
      <c r="G270" s="118" t="n">
        <v>3990</v>
      </c>
      <c r="H270" s="118" t="n">
        <v>4</v>
      </c>
      <c r="I270" s="393" t="n">
        <v>43385.59930555556</v>
      </c>
      <c r="J270" s="3" t="s">
        <v>152</v>
      </c>
      <c r="K270" s="171">
        <f>VLOOKUP(D270,Base!D:E,2,0)</f>
        <v/>
      </c>
    </row>
    <row customHeight="1" ht="15" r="271" s="183" spans="1:15">
      <c r="A271" s="37">
        <f>E271</f>
        <v/>
      </c>
      <c r="B271" s="117" t="s">
        <v>148</v>
      </c>
      <c r="C271" s="117" t="s">
        <v>105</v>
      </c>
      <c r="D271" s="117" t="s">
        <v>141</v>
      </c>
      <c r="E271" s="117" t="n">
        <v>5643210</v>
      </c>
      <c r="F271" s="117" t="s">
        <v>151</v>
      </c>
      <c r="G271" s="118" t="n">
        <v>3990</v>
      </c>
      <c r="H271" s="118" t="n">
        <v>4</v>
      </c>
      <c r="I271" s="393" t="n">
        <v>43385.59930555556</v>
      </c>
      <c r="J271" s="3" t="s">
        <v>152</v>
      </c>
      <c r="K271" s="171">
        <f>VLOOKUP(D271,Base!D:E,2,0)</f>
        <v/>
      </c>
    </row>
    <row customHeight="1" ht="15" r="272" s="183" spans="1:15">
      <c r="A272" s="37">
        <f>E272</f>
        <v/>
      </c>
      <c r="B272" s="117" t="s">
        <v>148</v>
      </c>
      <c r="C272" s="117" t="s">
        <v>105</v>
      </c>
      <c r="D272" s="117" t="s">
        <v>142</v>
      </c>
      <c r="E272" s="117" t="n">
        <v>5643210</v>
      </c>
      <c r="F272" s="117" t="s">
        <v>151</v>
      </c>
      <c r="G272" s="118" t="n">
        <v>3990</v>
      </c>
      <c r="H272" s="118" t="n">
        <v>4</v>
      </c>
      <c r="I272" s="393" t="n">
        <v>43385.59930555556</v>
      </c>
      <c r="J272" s="3" t="s">
        <v>152</v>
      </c>
      <c r="K272" s="171">
        <f>VLOOKUP(D272,Base!D:E,2,0)</f>
        <v/>
      </c>
    </row>
    <row customHeight="1" ht="15" r="273" s="183" spans="1:15">
      <c r="A273" s="37">
        <f>E273</f>
        <v/>
      </c>
      <c r="B273" s="117" t="s">
        <v>148</v>
      </c>
      <c r="C273" s="117" t="s">
        <v>105</v>
      </c>
      <c r="D273" s="117" t="s">
        <v>143</v>
      </c>
      <c r="E273" s="117" t="n">
        <v>5643210</v>
      </c>
      <c r="F273" s="117" t="s">
        <v>151</v>
      </c>
      <c r="G273" s="118" t="n">
        <v>3990</v>
      </c>
      <c r="H273" s="118" t="n">
        <v>4</v>
      </c>
      <c r="I273" s="393" t="n">
        <v>43385.59930555556</v>
      </c>
      <c r="J273" s="3" t="s">
        <v>152</v>
      </c>
      <c r="K273" s="171">
        <f>VLOOKUP(D273,Base!D:E,2,0)</f>
        <v/>
      </c>
    </row>
    <row customHeight="1" ht="15" r="274" s="183" spans="1:15">
      <c r="A274" s="37">
        <f>E274</f>
        <v/>
      </c>
      <c r="B274" s="117" t="s">
        <v>148</v>
      </c>
      <c r="C274" s="117" t="s">
        <v>105</v>
      </c>
      <c r="D274" s="117" t="s">
        <v>144</v>
      </c>
      <c r="E274" s="117" t="n">
        <v>5643210</v>
      </c>
      <c r="F274" s="117" t="s">
        <v>151</v>
      </c>
      <c r="G274" s="118" t="n">
        <v>3990</v>
      </c>
      <c r="H274" s="118" t="n">
        <v>4</v>
      </c>
      <c r="I274" s="393" t="n">
        <v>43385.59861111111</v>
      </c>
      <c r="J274" s="3" t="s">
        <v>152</v>
      </c>
      <c r="K274" s="171">
        <f>VLOOKUP(D274,Base!D:E,2,0)</f>
        <v/>
      </c>
    </row>
    <row customHeight="1" ht="15" r="275" s="183" spans="1:15">
      <c r="A275" s="37">
        <f>E275</f>
        <v/>
      </c>
      <c r="B275" s="117" t="s">
        <v>148</v>
      </c>
      <c r="C275" s="117" t="s">
        <v>105</v>
      </c>
      <c r="D275" s="117" t="s">
        <v>145</v>
      </c>
      <c r="E275" s="117" t="n">
        <v>5643210</v>
      </c>
      <c r="F275" s="117" t="s">
        <v>151</v>
      </c>
      <c r="G275" s="118" t="n">
        <v>3990</v>
      </c>
      <c r="H275" s="118" t="n">
        <v>4</v>
      </c>
      <c r="I275" s="393" t="n">
        <v>43385.59930555556</v>
      </c>
      <c r="J275" s="3" t="s">
        <v>152</v>
      </c>
      <c r="K275" s="171">
        <f>VLOOKUP(D275,Base!D:E,2,0)</f>
        <v/>
      </c>
    </row>
    <row customHeight="1" ht="15" r="276" s="183" spans="1:15">
      <c r="A276" s="37">
        <f>E276</f>
        <v/>
      </c>
      <c r="B276" s="117" t="s">
        <v>148</v>
      </c>
      <c r="C276" s="117" t="s">
        <v>105</v>
      </c>
      <c r="D276" s="117" t="s">
        <v>146</v>
      </c>
      <c r="E276" s="117" t="n">
        <v>5643210</v>
      </c>
      <c r="F276" s="117" t="s">
        <v>151</v>
      </c>
      <c r="G276" s="118" t="n">
        <v>5490</v>
      </c>
      <c r="H276" s="118" t="n">
        <v>4</v>
      </c>
      <c r="I276" s="393" t="n">
        <v>43385.59861111111</v>
      </c>
      <c r="J276" s="3" t="s">
        <v>152</v>
      </c>
      <c r="K276" s="171">
        <f>VLOOKUP(D276,Base!D:E,2,0)</f>
        <v/>
      </c>
    </row>
    <row customHeight="1" ht="15" r="277" s="183" spans="1:15">
      <c r="A277" s="37">
        <f>E277</f>
        <v/>
      </c>
      <c r="B277" s="117" t="s">
        <v>148</v>
      </c>
      <c r="C277" s="117" t="s">
        <v>105</v>
      </c>
      <c r="D277" s="117" t="s">
        <v>147</v>
      </c>
      <c r="E277" s="117" t="n">
        <v>5643210</v>
      </c>
      <c r="F277" s="117" t="s">
        <v>151</v>
      </c>
      <c r="G277" s="118" t="n">
        <v>3990</v>
      </c>
      <c r="H277" s="118" t="n">
        <v>4</v>
      </c>
      <c r="I277" s="393" t="n">
        <v>43385.59861111111</v>
      </c>
      <c r="J277" s="3" t="s">
        <v>152</v>
      </c>
      <c r="K277" s="171">
        <f>VLOOKUP(D277,Base!D:E,2,0)</f>
        <v/>
      </c>
    </row>
    <row customHeight="1" ht="15" r="278" s="183" spans="1:15">
      <c r="A278" s="37">
        <f>E278</f>
        <v/>
      </c>
      <c r="B278" s="117" t="s">
        <v>148</v>
      </c>
      <c r="C278" s="117" t="s">
        <v>36</v>
      </c>
      <c r="D278" s="117" t="s">
        <v>37</v>
      </c>
      <c r="E278" s="117" t="n">
        <v>881077470</v>
      </c>
      <c r="F278" s="117" t="s">
        <v>153</v>
      </c>
      <c r="G278" s="118" t="n">
        <v>29990</v>
      </c>
      <c r="H278" s="118" t="n">
        <v>5</v>
      </c>
      <c r="I278" s="393" t="n">
        <v>43385.59861111111</v>
      </c>
      <c r="J278" s="3" t="s">
        <v>154</v>
      </c>
      <c r="K278" s="171">
        <f>VLOOKUP(D278,Base!D:E,2,0)</f>
        <v/>
      </c>
    </row>
    <row customHeight="1" ht="15" r="279" s="183" spans="1:15">
      <c r="A279" s="37">
        <f>E279</f>
        <v/>
      </c>
      <c r="B279" s="117" t="s">
        <v>148</v>
      </c>
      <c r="C279" s="117" t="s">
        <v>36</v>
      </c>
      <c r="D279" s="117" t="s">
        <v>42</v>
      </c>
      <c r="E279" s="117" t="n">
        <v>881077470</v>
      </c>
      <c r="F279" s="117" t="s">
        <v>153</v>
      </c>
      <c r="G279" s="118" t="n">
        <v>41990</v>
      </c>
      <c r="H279" s="118" t="n">
        <v>5</v>
      </c>
      <c r="I279" s="393" t="n">
        <v>43385.59930555556</v>
      </c>
      <c r="J279" s="3" t="s">
        <v>154</v>
      </c>
      <c r="K279" s="171">
        <f>VLOOKUP(D279,Base!D:E,2,0)</f>
        <v/>
      </c>
    </row>
    <row customHeight="1" ht="15" r="280" s="183" spans="1:15">
      <c r="A280" s="37">
        <f>E280</f>
        <v/>
      </c>
      <c r="B280" s="117" t="s">
        <v>148</v>
      </c>
      <c r="C280" s="117" t="s">
        <v>44</v>
      </c>
      <c r="D280" s="117" t="s">
        <v>45</v>
      </c>
      <c r="E280" s="117" t="n">
        <v>881077470</v>
      </c>
      <c r="F280" s="117" t="s">
        <v>153</v>
      </c>
      <c r="G280" s="118" t="n">
        <v>30990</v>
      </c>
      <c r="H280" s="118" t="n">
        <v>5</v>
      </c>
      <c r="I280" s="393" t="n">
        <v>43385.59861111111</v>
      </c>
      <c r="J280" s="3" t="s">
        <v>154</v>
      </c>
      <c r="K280" s="171">
        <f>VLOOKUP(D280,Base!D:E,2,0)</f>
        <v/>
      </c>
    </row>
    <row customHeight="1" ht="15" r="281" s="183" spans="1:15">
      <c r="A281" s="37">
        <f>E281</f>
        <v/>
      </c>
      <c r="B281" s="117" t="s">
        <v>148</v>
      </c>
      <c r="C281" s="117" t="s">
        <v>46</v>
      </c>
      <c r="D281" s="117" t="s">
        <v>47</v>
      </c>
      <c r="E281" s="117" t="n">
        <v>881077470</v>
      </c>
      <c r="F281" s="117" t="s">
        <v>153</v>
      </c>
      <c r="G281" s="118" t="n">
        <v>24990</v>
      </c>
      <c r="H281" s="118" t="n">
        <v>5</v>
      </c>
      <c r="I281" s="393" t="n">
        <v>43385.59930555556</v>
      </c>
      <c r="J281" s="3" t="s">
        <v>154</v>
      </c>
      <c r="K281" s="171">
        <f>VLOOKUP(D281,Base!D:E,2,0)</f>
        <v/>
      </c>
    </row>
    <row customHeight="1" ht="15" r="282" s="183" spans="1:15">
      <c r="A282" s="37">
        <f>E282</f>
        <v/>
      </c>
      <c r="B282" s="117" t="s">
        <v>148</v>
      </c>
      <c r="C282" s="117" t="s">
        <v>46</v>
      </c>
      <c r="D282" s="117" t="s">
        <v>48</v>
      </c>
      <c r="E282" s="117" t="n">
        <v>881077470</v>
      </c>
      <c r="F282" s="117" t="s">
        <v>153</v>
      </c>
      <c r="G282" s="118" t="n">
        <v>25490</v>
      </c>
      <c r="H282" s="118" t="n">
        <v>6</v>
      </c>
      <c r="I282" s="393" t="n">
        <v>43385.59930555556</v>
      </c>
      <c r="J282" s="3" t="s">
        <v>154</v>
      </c>
      <c r="K282" s="171">
        <f>VLOOKUP(D282,Base!D:E,2,0)</f>
        <v/>
      </c>
    </row>
    <row customHeight="1" ht="15" r="283" s="183" spans="1:15">
      <c r="A283" s="37">
        <f>E283</f>
        <v/>
      </c>
      <c r="B283" s="117" t="s">
        <v>148</v>
      </c>
      <c r="C283" s="117" t="s">
        <v>49</v>
      </c>
      <c r="D283" s="117" t="s">
        <v>50</v>
      </c>
      <c r="E283" s="117" t="n">
        <v>881077470</v>
      </c>
      <c r="F283" s="117" t="s">
        <v>153</v>
      </c>
      <c r="G283" s="118" t="n">
        <v>35990</v>
      </c>
      <c r="H283" s="118" t="n">
        <v>12</v>
      </c>
      <c r="I283" s="393" t="n">
        <v>43385.59930555556</v>
      </c>
      <c r="J283" s="3" t="s">
        <v>154</v>
      </c>
      <c r="K283" s="171">
        <f>VLOOKUP(D283,Base!D:E,2,0)</f>
        <v/>
      </c>
    </row>
    <row customHeight="1" ht="15" r="284" s="183" spans="1:15">
      <c r="A284" s="37">
        <f>E284</f>
        <v/>
      </c>
      <c r="B284" s="117" t="s">
        <v>148</v>
      </c>
      <c r="C284" s="117" t="s">
        <v>51</v>
      </c>
      <c r="D284" s="117" t="s">
        <v>52</v>
      </c>
      <c r="E284" s="117" t="n">
        <v>881077470</v>
      </c>
      <c r="F284" s="117" t="s">
        <v>153</v>
      </c>
      <c r="G284" s="118" t="n">
        <v>18990</v>
      </c>
      <c r="H284" s="118" t="n">
        <v>4</v>
      </c>
      <c r="I284" s="393" t="n">
        <v>43385.59861111111</v>
      </c>
      <c r="J284" s="3" t="s">
        <v>154</v>
      </c>
      <c r="K284" s="171">
        <f>VLOOKUP(D284,Base!D:E,2,0)</f>
        <v/>
      </c>
    </row>
    <row customHeight="1" ht="15" r="285" s="183" spans="1:15">
      <c r="A285" s="37">
        <f>E285</f>
        <v/>
      </c>
      <c r="B285" s="117" t="s">
        <v>148</v>
      </c>
      <c r="C285" s="117" t="s">
        <v>51</v>
      </c>
      <c r="D285" s="117" t="s">
        <v>53</v>
      </c>
      <c r="E285" s="117" t="n">
        <v>881077470</v>
      </c>
      <c r="F285" s="117" t="s">
        <v>153</v>
      </c>
      <c r="G285" s="118" t="n">
        <v>19990</v>
      </c>
      <c r="H285" s="118" t="n">
        <v>4</v>
      </c>
      <c r="I285" s="393" t="n">
        <v>43385.59930555556</v>
      </c>
      <c r="J285" s="3" t="s">
        <v>154</v>
      </c>
      <c r="K285" s="171">
        <f>VLOOKUP(D285,Base!D:E,2,0)</f>
        <v/>
      </c>
    </row>
    <row customHeight="1" ht="15" r="286" s="183" spans="1:15">
      <c r="A286" s="37">
        <f>E286</f>
        <v/>
      </c>
      <c r="B286" s="117" t="s">
        <v>148</v>
      </c>
      <c r="C286" s="117" t="s">
        <v>51</v>
      </c>
      <c r="D286" s="117" t="s">
        <v>54</v>
      </c>
      <c r="E286" s="117" t="n">
        <v>881077470</v>
      </c>
      <c r="F286" s="117" t="s">
        <v>153</v>
      </c>
      <c r="G286" s="118" t="n">
        <v>16990</v>
      </c>
      <c r="H286" s="118" t="n">
        <v>4</v>
      </c>
      <c r="I286" s="393" t="n">
        <v>43385.59861111111</v>
      </c>
      <c r="J286" s="3" t="s">
        <v>154</v>
      </c>
      <c r="K286" s="171">
        <f>VLOOKUP(D286,Base!D:E,2,0)</f>
        <v/>
      </c>
    </row>
    <row customHeight="1" ht="15" r="287" s="183" spans="1:15">
      <c r="A287" s="37">
        <f>E287</f>
        <v/>
      </c>
      <c r="B287" s="117" t="s">
        <v>148</v>
      </c>
      <c r="C287" s="117" t="s">
        <v>51</v>
      </c>
      <c r="D287" s="117" t="s">
        <v>55</v>
      </c>
      <c r="E287" s="117" t="n">
        <v>881077470</v>
      </c>
      <c r="F287" s="117" t="s">
        <v>153</v>
      </c>
      <c r="G287" s="118" t="n">
        <v>18990</v>
      </c>
      <c r="H287" s="118" t="n">
        <v>4</v>
      </c>
      <c r="I287" s="393" t="n">
        <v>43385.59930555556</v>
      </c>
      <c r="J287" s="3" t="s">
        <v>154</v>
      </c>
      <c r="K287" s="171">
        <f>VLOOKUP(D287,Base!D:E,2,0)</f>
        <v/>
      </c>
    </row>
    <row customHeight="1" ht="15" r="288" s="183" spans="1:15">
      <c r="A288" s="37">
        <f>E288</f>
        <v/>
      </c>
      <c r="B288" s="117" t="s">
        <v>148</v>
      </c>
      <c r="C288" s="117" t="s">
        <v>51</v>
      </c>
      <c r="D288" s="117" t="s">
        <v>56</v>
      </c>
      <c r="E288" s="117" t="n">
        <v>881077470</v>
      </c>
      <c r="F288" s="117" t="s">
        <v>153</v>
      </c>
      <c r="G288" s="118" t="n">
        <v>19490</v>
      </c>
      <c r="H288" s="118" t="n">
        <v>4</v>
      </c>
      <c r="I288" s="393" t="n">
        <v>43385.59930555556</v>
      </c>
      <c r="J288" s="3" t="s">
        <v>154</v>
      </c>
      <c r="K288" s="171">
        <f>VLOOKUP(D288,Base!D:E,2,0)</f>
        <v/>
      </c>
    </row>
    <row customHeight="1" ht="15" r="289" s="183" spans="1:15">
      <c r="A289" s="37">
        <f>E289</f>
        <v/>
      </c>
      <c r="B289" s="117" t="s">
        <v>148</v>
      </c>
      <c r="C289" s="117" t="s">
        <v>51</v>
      </c>
      <c r="D289" s="117" t="s">
        <v>57</v>
      </c>
      <c r="E289" s="117" t="n">
        <v>881077470</v>
      </c>
      <c r="F289" s="117" t="s">
        <v>153</v>
      </c>
      <c r="G289" s="118" t="n">
        <v>19990</v>
      </c>
      <c r="H289" s="118" t="n">
        <v>4</v>
      </c>
      <c r="I289" s="393" t="n">
        <v>43385.59930555556</v>
      </c>
      <c r="J289" s="3" t="s">
        <v>154</v>
      </c>
      <c r="K289" s="171">
        <f>VLOOKUP(D289,Base!D:E,2,0)</f>
        <v/>
      </c>
    </row>
    <row customHeight="1" ht="15" r="290" s="183" spans="1:15">
      <c r="A290" s="37">
        <f>E290</f>
        <v/>
      </c>
      <c r="B290" s="117" t="s">
        <v>148</v>
      </c>
      <c r="C290" s="117" t="s">
        <v>58</v>
      </c>
      <c r="D290" s="117" t="s">
        <v>59</v>
      </c>
      <c r="E290" s="117" t="n">
        <v>881077470</v>
      </c>
      <c r="F290" s="117" t="s">
        <v>153</v>
      </c>
      <c r="G290" s="118" t="n">
        <v>14990</v>
      </c>
      <c r="H290" s="118" t="n">
        <v>4</v>
      </c>
      <c r="I290" s="393" t="n">
        <v>43385.59930555556</v>
      </c>
      <c r="J290" s="3" t="s">
        <v>154</v>
      </c>
      <c r="K290" s="171">
        <f>VLOOKUP(D290,Base!D:E,2,0)</f>
        <v/>
      </c>
    </row>
    <row customHeight="1" ht="15" r="291" s="183" spans="1:15">
      <c r="A291" s="37">
        <f>E291</f>
        <v/>
      </c>
      <c r="B291" s="117" t="s">
        <v>148</v>
      </c>
      <c r="C291" s="117" t="s">
        <v>58</v>
      </c>
      <c r="D291" s="117" t="s">
        <v>60</v>
      </c>
      <c r="E291" s="117" t="n">
        <v>881077470</v>
      </c>
      <c r="F291" s="117" t="s">
        <v>153</v>
      </c>
      <c r="G291" s="118" t="n">
        <v>14990</v>
      </c>
      <c r="H291" s="118" t="n">
        <v>4</v>
      </c>
      <c r="I291" s="393" t="n">
        <v>43385.59930555556</v>
      </c>
      <c r="J291" s="3" t="s">
        <v>154</v>
      </c>
      <c r="K291" s="171">
        <f>VLOOKUP(D291,Base!D:E,2,0)</f>
        <v/>
      </c>
    </row>
    <row customHeight="1" ht="15" r="292" s="183" spans="1:15">
      <c r="A292" s="37">
        <f>E292</f>
        <v/>
      </c>
      <c r="B292" s="117" t="s">
        <v>148</v>
      </c>
      <c r="C292" s="117" t="s">
        <v>58</v>
      </c>
      <c r="D292" s="117" t="s">
        <v>61</v>
      </c>
      <c r="E292" s="117" t="n">
        <v>881077470</v>
      </c>
      <c r="F292" s="117" t="s">
        <v>153</v>
      </c>
      <c r="G292" s="118" t="n">
        <v>17990</v>
      </c>
      <c r="H292" s="118" t="n">
        <v>4</v>
      </c>
      <c r="I292" s="393" t="n">
        <v>43385.59930555556</v>
      </c>
      <c r="J292" s="3" t="s">
        <v>154</v>
      </c>
      <c r="K292" s="171">
        <f>VLOOKUP(D292,Base!D:E,2,0)</f>
        <v/>
      </c>
    </row>
    <row customHeight="1" ht="15" r="293" s="183" spans="1:15">
      <c r="A293" s="37">
        <f>E293</f>
        <v/>
      </c>
      <c r="B293" s="117" t="s">
        <v>148</v>
      </c>
      <c r="C293" s="117" t="s">
        <v>58</v>
      </c>
      <c r="D293" s="117" t="s">
        <v>62</v>
      </c>
      <c r="E293" s="117" t="n">
        <v>881077470</v>
      </c>
      <c r="F293" s="117" t="s">
        <v>153</v>
      </c>
      <c r="G293" s="118" t="n">
        <v>14990</v>
      </c>
      <c r="H293" s="118" t="n">
        <v>4</v>
      </c>
      <c r="I293" s="393" t="n">
        <v>43385.59930555556</v>
      </c>
      <c r="J293" s="3" t="s">
        <v>154</v>
      </c>
      <c r="K293" s="171">
        <f>VLOOKUP(D293,Base!D:E,2,0)</f>
        <v/>
      </c>
    </row>
    <row customHeight="1" ht="15" r="294" s="183" spans="1:15">
      <c r="A294" s="37">
        <f>E294</f>
        <v/>
      </c>
      <c r="B294" s="117" t="s">
        <v>148</v>
      </c>
      <c r="C294" s="117" t="s">
        <v>63</v>
      </c>
      <c r="D294" s="117" t="s">
        <v>64</v>
      </c>
      <c r="E294" s="117" t="n">
        <v>881077470</v>
      </c>
      <c r="F294" s="117" t="s">
        <v>153</v>
      </c>
      <c r="G294" s="118" t="n">
        <v>17990</v>
      </c>
      <c r="H294" s="118" t="n">
        <v>4</v>
      </c>
      <c r="I294" s="393" t="n">
        <v>43385.59930555556</v>
      </c>
      <c r="J294" s="3" t="s">
        <v>154</v>
      </c>
      <c r="K294" s="171">
        <f>VLOOKUP(D294,Base!D:E,2,0)</f>
        <v/>
      </c>
    </row>
    <row customHeight="1" ht="15" r="295" s="183" spans="1:15">
      <c r="A295" s="37">
        <f>E295</f>
        <v/>
      </c>
      <c r="B295" s="117" t="s">
        <v>148</v>
      </c>
      <c r="C295" s="117" t="s">
        <v>63</v>
      </c>
      <c r="D295" s="117" t="s">
        <v>65</v>
      </c>
      <c r="E295" s="117" t="n">
        <v>881077470</v>
      </c>
      <c r="F295" s="117" t="s">
        <v>153</v>
      </c>
      <c r="G295" s="118" t="n">
        <v>21990</v>
      </c>
      <c r="H295" s="118" t="n">
        <v>1</v>
      </c>
      <c r="I295" s="393" t="n">
        <v>43385.59930555556</v>
      </c>
      <c r="J295" s="3" t="s">
        <v>154</v>
      </c>
      <c r="K295" s="171">
        <f>VLOOKUP(D295,Base!D:E,2,0)</f>
        <v/>
      </c>
    </row>
    <row customHeight="1" ht="15" r="296" s="183" spans="1:15">
      <c r="A296" s="37">
        <f>E296</f>
        <v/>
      </c>
      <c r="B296" s="117" t="s">
        <v>148</v>
      </c>
      <c r="C296" s="117" t="s">
        <v>63</v>
      </c>
      <c r="D296" s="117" t="s">
        <v>66</v>
      </c>
      <c r="E296" s="117" t="n">
        <v>881077470</v>
      </c>
      <c r="F296" s="117" t="s">
        <v>153</v>
      </c>
      <c r="G296" s="118" t="n">
        <v>21490</v>
      </c>
      <c r="H296" s="118" t="n">
        <v>4</v>
      </c>
      <c r="I296" s="393" t="n">
        <v>43385.59930555556</v>
      </c>
      <c r="J296" s="3" t="s">
        <v>154</v>
      </c>
      <c r="K296" s="171">
        <f>VLOOKUP(D296,Base!D:E,2,0)</f>
        <v/>
      </c>
    </row>
    <row customHeight="1" ht="15" r="297" s="183" spans="1:15">
      <c r="A297" s="37">
        <f>E297</f>
        <v/>
      </c>
      <c r="B297" s="117" t="s">
        <v>148</v>
      </c>
      <c r="C297" s="117" t="s">
        <v>63</v>
      </c>
      <c r="D297" s="117" t="s">
        <v>67</v>
      </c>
      <c r="E297" s="117" t="n">
        <v>881077470</v>
      </c>
      <c r="F297" s="117" t="s">
        <v>153</v>
      </c>
      <c r="G297" s="118" t="n">
        <v>20490</v>
      </c>
      <c r="H297" s="118" t="n">
        <v>4</v>
      </c>
      <c r="I297" s="393" t="n">
        <v>43385.59930555556</v>
      </c>
      <c r="J297" s="3" t="s">
        <v>154</v>
      </c>
      <c r="K297" s="171">
        <f>VLOOKUP(D297,Base!D:E,2,0)</f>
        <v/>
      </c>
    </row>
    <row customHeight="1" ht="15" r="298" s="183" spans="1:15">
      <c r="A298" s="37">
        <f>E298</f>
        <v/>
      </c>
      <c r="B298" s="117" t="s">
        <v>148</v>
      </c>
      <c r="C298" s="117" t="s">
        <v>68</v>
      </c>
      <c r="D298" s="117" t="s">
        <v>69</v>
      </c>
      <c r="E298" s="117" t="n">
        <v>881077470</v>
      </c>
      <c r="F298" s="117" t="s">
        <v>153</v>
      </c>
      <c r="G298" s="118" t="n">
        <v>21490</v>
      </c>
      <c r="H298" s="118" t="n">
        <v>5</v>
      </c>
      <c r="I298" s="393" t="n">
        <v>43385.59930555556</v>
      </c>
      <c r="J298" s="3" t="s">
        <v>154</v>
      </c>
      <c r="K298" s="171">
        <f>VLOOKUP(D298,Base!D:E,2,0)</f>
        <v/>
      </c>
    </row>
    <row customHeight="1" ht="15" r="299" s="183" spans="1:15">
      <c r="A299" s="37">
        <f>E299</f>
        <v/>
      </c>
      <c r="B299" s="117" t="s">
        <v>148</v>
      </c>
      <c r="C299" s="117" t="s">
        <v>68</v>
      </c>
      <c r="D299" s="117" t="s">
        <v>70</v>
      </c>
      <c r="E299" s="117" t="n">
        <v>881077470</v>
      </c>
      <c r="F299" s="117" t="s">
        <v>153</v>
      </c>
      <c r="G299" s="118" t="n">
        <v>22990</v>
      </c>
      <c r="H299" s="118" t="n">
        <v>1</v>
      </c>
      <c r="I299" s="393" t="n">
        <v>43385.59861111111</v>
      </c>
      <c r="J299" s="3" t="s">
        <v>154</v>
      </c>
      <c r="K299" s="171">
        <f>VLOOKUP(D299,Base!D:E,2,0)</f>
        <v/>
      </c>
    </row>
    <row customHeight="1" ht="15" r="300" s="183" spans="1:15">
      <c r="A300" s="37">
        <f>E300</f>
        <v/>
      </c>
      <c r="B300" s="117" t="s">
        <v>148</v>
      </c>
      <c r="C300" s="117" t="s">
        <v>71</v>
      </c>
      <c r="D300" s="117" t="s">
        <v>72</v>
      </c>
      <c r="E300" s="117" t="n">
        <v>881077470</v>
      </c>
      <c r="F300" s="117" t="s">
        <v>153</v>
      </c>
      <c r="G300" s="118" t="n">
        <v>79990</v>
      </c>
      <c r="H300" s="118" t="n">
        <v>13</v>
      </c>
      <c r="I300" s="393" t="n">
        <v>43385.59930555556</v>
      </c>
      <c r="J300" s="3" t="s">
        <v>154</v>
      </c>
      <c r="K300" s="171">
        <f>VLOOKUP(D300,Base!D:E,2,0)</f>
        <v/>
      </c>
    </row>
    <row customHeight="1" ht="15" r="301" s="183" spans="1:15">
      <c r="A301" s="37">
        <f>E301</f>
        <v/>
      </c>
      <c r="B301" s="117" t="s">
        <v>148</v>
      </c>
      <c r="C301" s="117" t="s">
        <v>73</v>
      </c>
      <c r="D301" s="117" t="s">
        <v>74</v>
      </c>
      <c r="E301" s="117" t="n">
        <v>881077470</v>
      </c>
      <c r="F301" s="117" t="s">
        <v>153</v>
      </c>
      <c r="G301" s="118" t="n">
        <v>29990</v>
      </c>
      <c r="H301" s="118" t="n">
        <v>5</v>
      </c>
      <c r="I301" s="393" t="n">
        <v>43385.59861111111</v>
      </c>
      <c r="J301" s="3" t="s">
        <v>154</v>
      </c>
      <c r="K301" s="171">
        <f>VLOOKUP(D301,Base!D:E,2,0)</f>
        <v/>
      </c>
    </row>
    <row customHeight="1" ht="15" r="302" s="183" spans="1:15">
      <c r="A302" s="37">
        <f>E302</f>
        <v/>
      </c>
      <c r="B302" s="117" t="s">
        <v>148</v>
      </c>
      <c r="C302" s="117" t="s">
        <v>75</v>
      </c>
      <c r="D302" s="117" t="s">
        <v>76</v>
      </c>
      <c r="E302" s="117" t="n">
        <v>881077470</v>
      </c>
      <c r="F302" s="117" t="s">
        <v>153</v>
      </c>
      <c r="G302" s="118" t="n">
        <v>10990</v>
      </c>
      <c r="H302" s="118" t="n">
        <v>4</v>
      </c>
      <c r="I302" s="393" t="n">
        <v>43385.59930555556</v>
      </c>
      <c r="J302" s="3" t="s">
        <v>154</v>
      </c>
      <c r="K302" s="171">
        <f>VLOOKUP(D302,Base!D:E,2,0)</f>
        <v/>
      </c>
    </row>
    <row customHeight="1" ht="15" r="303" s="183" spans="1:15">
      <c r="A303" s="37">
        <f>E303</f>
        <v/>
      </c>
      <c r="B303" s="117" t="s">
        <v>148</v>
      </c>
      <c r="C303" s="117" t="s">
        <v>75</v>
      </c>
      <c r="D303" s="117" t="s">
        <v>77</v>
      </c>
      <c r="E303" s="117" t="n">
        <v>881077470</v>
      </c>
      <c r="F303" s="117" t="s">
        <v>153</v>
      </c>
      <c r="G303" s="118" t="n">
        <v>10990</v>
      </c>
      <c r="H303" s="118" t="n">
        <v>4</v>
      </c>
      <c r="I303" s="393" t="n">
        <v>43385.59930555556</v>
      </c>
      <c r="J303" s="3" t="s">
        <v>154</v>
      </c>
      <c r="K303" s="171">
        <f>VLOOKUP(D303,Base!D:E,2,0)</f>
        <v/>
      </c>
    </row>
    <row customHeight="1" ht="15" r="304" s="183" spans="1:15">
      <c r="A304" s="37">
        <f>E304</f>
        <v/>
      </c>
      <c r="B304" s="117" t="s">
        <v>148</v>
      </c>
      <c r="C304" s="117" t="s">
        <v>75</v>
      </c>
      <c r="D304" s="117" t="s">
        <v>78</v>
      </c>
      <c r="E304" s="117" t="n">
        <v>881077470</v>
      </c>
      <c r="F304" s="117" t="s">
        <v>153</v>
      </c>
      <c r="G304" s="118" t="n">
        <v>12490</v>
      </c>
      <c r="H304" s="118" t="n">
        <v>4</v>
      </c>
      <c r="I304" s="393" t="n">
        <v>43385.59930555556</v>
      </c>
      <c r="J304" s="3" t="s">
        <v>154</v>
      </c>
      <c r="K304" s="171">
        <f>VLOOKUP(D304,Base!D:E,2,0)</f>
        <v/>
      </c>
    </row>
    <row customHeight="1" ht="15" r="305" s="183" spans="1:15">
      <c r="A305" s="37">
        <f>E305</f>
        <v/>
      </c>
      <c r="B305" s="117" t="s">
        <v>148</v>
      </c>
      <c r="C305" s="117" t="s">
        <v>75</v>
      </c>
      <c r="D305" s="117" t="s">
        <v>79</v>
      </c>
      <c r="E305" s="117" t="n">
        <v>881077470</v>
      </c>
      <c r="F305" s="117" t="s">
        <v>153</v>
      </c>
      <c r="G305" s="118" t="n">
        <v>11490</v>
      </c>
      <c r="H305" s="118" t="n">
        <v>4</v>
      </c>
      <c r="I305" s="393" t="n">
        <v>43385.59930555556</v>
      </c>
      <c r="J305" s="3" t="s">
        <v>154</v>
      </c>
      <c r="K305" s="171">
        <f>VLOOKUP(D305,Base!D:E,2,0)</f>
        <v/>
      </c>
    </row>
    <row customHeight="1" ht="15" r="306" s="183" spans="1:15">
      <c r="A306" s="37">
        <f>E306</f>
        <v/>
      </c>
      <c r="B306" s="117" t="s">
        <v>148</v>
      </c>
      <c r="C306" s="117" t="s">
        <v>75</v>
      </c>
      <c r="D306" s="117" t="s">
        <v>80</v>
      </c>
      <c r="E306" s="117" t="n">
        <v>881077470</v>
      </c>
      <c r="F306" s="117" t="s">
        <v>153</v>
      </c>
      <c r="G306" s="118" t="n">
        <v>11490</v>
      </c>
      <c r="H306" s="118" t="n">
        <v>4</v>
      </c>
      <c r="I306" s="393" t="n">
        <v>43385.59930555556</v>
      </c>
      <c r="J306" s="3" t="s">
        <v>154</v>
      </c>
      <c r="K306" s="171">
        <f>VLOOKUP(D306,Base!D:E,2,0)</f>
        <v/>
      </c>
    </row>
    <row customHeight="1" ht="15" r="307" s="183" spans="1:15">
      <c r="A307" s="37">
        <f>E307</f>
        <v/>
      </c>
      <c r="B307" s="117" t="s">
        <v>148</v>
      </c>
      <c r="C307" s="117" t="s">
        <v>75</v>
      </c>
      <c r="D307" s="117" t="s">
        <v>81</v>
      </c>
      <c r="E307" s="117" t="n">
        <v>881077470</v>
      </c>
      <c r="F307" s="117" t="s">
        <v>153</v>
      </c>
      <c r="G307" s="118" t="n">
        <v>11490</v>
      </c>
      <c r="H307" s="118" t="n">
        <v>4</v>
      </c>
      <c r="I307" s="393" t="n">
        <v>43385.59930555556</v>
      </c>
      <c r="J307" s="3" t="s">
        <v>154</v>
      </c>
      <c r="K307" s="171">
        <f>VLOOKUP(D307,Base!D:E,2,0)</f>
        <v/>
      </c>
    </row>
    <row customHeight="1" ht="15" r="308" s="183" spans="1:15">
      <c r="A308" s="37">
        <f>E308</f>
        <v/>
      </c>
      <c r="B308" s="117" t="s">
        <v>148</v>
      </c>
      <c r="C308" s="117" t="s">
        <v>75</v>
      </c>
      <c r="D308" s="117" t="s">
        <v>82</v>
      </c>
      <c r="E308" s="117" t="n">
        <v>881077470</v>
      </c>
      <c r="F308" s="117" t="s">
        <v>153</v>
      </c>
      <c r="G308" s="118" t="n">
        <v>11990</v>
      </c>
      <c r="H308" s="118" t="n">
        <v>4</v>
      </c>
      <c r="I308" s="393" t="n">
        <v>43385.59861111111</v>
      </c>
      <c r="J308" s="3" t="s">
        <v>154</v>
      </c>
      <c r="K308" s="171">
        <f>VLOOKUP(D308,Base!D:E,2,0)</f>
        <v/>
      </c>
    </row>
    <row customHeight="1" ht="15" r="309" s="183" spans="1:15">
      <c r="A309" s="37">
        <f>E309</f>
        <v/>
      </c>
      <c r="B309" s="117" t="s">
        <v>148</v>
      </c>
      <c r="C309" s="117" t="s">
        <v>75</v>
      </c>
      <c r="D309" s="117" t="s">
        <v>83</v>
      </c>
      <c r="E309" s="117" t="n">
        <v>881077470</v>
      </c>
      <c r="F309" s="117" t="s">
        <v>153</v>
      </c>
      <c r="G309" s="118" t="n">
        <v>11490</v>
      </c>
      <c r="H309" s="118" t="n">
        <v>4</v>
      </c>
      <c r="I309" s="393" t="n">
        <v>43385.59930555556</v>
      </c>
      <c r="J309" s="3" t="s">
        <v>154</v>
      </c>
      <c r="K309" s="171">
        <f>VLOOKUP(D309,Base!D:E,2,0)</f>
        <v/>
      </c>
    </row>
    <row customHeight="1" ht="15" r="310" s="183" spans="1:15">
      <c r="A310" s="37">
        <f>E310</f>
        <v/>
      </c>
      <c r="B310" s="117" t="s">
        <v>148</v>
      </c>
      <c r="C310" s="117" t="s">
        <v>75</v>
      </c>
      <c r="D310" s="117" t="s">
        <v>84</v>
      </c>
      <c r="E310" s="117" t="n">
        <v>881077470</v>
      </c>
      <c r="F310" s="117" t="s">
        <v>153</v>
      </c>
      <c r="G310" s="118" t="n">
        <v>9990</v>
      </c>
      <c r="H310" s="118" t="n">
        <v>4</v>
      </c>
      <c r="I310" s="393" t="n">
        <v>43385.59930555556</v>
      </c>
      <c r="J310" s="3" t="s">
        <v>154</v>
      </c>
      <c r="K310" s="171">
        <f>VLOOKUP(D310,Base!D:E,2,0)</f>
        <v/>
      </c>
    </row>
    <row customHeight="1" ht="15" r="311" s="183" spans="1:15">
      <c r="A311" s="37">
        <f>E311</f>
        <v/>
      </c>
      <c r="B311" s="117" t="s">
        <v>148</v>
      </c>
      <c r="C311" s="117" t="s">
        <v>75</v>
      </c>
      <c r="D311" s="117" t="s">
        <v>85</v>
      </c>
      <c r="E311" s="117" t="n">
        <v>881077470</v>
      </c>
      <c r="F311" s="117" t="s">
        <v>153</v>
      </c>
      <c r="G311" s="118" t="n">
        <v>10490</v>
      </c>
      <c r="H311" s="118" t="n">
        <v>4</v>
      </c>
      <c r="I311" s="393" t="n">
        <v>43385.59861111111</v>
      </c>
      <c r="J311" s="3" t="s">
        <v>154</v>
      </c>
      <c r="K311" s="171">
        <f>VLOOKUP(D311,Base!D:E,2,0)</f>
        <v/>
      </c>
    </row>
    <row customHeight="1" ht="15" r="312" s="183" spans="1:15">
      <c r="A312" s="37">
        <f>E312</f>
        <v/>
      </c>
      <c r="B312" s="117" t="s">
        <v>148</v>
      </c>
      <c r="C312" s="117" t="s">
        <v>86</v>
      </c>
      <c r="D312" s="117" t="s">
        <v>87</v>
      </c>
      <c r="E312" s="117" t="n">
        <v>881077470</v>
      </c>
      <c r="F312" s="117" t="s">
        <v>153</v>
      </c>
      <c r="G312" s="118" t="n">
        <v>15490</v>
      </c>
      <c r="H312" s="118" t="n">
        <v>4</v>
      </c>
      <c r="I312" s="393" t="n">
        <v>43385.59930555556</v>
      </c>
      <c r="J312" s="3" t="s">
        <v>154</v>
      </c>
      <c r="K312" s="171">
        <f>VLOOKUP(D312,Base!D:E,2,0)</f>
        <v/>
      </c>
    </row>
    <row customHeight="1" ht="15" r="313" s="183" spans="1:15">
      <c r="A313" s="37">
        <f>E313</f>
        <v/>
      </c>
      <c r="B313" s="117" t="s">
        <v>148</v>
      </c>
      <c r="C313" s="117" t="s">
        <v>86</v>
      </c>
      <c r="D313" s="117" t="s">
        <v>88</v>
      </c>
      <c r="E313" s="117" t="n">
        <v>881077470</v>
      </c>
      <c r="F313" s="117" t="s">
        <v>153</v>
      </c>
      <c r="G313" s="118" t="n">
        <v>14990</v>
      </c>
      <c r="H313" s="118" t="n">
        <v>4</v>
      </c>
      <c r="I313" s="393" t="n">
        <v>43385.59930555556</v>
      </c>
      <c r="J313" s="3" t="s">
        <v>154</v>
      </c>
      <c r="K313" s="171">
        <f>VLOOKUP(D313,Base!D:E,2,0)</f>
        <v/>
      </c>
    </row>
    <row customHeight="1" ht="15" r="314" s="183" spans="1:15">
      <c r="A314" s="37">
        <f>E314</f>
        <v/>
      </c>
      <c r="B314" s="117" t="s">
        <v>148</v>
      </c>
      <c r="C314" s="117" t="s">
        <v>86</v>
      </c>
      <c r="D314" s="117" t="s">
        <v>89</v>
      </c>
      <c r="E314" s="117" t="n">
        <v>881077470</v>
      </c>
      <c r="F314" s="117" t="s">
        <v>153</v>
      </c>
      <c r="G314" s="118" t="n">
        <v>16990</v>
      </c>
      <c r="H314" s="118" t="n">
        <v>4</v>
      </c>
      <c r="I314" s="393" t="n">
        <v>43385.59930555556</v>
      </c>
      <c r="J314" s="3" t="s">
        <v>154</v>
      </c>
      <c r="K314" s="171">
        <f>VLOOKUP(D314,Base!D:E,2,0)</f>
        <v/>
      </c>
    </row>
    <row customHeight="1" ht="15" r="315" s="183" spans="1:15">
      <c r="A315" s="37">
        <f>E315</f>
        <v/>
      </c>
      <c r="B315" s="117" t="s">
        <v>148</v>
      </c>
      <c r="C315" s="117" t="s">
        <v>86</v>
      </c>
      <c r="D315" s="117" t="s">
        <v>90</v>
      </c>
      <c r="E315" s="117" t="n">
        <v>881077470</v>
      </c>
      <c r="F315" s="117" t="s">
        <v>153</v>
      </c>
      <c r="G315" s="118" t="n">
        <v>16490</v>
      </c>
      <c r="H315" s="118" t="n">
        <v>4</v>
      </c>
      <c r="I315" s="393" t="n">
        <v>43385.59861111111</v>
      </c>
      <c r="J315" s="3" t="s">
        <v>154</v>
      </c>
      <c r="K315" s="171">
        <f>VLOOKUP(D315,Base!D:E,2,0)</f>
        <v/>
      </c>
    </row>
    <row customHeight="1" ht="15" r="316" s="183" spans="1:15">
      <c r="A316" s="37">
        <f>E316</f>
        <v/>
      </c>
      <c r="B316" s="117" t="s">
        <v>148</v>
      </c>
      <c r="C316" s="117" t="s">
        <v>86</v>
      </c>
      <c r="D316" s="117" t="s">
        <v>91</v>
      </c>
      <c r="E316" s="117" t="n">
        <v>881077470</v>
      </c>
      <c r="F316" s="117" t="s">
        <v>153</v>
      </c>
      <c r="G316" s="118" t="n">
        <v>14990</v>
      </c>
      <c r="H316" s="118" t="n">
        <v>4</v>
      </c>
      <c r="I316" s="393" t="n">
        <v>43385.59930555556</v>
      </c>
      <c r="J316" s="3" t="s">
        <v>154</v>
      </c>
      <c r="K316" s="171">
        <f>VLOOKUP(D316,Base!D:E,2,0)</f>
        <v/>
      </c>
    </row>
    <row customHeight="1" ht="15" r="317" s="183" spans="1:15">
      <c r="A317" s="37">
        <f>E317</f>
        <v/>
      </c>
      <c r="B317" s="117" t="s">
        <v>148</v>
      </c>
      <c r="C317" s="117" t="s">
        <v>86</v>
      </c>
      <c r="D317" s="117" t="s">
        <v>92</v>
      </c>
      <c r="E317" s="117" t="n">
        <v>881077470</v>
      </c>
      <c r="F317" s="117" t="s">
        <v>153</v>
      </c>
      <c r="G317" s="118" t="n">
        <v>16490</v>
      </c>
      <c r="H317" s="118" t="n">
        <v>4</v>
      </c>
      <c r="I317" s="393" t="n">
        <v>43385.59930555556</v>
      </c>
      <c r="J317" s="3" t="s">
        <v>154</v>
      </c>
      <c r="K317" s="171">
        <f>VLOOKUP(D317,Base!D:E,2,0)</f>
        <v/>
      </c>
    </row>
    <row customHeight="1" ht="15" r="318" s="183" spans="1:15">
      <c r="A318" s="37">
        <f>E318</f>
        <v/>
      </c>
      <c r="B318" s="117" t="s">
        <v>148</v>
      </c>
      <c r="C318" s="117" t="s">
        <v>86</v>
      </c>
      <c r="D318" s="117" t="s">
        <v>93</v>
      </c>
      <c r="E318" s="117" t="n">
        <v>881077470</v>
      </c>
      <c r="F318" s="117" t="s">
        <v>153</v>
      </c>
      <c r="G318" s="118" t="n">
        <v>15990</v>
      </c>
      <c r="H318" s="118" t="n">
        <v>4</v>
      </c>
      <c r="I318" s="393" t="n">
        <v>43385.59930555556</v>
      </c>
      <c r="J318" s="3" t="s">
        <v>154</v>
      </c>
      <c r="K318" s="171">
        <f>VLOOKUP(D318,Base!D:E,2,0)</f>
        <v/>
      </c>
    </row>
    <row customHeight="1" ht="15" r="319" s="183" spans="1:15">
      <c r="A319" s="37">
        <f>E319</f>
        <v/>
      </c>
      <c r="B319" s="117" t="s">
        <v>148</v>
      </c>
      <c r="C319" s="117" t="s">
        <v>86</v>
      </c>
      <c r="D319" s="117" t="s">
        <v>94</v>
      </c>
      <c r="E319" s="117" t="n">
        <v>881077470</v>
      </c>
      <c r="F319" s="117" t="s">
        <v>153</v>
      </c>
      <c r="G319" s="118" t="n">
        <v>16490</v>
      </c>
      <c r="H319" s="118" t="n">
        <v>4</v>
      </c>
      <c r="I319" s="393" t="n">
        <v>43385.59861111111</v>
      </c>
      <c r="J319" s="3" t="s">
        <v>154</v>
      </c>
      <c r="K319" s="171">
        <f>VLOOKUP(D319,Base!D:E,2,0)</f>
        <v/>
      </c>
    </row>
    <row customHeight="1" ht="15" r="320" s="183" spans="1:15">
      <c r="A320" s="37">
        <f>E320</f>
        <v/>
      </c>
      <c r="B320" s="117" t="s">
        <v>148</v>
      </c>
      <c r="C320" s="117" t="s">
        <v>86</v>
      </c>
      <c r="D320" s="117" t="s">
        <v>95</v>
      </c>
      <c r="E320" s="117" t="n">
        <v>881077470</v>
      </c>
      <c r="F320" s="117" t="s">
        <v>153</v>
      </c>
      <c r="G320" s="118" t="n">
        <v>14990</v>
      </c>
      <c r="H320" s="118" t="n">
        <v>4</v>
      </c>
      <c r="I320" s="393" t="n">
        <v>43385.59930555556</v>
      </c>
      <c r="J320" s="3" t="s">
        <v>154</v>
      </c>
      <c r="K320" s="171">
        <f>VLOOKUP(D320,Base!D:E,2,0)</f>
        <v/>
      </c>
    </row>
    <row customHeight="1" ht="15" r="321" s="183" spans="1:15">
      <c r="A321" s="37">
        <f>E321</f>
        <v/>
      </c>
      <c r="B321" s="117" t="s">
        <v>148</v>
      </c>
      <c r="C321" s="117" t="s">
        <v>96</v>
      </c>
      <c r="D321" s="117" t="s">
        <v>97</v>
      </c>
      <c r="E321" s="117" t="n">
        <v>881077470</v>
      </c>
      <c r="F321" s="117" t="s">
        <v>153</v>
      </c>
      <c r="G321" s="118" t="n">
        <v>12990</v>
      </c>
      <c r="H321" s="118" t="n">
        <v>4</v>
      </c>
      <c r="I321" s="393" t="n">
        <v>43385.59930555556</v>
      </c>
      <c r="J321" s="3" t="s">
        <v>154</v>
      </c>
      <c r="K321" s="171">
        <f>VLOOKUP(D321,Base!D:E,2,0)</f>
        <v/>
      </c>
    </row>
    <row customHeight="1" ht="15" r="322" s="183" spans="1:15">
      <c r="A322" s="37">
        <f>E322</f>
        <v/>
      </c>
      <c r="B322" s="117" t="s">
        <v>148</v>
      </c>
      <c r="C322" s="117" t="s">
        <v>96</v>
      </c>
      <c r="D322" s="117" t="s">
        <v>98</v>
      </c>
      <c r="E322" s="117" t="n">
        <v>881077470</v>
      </c>
      <c r="F322" s="117" t="s">
        <v>153</v>
      </c>
      <c r="G322" s="118" t="n">
        <v>8990</v>
      </c>
      <c r="H322" s="118" t="n">
        <v>4</v>
      </c>
      <c r="I322" s="393" t="n">
        <v>43385.59930555556</v>
      </c>
      <c r="J322" s="3" t="s">
        <v>154</v>
      </c>
      <c r="K322" s="171">
        <f>VLOOKUP(D322,Base!D:E,2,0)</f>
        <v/>
      </c>
    </row>
    <row customHeight="1" ht="15" r="323" s="183" spans="1:15">
      <c r="A323" s="37">
        <f>E323</f>
        <v/>
      </c>
      <c r="B323" s="117" t="s">
        <v>148</v>
      </c>
      <c r="C323" s="117" t="s">
        <v>96</v>
      </c>
      <c r="D323" s="117" t="s">
        <v>99</v>
      </c>
      <c r="E323" s="117" t="n">
        <v>881077470</v>
      </c>
      <c r="F323" s="117" t="s">
        <v>153</v>
      </c>
      <c r="G323" s="118" t="n">
        <v>15490</v>
      </c>
      <c r="H323" s="118" t="n">
        <v>4</v>
      </c>
      <c r="I323" s="393" t="n">
        <v>43385.59930555556</v>
      </c>
      <c r="J323" s="3" t="s">
        <v>154</v>
      </c>
      <c r="K323" s="171">
        <f>VLOOKUP(D323,Base!D:E,2,0)</f>
        <v/>
      </c>
    </row>
    <row customHeight="1" ht="15" r="324" s="183" spans="1:15">
      <c r="A324" s="37">
        <f>E324</f>
        <v/>
      </c>
      <c r="B324" s="117" t="s">
        <v>148</v>
      </c>
      <c r="C324" s="117" t="s">
        <v>96</v>
      </c>
      <c r="D324" s="117" t="s">
        <v>100</v>
      </c>
      <c r="E324" s="117" t="n">
        <v>881077470</v>
      </c>
      <c r="F324" s="117" t="s">
        <v>153</v>
      </c>
      <c r="G324" s="118" t="n">
        <v>11990</v>
      </c>
      <c r="H324" s="118" t="n">
        <v>4</v>
      </c>
      <c r="I324" s="393" t="n">
        <v>43385.59930555556</v>
      </c>
      <c r="J324" s="3" t="s">
        <v>154</v>
      </c>
      <c r="K324" s="171">
        <f>VLOOKUP(D324,Base!D:E,2,0)</f>
        <v/>
      </c>
    </row>
    <row customHeight="1" ht="15" r="325" s="183" spans="1:15">
      <c r="A325" s="37">
        <f>E325</f>
        <v/>
      </c>
      <c r="B325" s="117" t="s">
        <v>148</v>
      </c>
      <c r="C325" s="117" t="s">
        <v>101</v>
      </c>
      <c r="D325" s="117" t="s">
        <v>102</v>
      </c>
      <c r="E325" s="117" t="n">
        <v>881077470</v>
      </c>
      <c r="F325" s="117" t="s">
        <v>153</v>
      </c>
      <c r="G325" s="118" t="n">
        <v>12990</v>
      </c>
      <c r="H325" s="118" t="n">
        <v>4</v>
      </c>
      <c r="I325" s="393" t="n">
        <v>43385.59930555556</v>
      </c>
      <c r="J325" s="3" t="s">
        <v>154</v>
      </c>
      <c r="K325" s="171">
        <f>VLOOKUP(D325,Base!D:E,2,0)</f>
        <v/>
      </c>
    </row>
    <row customHeight="1" ht="15" r="326" s="183" spans="1:15">
      <c r="A326" s="37">
        <f>E326</f>
        <v/>
      </c>
      <c r="B326" s="117" t="s">
        <v>148</v>
      </c>
      <c r="C326" s="117" t="s">
        <v>101</v>
      </c>
      <c r="D326" s="117" t="s">
        <v>103</v>
      </c>
      <c r="E326" s="117" t="n">
        <v>881077470</v>
      </c>
      <c r="F326" s="117" t="s">
        <v>153</v>
      </c>
      <c r="G326" s="118" t="n">
        <v>15490</v>
      </c>
      <c r="H326" s="118" t="n">
        <v>4</v>
      </c>
      <c r="I326" s="393" t="n">
        <v>43385.59930555556</v>
      </c>
      <c r="J326" s="3" t="s">
        <v>154</v>
      </c>
      <c r="K326" s="171">
        <f>VLOOKUP(D326,Base!D:E,2,0)</f>
        <v/>
      </c>
    </row>
    <row customHeight="1" ht="15" r="327" s="183" spans="1:15">
      <c r="A327" s="37">
        <f>E327</f>
        <v/>
      </c>
      <c r="B327" s="117" t="s">
        <v>148</v>
      </c>
      <c r="C327" s="117" t="s">
        <v>101</v>
      </c>
      <c r="D327" s="117" t="s">
        <v>104</v>
      </c>
      <c r="E327" s="117" t="n">
        <v>881077470</v>
      </c>
      <c r="F327" s="117" t="s">
        <v>153</v>
      </c>
      <c r="G327" s="118" t="n">
        <v>13990</v>
      </c>
      <c r="H327" s="118" t="n">
        <v>4</v>
      </c>
      <c r="I327" s="393" t="n">
        <v>43385.59861111111</v>
      </c>
      <c r="J327" s="3" t="s">
        <v>154</v>
      </c>
      <c r="K327" s="171">
        <f>VLOOKUP(D327,Base!D:E,2,0)</f>
        <v/>
      </c>
    </row>
    <row customHeight="1" ht="15" r="328" s="183" spans="1:15">
      <c r="A328" s="37">
        <f>E328</f>
        <v/>
      </c>
      <c r="B328" s="117" t="s">
        <v>148</v>
      </c>
      <c r="C328" s="117" t="s">
        <v>105</v>
      </c>
      <c r="D328" s="117" t="s">
        <v>106</v>
      </c>
      <c r="E328" s="117" t="n">
        <v>881077470</v>
      </c>
      <c r="F328" s="117" t="s">
        <v>153</v>
      </c>
      <c r="G328" s="118" t="n">
        <v>11990</v>
      </c>
      <c r="H328" s="118" t="n">
        <v>4</v>
      </c>
      <c r="I328" s="393" t="n">
        <v>43385.59930555556</v>
      </c>
      <c r="J328" s="3" t="s">
        <v>154</v>
      </c>
      <c r="K328" s="171">
        <f>VLOOKUP(D328,Base!D:E,2,0)</f>
        <v/>
      </c>
    </row>
    <row customHeight="1" ht="15" r="329" s="183" spans="1:15">
      <c r="A329" s="37">
        <f>E329</f>
        <v/>
      </c>
      <c r="B329" s="117" t="s">
        <v>148</v>
      </c>
      <c r="C329" s="117" t="s">
        <v>105</v>
      </c>
      <c r="D329" s="117" t="s">
        <v>107</v>
      </c>
      <c r="E329" s="117" t="n">
        <v>881077470</v>
      </c>
      <c r="F329" s="117" t="s">
        <v>153</v>
      </c>
      <c r="G329" s="118" t="n">
        <v>9990</v>
      </c>
      <c r="H329" s="118" t="n">
        <v>1</v>
      </c>
      <c r="I329" s="393" t="n">
        <v>43385.59861111111</v>
      </c>
      <c r="J329" s="3" t="s">
        <v>154</v>
      </c>
      <c r="K329" s="171">
        <f>VLOOKUP(D329,Base!D:E,2,0)</f>
        <v/>
      </c>
    </row>
    <row customHeight="1" ht="15" r="330" s="183" spans="1:15">
      <c r="A330" s="37">
        <f>E330</f>
        <v/>
      </c>
      <c r="B330" s="117" t="s">
        <v>148</v>
      </c>
      <c r="C330" s="117" t="s">
        <v>105</v>
      </c>
      <c r="D330" s="117" t="s">
        <v>108</v>
      </c>
      <c r="E330" s="117" t="n">
        <v>881077470</v>
      </c>
      <c r="F330" s="117" t="s">
        <v>153</v>
      </c>
      <c r="G330" s="118" t="n">
        <v>9490</v>
      </c>
      <c r="H330" s="118" t="n">
        <v>1</v>
      </c>
      <c r="I330" s="393" t="n">
        <v>43385.59861111111</v>
      </c>
      <c r="J330" s="3" t="s">
        <v>154</v>
      </c>
      <c r="K330" s="171">
        <f>VLOOKUP(D330,Base!D:E,2,0)</f>
        <v/>
      </c>
    </row>
    <row customHeight="1" ht="15" r="331" s="183" spans="1:15">
      <c r="A331" s="37">
        <f>E331</f>
        <v/>
      </c>
      <c r="B331" s="117" t="s">
        <v>148</v>
      </c>
      <c r="C331" s="117" t="s">
        <v>105</v>
      </c>
      <c r="D331" s="117" t="s">
        <v>109</v>
      </c>
      <c r="E331" s="117" t="n">
        <v>881077470</v>
      </c>
      <c r="F331" s="117" t="s">
        <v>153</v>
      </c>
      <c r="G331" s="118" t="n">
        <v>10990</v>
      </c>
      <c r="H331" s="118" t="n">
        <v>1</v>
      </c>
      <c r="I331" s="393" t="n">
        <v>43385.59930555556</v>
      </c>
      <c r="J331" s="3" t="s">
        <v>154</v>
      </c>
      <c r="K331" s="171">
        <f>VLOOKUP(D331,Base!D:E,2,0)</f>
        <v/>
      </c>
    </row>
    <row customHeight="1" ht="15" r="332" s="183" spans="1:15">
      <c r="A332" s="37">
        <f>E332</f>
        <v/>
      </c>
      <c r="B332" s="117" t="s">
        <v>148</v>
      </c>
      <c r="C332" s="117" t="s">
        <v>105</v>
      </c>
      <c r="D332" s="117" t="s">
        <v>110</v>
      </c>
      <c r="E332" s="117" t="n">
        <v>881077470</v>
      </c>
      <c r="F332" s="117" t="s">
        <v>153</v>
      </c>
      <c r="G332" s="118" t="n">
        <v>9990</v>
      </c>
      <c r="H332" s="118" t="n">
        <v>1</v>
      </c>
      <c r="I332" s="393" t="n">
        <v>43385.59930555556</v>
      </c>
      <c r="J332" s="3" t="s">
        <v>154</v>
      </c>
      <c r="K332" s="171">
        <f>VLOOKUP(D332,Base!D:E,2,0)</f>
        <v/>
      </c>
    </row>
    <row customHeight="1" ht="15" r="333" s="183" spans="1:15">
      <c r="A333" s="37">
        <f>E333</f>
        <v/>
      </c>
      <c r="B333" s="117" t="s">
        <v>148</v>
      </c>
      <c r="C333" s="117" t="s">
        <v>105</v>
      </c>
      <c r="D333" s="117" t="s">
        <v>111</v>
      </c>
      <c r="E333" s="117" t="n">
        <v>881077470</v>
      </c>
      <c r="F333" s="117" t="s">
        <v>153</v>
      </c>
      <c r="G333" s="118" t="n">
        <v>9990</v>
      </c>
      <c r="H333" s="118" t="n">
        <v>1</v>
      </c>
      <c r="I333" s="393" t="n">
        <v>43385.59930555556</v>
      </c>
      <c r="J333" s="3" t="s">
        <v>154</v>
      </c>
      <c r="K333" s="171">
        <f>VLOOKUP(D333,Base!D:E,2,0)</f>
        <v/>
      </c>
    </row>
    <row customHeight="1" ht="15" r="334" s="183" spans="1:15">
      <c r="A334" s="37">
        <f>E334</f>
        <v/>
      </c>
      <c r="B334" s="117" t="s">
        <v>148</v>
      </c>
      <c r="C334" s="117" t="s">
        <v>105</v>
      </c>
      <c r="D334" s="117" t="s">
        <v>112</v>
      </c>
      <c r="E334" s="117" t="n">
        <v>881077470</v>
      </c>
      <c r="F334" s="117" t="s">
        <v>153</v>
      </c>
      <c r="G334" s="118" t="n">
        <v>9990</v>
      </c>
      <c r="H334" s="118" t="n">
        <v>1</v>
      </c>
      <c r="I334" s="393" t="n">
        <v>43385.59861111111</v>
      </c>
      <c r="J334" s="3" t="s">
        <v>154</v>
      </c>
      <c r="K334" s="171">
        <f>VLOOKUP(D334,Base!D:E,2,0)</f>
        <v/>
      </c>
    </row>
    <row customHeight="1" ht="15" r="335" s="183" spans="1:15">
      <c r="A335" s="37">
        <f>E335</f>
        <v/>
      </c>
      <c r="B335" s="117" t="s">
        <v>148</v>
      </c>
      <c r="C335" s="117" t="s">
        <v>105</v>
      </c>
      <c r="D335" s="117" t="s">
        <v>113</v>
      </c>
      <c r="E335" s="117" t="n">
        <v>881077470</v>
      </c>
      <c r="F335" s="117" t="s">
        <v>153</v>
      </c>
      <c r="G335" s="118" t="n">
        <v>9990</v>
      </c>
      <c r="H335" s="118" t="n">
        <v>1</v>
      </c>
      <c r="I335" s="393" t="n">
        <v>43385.59861111111</v>
      </c>
      <c r="J335" s="3" t="s">
        <v>154</v>
      </c>
      <c r="K335" s="171">
        <f>VLOOKUP(D335,Base!D:E,2,0)</f>
        <v/>
      </c>
    </row>
    <row customHeight="1" ht="15" r="336" s="183" spans="1:15">
      <c r="A336" s="37">
        <f>E336</f>
        <v/>
      </c>
      <c r="B336" s="117" t="s">
        <v>148</v>
      </c>
      <c r="C336" s="117" t="s">
        <v>105</v>
      </c>
      <c r="D336" s="117" t="s">
        <v>114</v>
      </c>
      <c r="E336" s="117" t="n">
        <v>881077470</v>
      </c>
      <c r="F336" s="117" t="s">
        <v>153</v>
      </c>
      <c r="G336" s="118" t="n">
        <v>9990</v>
      </c>
      <c r="H336" s="118" t="n">
        <v>1</v>
      </c>
      <c r="I336" s="393" t="n">
        <v>43385.59930555556</v>
      </c>
      <c r="J336" s="3" t="s">
        <v>154</v>
      </c>
      <c r="K336" s="171">
        <f>VLOOKUP(D336,Base!D:E,2,0)</f>
        <v/>
      </c>
    </row>
    <row customHeight="1" ht="15" r="337" s="183" spans="1:15">
      <c r="A337" s="37">
        <f>E337</f>
        <v/>
      </c>
      <c r="B337" s="117" t="s">
        <v>148</v>
      </c>
      <c r="C337" s="117" t="s">
        <v>105</v>
      </c>
      <c r="D337" s="117" t="s">
        <v>115</v>
      </c>
      <c r="E337" s="117" t="n">
        <v>881077470</v>
      </c>
      <c r="F337" s="117" t="s">
        <v>153</v>
      </c>
      <c r="G337" s="118" t="n">
        <v>9990</v>
      </c>
      <c r="H337" s="118" t="n">
        <v>1</v>
      </c>
      <c r="I337" s="393" t="n">
        <v>43385.59930555556</v>
      </c>
      <c r="J337" s="3" t="s">
        <v>154</v>
      </c>
      <c r="K337" s="171">
        <f>VLOOKUP(D337,Base!D:E,2,0)</f>
        <v/>
      </c>
    </row>
    <row customHeight="1" ht="15" r="338" s="183" spans="1:15">
      <c r="A338" s="37">
        <f>E338</f>
        <v/>
      </c>
      <c r="B338" s="117" t="s">
        <v>148</v>
      </c>
      <c r="C338" s="117" t="s">
        <v>105</v>
      </c>
      <c r="D338" s="117" t="s">
        <v>150</v>
      </c>
      <c r="E338" s="117" t="n">
        <v>881077470</v>
      </c>
      <c r="F338" s="117" t="s">
        <v>153</v>
      </c>
      <c r="G338" s="118" t="n">
        <v>10990</v>
      </c>
      <c r="H338" s="118" t="n">
        <v>1</v>
      </c>
      <c r="I338" s="393" t="n">
        <v>43385.59930555556</v>
      </c>
      <c r="J338" s="3" t="s">
        <v>154</v>
      </c>
      <c r="K338" s="171">
        <f>VLOOKUP(D338,Base!D:E,2,0)</f>
        <v/>
      </c>
    </row>
    <row customHeight="1" ht="15" r="339" s="183" spans="1:15">
      <c r="A339" s="37">
        <f>E339</f>
        <v/>
      </c>
      <c r="B339" s="117" t="s">
        <v>148</v>
      </c>
      <c r="C339" s="117" t="s">
        <v>105</v>
      </c>
      <c r="D339" s="117" t="s">
        <v>116</v>
      </c>
      <c r="E339" s="117" t="n">
        <v>881077470</v>
      </c>
      <c r="F339" s="117" t="s">
        <v>153</v>
      </c>
      <c r="G339" s="118" t="n">
        <v>9990</v>
      </c>
      <c r="H339" s="118" t="n">
        <v>1</v>
      </c>
      <c r="I339" s="393" t="n">
        <v>43385.59930555556</v>
      </c>
      <c r="J339" s="3" t="s">
        <v>154</v>
      </c>
      <c r="K339" s="171">
        <f>VLOOKUP(D339,Base!D:E,2,0)</f>
        <v/>
      </c>
    </row>
    <row customHeight="1" ht="15" r="340" s="183" spans="1:15">
      <c r="A340" s="37">
        <f>E340</f>
        <v/>
      </c>
      <c r="B340" s="117" t="s">
        <v>148</v>
      </c>
      <c r="C340" s="117" t="s">
        <v>105</v>
      </c>
      <c r="D340" s="117" t="s">
        <v>117</v>
      </c>
      <c r="E340" s="117" t="n">
        <v>881077470</v>
      </c>
      <c r="F340" s="117" t="s">
        <v>153</v>
      </c>
      <c r="G340" s="118" t="n">
        <v>9990</v>
      </c>
      <c r="H340" s="118" t="n">
        <v>1</v>
      </c>
      <c r="I340" s="393" t="n">
        <v>43385.59861111111</v>
      </c>
      <c r="J340" s="3" t="s">
        <v>154</v>
      </c>
      <c r="K340" s="171">
        <f>VLOOKUP(D340,Base!D:E,2,0)</f>
        <v/>
      </c>
    </row>
    <row customHeight="1" ht="15" r="341" s="183" spans="1:15">
      <c r="A341" s="37">
        <f>E341</f>
        <v/>
      </c>
      <c r="B341" s="117" t="s">
        <v>148</v>
      </c>
      <c r="C341" s="117" t="s">
        <v>105</v>
      </c>
      <c r="D341" s="117" t="s">
        <v>119</v>
      </c>
      <c r="E341" s="117" t="n">
        <v>881077470</v>
      </c>
      <c r="F341" s="117" t="s">
        <v>153</v>
      </c>
      <c r="G341" s="118" t="n">
        <v>9990</v>
      </c>
      <c r="H341" s="118" t="n">
        <v>1</v>
      </c>
      <c r="I341" s="393" t="n">
        <v>43385.59930555556</v>
      </c>
      <c r="J341" s="3" t="s">
        <v>154</v>
      </c>
      <c r="K341" s="171">
        <f>VLOOKUP(D341,Base!D:E,2,0)</f>
        <v/>
      </c>
    </row>
    <row customHeight="1" ht="15" r="342" s="183" spans="1:15">
      <c r="A342" s="37">
        <f>E342</f>
        <v/>
      </c>
      <c r="B342" s="117" t="s">
        <v>148</v>
      </c>
      <c r="C342" s="117" t="s">
        <v>105</v>
      </c>
      <c r="D342" s="117" t="s">
        <v>120</v>
      </c>
      <c r="E342" s="117" t="n">
        <v>881077470</v>
      </c>
      <c r="F342" s="117" t="s">
        <v>153</v>
      </c>
      <c r="G342" s="118" t="n">
        <v>10990</v>
      </c>
      <c r="H342" s="118" t="n">
        <v>1</v>
      </c>
      <c r="I342" s="393" t="n">
        <v>43385.59930555556</v>
      </c>
      <c r="J342" s="3" t="s">
        <v>154</v>
      </c>
      <c r="K342" s="171">
        <f>VLOOKUP(D342,Base!D:E,2,0)</f>
        <v/>
      </c>
    </row>
    <row customHeight="1" ht="15" r="343" s="183" spans="1:15">
      <c r="A343" s="37">
        <f>E343</f>
        <v/>
      </c>
      <c r="B343" s="117" t="s">
        <v>148</v>
      </c>
      <c r="C343" s="117" t="s">
        <v>105</v>
      </c>
      <c r="D343" s="117" t="s">
        <v>121</v>
      </c>
      <c r="E343" s="117" t="n">
        <v>881077470</v>
      </c>
      <c r="F343" s="117" t="s">
        <v>153</v>
      </c>
      <c r="G343" s="118" t="n">
        <v>9990</v>
      </c>
      <c r="H343" s="118" t="n">
        <v>1</v>
      </c>
      <c r="I343" s="393" t="n">
        <v>43385.59930555556</v>
      </c>
      <c r="J343" s="3" t="s">
        <v>154</v>
      </c>
      <c r="K343" s="171">
        <f>VLOOKUP(D343,Base!D:E,2,0)</f>
        <v/>
      </c>
    </row>
    <row customHeight="1" ht="15" r="344" s="183" spans="1:15">
      <c r="A344" s="37">
        <f>E344</f>
        <v/>
      </c>
      <c r="B344" s="117" t="s">
        <v>148</v>
      </c>
      <c r="C344" s="117" t="s">
        <v>105</v>
      </c>
      <c r="D344" s="117" t="s">
        <v>122</v>
      </c>
      <c r="E344" s="117" t="n">
        <v>881077470</v>
      </c>
      <c r="F344" s="117" t="s">
        <v>153</v>
      </c>
      <c r="G344" s="118" t="n">
        <v>9990</v>
      </c>
      <c r="H344" s="118" t="n">
        <v>1</v>
      </c>
      <c r="I344" s="393" t="n">
        <v>43385.59930555556</v>
      </c>
      <c r="J344" s="3" t="s">
        <v>154</v>
      </c>
      <c r="K344" s="171">
        <f>VLOOKUP(D344,Base!D:E,2,0)</f>
        <v/>
      </c>
    </row>
    <row customHeight="1" ht="15" r="345" s="183" spans="1:15">
      <c r="A345" s="37">
        <f>E345</f>
        <v/>
      </c>
      <c r="B345" s="117" t="s">
        <v>148</v>
      </c>
      <c r="C345" s="117" t="s">
        <v>105</v>
      </c>
      <c r="D345" s="117" t="s">
        <v>123</v>
      </c>
      <c r="E345" s="117" t="n">
        <v>881077470</v>
      </c>
      <c r="F345" s="117" t="s">
        <v>153</v>
      </c>
      <c r="G345" s="118" t="n">
        <v>8990</v>
      </c>
      <c r="H345" s="118" t="n">
        <v>1</v>
      </c>
      <c r="I345" s="393" t="n">
        <v>43385.59930555556</v>
      </c>
      <c r="J345" s="3" t="s">
        <v>154</v>
      </c>
      <c r="K345" s="171">
        <f>VLOOKUP(D345,Base!D:E,2,0)</f>
        <v/>
      </c>
    </row>
    <row customHeight="1" ht="15" r="346" s="183" spans="1:15">
      <c r="A346" s="37">
        <f>E346</f>
        <v/>
      </c>
      <c r="B346" s="117" t="s">
        <v>148</v>
      </c>
      <c r="C346" s="117" t="s">
        <v>105</v>
      </c>
      <c r="D346" s="117" t="s">
        <v>124</v>
      </c>
      <c r="E346" s="117" t="n">
        <v>881077470</v>
      </c>
      <c r="F346" s="117" t="s">
        <v>153</v>
      </c>
      <c r="G346" s="118" t="n">
        <v>9990</v>
      </c>
      <c r="H346" s="118" t="n">
        <v>1</v>
      </c>
      <c r="I346" s="393" t="n">
        <v>43385.59861111111</v>
      </c>
      <c r="J346" s="3" t="s">
        <v>154</v>
      </c>
      <c r="K346" s="171">
        <f>VLOOKUP(D346,Base!D:E,2,0)</f>
        <v/>
      </c>
    </row>
    <row customHeight="1" ht="15" r="347" s="183" spans="1:15">
      <c r="A347" s="37">
        <f>E347</f>
        <v/>
      </c>
      <c r="B347" s="117" t="s">
        <v>148</v>
      </c>
      <c r="C347" s="117" t="s">
        <v>105</v>
      </c>
      <c r="D347" s="117" t="s">
        <v>125</v>
      </c>
      <c r="E347" s="117" t="n">
        <v>881077470</v>
      </c>
      <c r="F347" s="117" t="s">
        <v>153</v>
      </c>
      <c r="G347" s="118" t="n">
        <v>9990</v>
      </c>
      <c r="H347" s="118" t="n">
        <v>1</v>
      </c>
      <c r="I347" s="393" t="n">
        <v>43385.59930555556</v>
      </c>
      <c r="J347" s="3" t="s">
        <v>154</v>
      </c>
      <c r="K347" s="171">
        <f>VLOOKUP(D347,Base!D:E,2,0)</f>
        <v/>
      </c>
    </row>
    <row customHeight="1" ht="15" r="348" s="183" spans="1:15">
      <c r="A348" s="37">
        <f>E348</f>
        <v/>
      </c>
      <c r="B348" s="117" t="s">
        <v>148</v>
      </c>
      <c r="C348" s="117" t="s">
        <v>105</v>
      </c>
      <c r="D348" s="117" t="s">
        <v>126</v>
      </c>
      <c r="E348" s="117" t="n">
        <v>881077470</v>
      </c>
      <c r="F348" s="117" t="s">
        <v>153</v>
      </c>
      <c r="G348" s="118" t="n">
        <v>9990</v>
      </c>
      <c r="H348" s="118" t="n">
        <v>1</v>
      </c>
      <c r="I348" s="393" t="n">
        <v>43385.59861111111</v>
      </c>
      <c r="J348" s="3" t="s">
        <v>154</v>
      </c>
      <c r="K348" s="171">
        <f>VLOOKUP(D348,Base!D:E,2,0)</f>
        <v/>
      </c>
    </row>
    <row customHeight="1" ht="15" r="349" s="183" spans="1:15">
      <c r="A349" s="37">
        <f>E349</f>
        <v/>
      </c>
      <c r="B349" s="117" t="s">
        <v>148</v>
      </c>
      <c r="C349" s="117" t="s">
        <v>105</v>
      </c>
      <c r="D349" s="117" t="s">
        <v>127</v>
      </c>
      <c r="E349" s="117" t="n">
        <v>881077470</v>
      </c>
      <c r="F349" s="117" t="s">
        <v>153</v>
      </c>
      <c r="G349" s="118" t="n">
        <v>14490</v>
      </c>
      <c r="H349" s="118" t="n">
        <v>1</v>
      </c>
      <c r="I349" s="393" t="n">
        <v>43385.59861111111</v>
      </c>
      <c r="J349" s="3" t="s">
        <v>154</v>
      </c>
      <c r="K349" s="171">
        <f>VLOOKUP(D349,Base!D:E,2,0)</f>
        <v/>
      </c>
    </row>
    <row customHeight="1" ht="15" r="350" s="183" spans="1:15">
      <c r="A350" s="37">
        <f>E350</f>
        <v/>
      </c>
      <c r="B350" s="117" t="s">
        <v>148</v>
      </c>
      <c r="C350" s="117" t="s">
        <v>105</v>
      </c>
      <c r="D350" s="117" t="s">
        <v>128</v>
      </c>
      <c r="E350" s="117" t="n">
        <v>881077470</v>
      </c>
      <c r="F350" s="117" t="s">
        <v>153</v>
      </c>
      <c r="G350" s="118" t="n">
        <v>9990</v>
      </c>
      <c r="H350" s="118" t="n">
        <v>1</v>
      </c>
      <c r="I350" s="393" t="n">
        <v>43385.59930555556</v>
      </c>
      <c r="J350" s="3" t="s">
        <v>154</v>
      </c>
      <c r="K350" s="171">
        <f>VLOOKUP(D350,Base!D:E,2,0)</f>
        <v/>
      </c>
    </row>
    <row customHeight="1" ht="15" r="351" s="183" spans="1:15">
      <c r="A351" s="37">
        <f>E351</f>
        <v/>
      </c>
      <c r="B351" s="117" t="s">
        <v>148</v>
      </c>
      <c r="C351" s="117" t="s">
        <v>105</v>
      </c>
      <c r="D351" s="117" t="s">
        <v>129</v>
      </c>
      <c r="E351" s="117" t="n">
        <v>881077470</v>
      </c>
      <c r="F351" s="117" t="s">
        <v>153</v>
      </c>
      <c r="G351" s="118" t="n">
        <v>11490</v>
      </c>
      <c r="H351" s="118" t="n">
        <v>4</v>
      </c>
      <c r="I351" s="393" t="n">
        <v>43385.59930555556</v>
      </c>
      <c r="J351" s="3" t="s">
        <v>154</v>
      </c>
      <c r="K351" s="171">
        <f>VLOOKUP(D351,Base!D:E,2,0)</f>
        <v/>
      </c>
    </row>
    <row customHeight="1" ht="15" r="352" s="183" spans="1:15">
      <c r="A352" s="37">
        <f>E352</f>
        <v/>
      </c>
      <c r="B352" s="117" t="s">
        <v>148</v>
      </c>
      <c r="C352" s="117" t="s">
        <v>105</v>
      </c>
      <c r="D352" s="117" t="s">
        <v>130</v>
      </c>
      <c r="E352" s="117" t="n">
        <v>881077470</v>
      </c>
      <c r="F352" s="117" t="s">
        <v>153</v>
      </c>
      <c r="G352" s="118" t="n">
        <v>11490</v>
      </c>
      <c r="H352" s="118" t="n">
        <v>1</v>
      </c>
      <c r="I352" s="393" t="n">
        <v>43385.59930555556</v>
      </c>
      <c r="J352" s="3" t="s">
        <v>154</v>
      </c>
      <c r="K352" s="171">
        <f>VLOOKUP(D352,Base!D:E,2,0)</f>
        <v/>
      </c>
    </row>
    <row customHeight="1" ht="15" r="353" s="183" spans="1:15">
      <c r="A353" s="37">
        <f>E353</f>
        <v/>
      </c>
      <c r="B353" s="117" t="s">
        <v>148</v>
      </c>
      <c r="C353" s="117" t="s">
        <v>105</v>
      </c>
      <c r="D353" s="117" t="s">
        <v>131</v>
      </c>
      <c r="E353" s="117" t="n">
        <v>881077470</v>
      </c>
      <c r="F353" s="117" t="s">
        <v>153</v>
      </c>
      <c r="G353" s="118" t="n">
        <v>8990</v>
      </c>
      <c r="H353" s="118" t="n">
        <v>1</v>
      </c>
      <c r="I353" s="393" t="n">
        <v>43385.59861111111</v>
      </c>
      <c r="J353" s="3" t="s">
        <v>154</v>
      </c>
      <c r="K353" s="171">
        <f>VLOOKUP(D353,Base!D:E,2,0)</f>
        <v/>
      </c>
    </row>
    <row customHeight="1" ht="15" r="354" s="183" spans="1:15">
      <c r="A354" s="37">
        <f>E354</f>
        <v/>
      </c>
      <c r="B354" s="117" t="s">
        <v>148</v>
      </c>
      <c r="C354" s="117" t="s">
        <v>105</v>
      </c>
      <c r="D354" s="117" t="s">
        <v>132</v>
      </c>
      <c r="E354" s="117" t="n">
        <v>881077470</v>
      </c>
      <c r="F354" s="117" t="s">
        <v>153</v>
      </c>
      <c r="G354" s="118" t="n">
        <v>11490</v>
      </c>
      <c r="H354" s="118" t="n">
        <v>4</v>
      </c>
      <c r="I354" s="393" t="n">
        <v>43385.59861111111</v>
      </c>
      <c r="J354" s="3" t="s">
        <v>154</v>
      </c>
      <c r="K354" s="171">
        <f>VLOOKUP(D354,Base!D:E,2,0)</f>
        <v/>
      </c>
    </row>
    <row customHeight="1" ht="15" r="355" s="183" spans="1:15">
      <c r="A355" s="37">
        <f>E355</f>
        <v/>
      </c>
      <c r="B355" s="117" t="s">
        <v>148</v>
      </c>
      <c r="C355" s="117" t="s">
        <v>105</v>
      </c>
      <c r="D355" s="117" t="s">
        <v>133</v>
      </c>
      <c r="E355" s="117" t="n">
        <v>881077470</v>
      </c>
      <c r="F355" s="117" t="s">
        <v>153</v>
      </c>
      <c r="G355" s="118" t="n">
        <v>9990</v>
      </c>
      <c r="H355" s="118" t="n">
        <v>1</v>
      </c>
      <c r="I355" s="393" t="n">
        <v>43385.59930555556</v>
      </c>
      <c r="J355" s="3" t="s">
        <v>154</v>
      </c>
      <c r="K355" s="171">
        <f>VLOOKUP(D355,Base!D:E,2,0)</f>
        <v/>
      </c>
    </row>
    <row customHeight="1" ht="15" r="356" s="183" spans="1:15">
      <c r="A356" s="37">
        <f>E356</f>
        <v/>
      </c>
      <c r="B356" s="117" t="s">
        <v>148</v>
      </c>
      <c r="C356" s="117" t="s">
        <v>105</v>
      </c>
      <c r="D356" s="117" t="s">
        <v>134</v>
      </c>
      <c r="E356" s="117" t="n">
        <v>881077470</v>
      </c>
      <c r="F356" s="117" t="s">
        <v>153</v>
      </c>
      <c r="G356" s="118" t="n">
        <v>9990</v>
      </c>
      <c r="H356" s="118" t="n">
        <v>1</v>
      </c>
      <c r="I356" s="393" t="n">
        <v>43385.59930555556</v>
      </c>
      <c r="J356" s="3" t="s">
        <v>154</v>
      </c>
      <c r="K356" s="171">
        <f>VLOOKUP(D356,Base!D:E,2,0)</f>
        <v/>
      </c>
    </row>
    <row customHeight="1" ht="15" r="357" s="183" spans="1:15">
      <c r="A357" s="37">
        <f>E357</f>
        <v/>
      </c>
      <c r="B357" s="117" t="s">
        <v>148</v>
      </c>
      <c r="C357" s="117" t="s">
        <v>105</v>
      </c>
      <c r="D357" s="117" t="s">
        <v>135</v>
      </c>
      <c r="E357" s="117" t="n">
        <v>881077470</v>
      </c>
      <c r="F357" s="117" t="s">
        <v>153</v>
      </c>
      <c r="G357" s="118" t="n">
        <v>9990</v>
      </c>
      <c r="H357" s="118" t="n">
        <v>1</v>
      </c>
      <c r="I357" s="393" t="n">
        <v>43385.59930555556</v>
      </c>
      <c r="J357" s="3" t="s">
        <v>154</v>
      </c>
      <c r="K357" s="171">
        <f>VLOOKUP(D357,Base!D:E,2,0)</f>
        <v/>
      </c>
    </row>
    <row customHeight="1" ht="15" r="358" s="183" spans="1:15">
      <c r="A358" s="37">
        <f>E358</f>
        <v/>
      </c>
      <c r="B358" s="117" t="s">
        <v>148</v>
      </c>
      <c r="C358" s="117" t="s">
        <v>105</v>
      </c>
      <c r="D358" s="117" t="s">
        <v>136</v>
      </c>
      <c r="E358" s="117" t="n">
        <v>881077470</v>
      </c>
      <c r="F358" s="117" t="s">
        <v>153</v>
      </c>
      <c r="G358" s="118" t="n">
        <v>9990</v>
      </c>
      <c r="H358" s="118" t="n">
        <v>1</v>
      </c>
      <c r="I358" s="393" t="n">
        <v>43385.59930555556</v>
      </c>
      <c r="J358" s="3" t="s">
        <v>154</v>
      </c>
      <c r="K358" s="171">
        <f>VLOOKUP(D358,Base!D:E,2,0)</f>
        <v/>
      </c>
    </row>
    <row customHeight="1" ht="15" r="359" s="183" spans="1:15">
      <c r="A359" s="37">
        <f>E359</f>
        <v/>
      </c>
      <c r="B359" s="117" t="s">
        <v>148</v>
      </c>
      <c r="C359" s="117" t="s">
        <v>105</v>
      </c>
      <c r="D359" s="117" t="s">
        <v>137</v>
      </c>
      <c r="E359" s="117" t="n">
        <v>881077470</v>
      </c>
      <c r="F359" s="117" t="s">
        <v>153</v>
      </c>
      <c r="G359" s="118" t="n">
        <v>9990</v>
      </c>
      <c r="H359" s="118" t="n">
        <v>1</v>
      </c>
      <c r="I359" s="393" t="n">
        <v>43385.59861111111</v>
      </c>
      <c r="J359" s="3" t="s">
        <v>154</v>
      </c>
      <c r="K359" s="171">
        <f>VLOOKUP(D359,Base!D:E,2,0)</f>
        <v/>
      </c>
    </row>
    <row customHeight="1" ht="15" r="360" s="183" spans="1:15">
      <c r="A360" s="37">
        <f>E360</f>
        <v/>
      </c>
      <c r="B360" s="117" t="s">
        <v>148</v>
      </c>
      <c r="C360" s="117" t="s">
        <v>105</v>
      </c>
      <c r="D360" s="117" t="s">
        <v>138</v>
      </c>
      <c r="E360" s="117" t="n">
        <v>881077470</v>
      </c>
      <c r="F360" s="117" t="s">
        <v>153</v>
      </c>
      <c r="G360" s="118" t="n">
        <v>9990</v>
      </c>
      <c r="H360" s="118" t="n">
        <v>1</v>
      </c>
      <c r="I360" s="393" t="n">
        <v>43385.59930555556</v>
      </c>
      <c r="J360" s="3" t="s">
        <v>154</v>
      </c>
      <c r="K360" s="171">
        <f>VLOOKUP(D360,Base!D:E,2,0)</f>
        <v/>
      </c>
    </row>
    <row customHeight="1" ht="15" r="361" s="183" spans="1:15">
      <c r="A361" s="37">
        <f>E361</f>
        <v/>
      </c>
      <c r="B361" s="117" t="s">
        <v>148</v>
      </c>
      <c r="C361" s="117" t="s">
        <v>105</v>
      </c>
      <c r="D361" s="117" t="s">
        <v>139</v>
      </c>
      <c r="E361" s="117" t="n">
        <v>881077470</v>
      </c>
      <c r="F361" s="117" t="s">
        <v>153</v>
      </c>
      <c r="G361" s="118" t="n">
        <v>9990</v>
      </c>
      <c r="H361" s="118" t="n">
        <v>1</v>
      </c>
      <c r="I361" s="393" t="n">
        <v>43385.59861111111</v>
      </c>
      <c r="J361" s="3" t="s">
        <v>154</v>
      </c>
      <c r="K361" s="171">
        <f>VLOOKUP(D361,Base!D:E,2,0)</f>
        <v/>
      </c>
    </row>
    <row customHeight="1" ht="15" r="362" s="183" spans="1:15">
      <c r="A362" s="37">
        <f>E362</f>
        <v/>
      </c>
      <c r="B362" s="117" t="s">
        <v>148</v>
      </c>
      <c r="C362" s="117" t="s">
        <v>105</v>
      </c>
      <c r="D362" s="117" t="s">
        <v>140</v>
      </c>
      <c r="E362" s="117" t="n">
        <v>881077470</v>
      </c>
      <c r="F362" s="117" t="s">
        <v>153</v>
      </c>
      <c r="G362" s="118" t="n">
        <v>9990</v>
      </c>
      <c r="H362" s="118" t="n">
        <v>1</v>
      </c>
      <c r="I362" s="393" t="n">
        <v>43385.59930555556</v>
      </c>
      <c r="J362" s="3" t="s">
        <v>154</v>
      </c>
      <c r="K362" s="171">
        <f>VLOOKUP(D362,Base!D:E,2,0)</f>
        <v/>
      </c>
    </row>
    <row customHeight="1" ht="15" r="363" s="183" spans="1:15">
      <c r="A363" s="37">
        <f>E363</f>
        <v/>
      </c>
      <c r="B363" s="117" t="s">
        <v>148</v>
      </c>
      <c r="C363" s="117" t="s">
        <v>105</v>
      </c>
      <c r="D363" s="117" t="s">
        <v>141</v>
      </c>
      <c r="E363" s="117" t="n">
        <v>881077470</v>
      </c>
      <c r="F363" s="117" t="s">
        <v>153</v>
      </c>
      <c r="G363" s="118" t="n">
        <v>9990</v>
      </c>
      <c r="H363" s="118" t="n">
        <v>1</v>
      </c>
      <c r="I363" s="393" t="n">
        <v>43385.59930555556</v>
      </c>
      <c r="J363" s="3" t="s">
        <v>154</v>
      </c>
      <c r="K363" s="171">
        <f>VLOOKUP(D363,Base!D:E,2,0)</f>
        <v/>
      </c>
    </row>
    <row customHeight="1" ht="15" r="364" s="183" spans="1:15">
      <c r="A364" s="37">
        <f>E364</f>
        <v/>
      </c>
      <c r="B364" s="117" t="s">
        <v>148</v>
      </c>
      <c r="C364" s="117" t="s">
        <v>105</v>
      </c>
      <c r="D364" s="117" t="s">
        <v>142</v>
      </c>
      <c r="E364" s="117" t="n">
        <v>881077470</v>
      </c>
      <c r="F364" s="117" t="s">
        <v>153</v>
      </c>
      <c r="G364" s="118" t="n">
        <v>8990</v>
      </c>
      <c r="H364" s="118" t="n">
        <v>1</v>
      </c>
      <c r="I364" s="393" t="n">
        <v>43385.59930555556</v>
      </c>
      <c r="J364" s="3" t="s">
        <v>154</v>
      </c>
      <c r="K364" s="171">
        <f>VLOOKUP(D364,Base!D:E,2,0)</f>
        <v/>
      </c>
    </row>
    <row customHeight="1" ht="15" r="365" s="183" spans="1:15">
      <c r="A365" s="37">
        <f>E365</f>
        <v/>
      </c>
      <c r="B365" s="117" t="s">
        <v>148</v>
      </c>
      <c r="C365" s="117" t="s">
        <v>105</v>
      </c>
      <c r="D365" s="117" t="s">
        <v>143</v>
      </c>
      <c r="E365" s="117" t="n">
        <v>881077470</v>
      </c>
      <c r="F365" s="117" t="s">
        <v>153</v>
      </c>
      <c r="G365" s="118" t="n">
        <v>9990</v>
      </c>
      <c r="H365" s="118" t="n">
        <v>1</v>
      </c>
      <c r="I365" s="393" t="n">
        <v>43385.59930555556</v>
      </c>
      <c r="J365" s="3" t="s">
        <v>154</v>
      </c>
      <c r="K365" s="171">
        <f>VLOOKUP(D365,Base!D:E,2,0)</f>
        <v/>
      </c>
    </row>
    <row customHeight="1" ht="15" r="366" s="183" spans="1:15">
      <c r="A366" s="37">
        <f>E366</f>
        <v/>
      </c>
      <c r="B366" s="117" t="s">
        <v>148</v>
      </c>
      <c r="C366" s="117" t="s">
        <v>105</v>
      </c>
      <c r="D366" s="117" t="s">
        <v>144</v>
      </c>
      <c r="E366" s="117" t="n">
        <v>881077470</v>
      </c>
      <c r="F366" s="117" t="s">
        <v>153</v>
      </c>
      <c r="G366" s="118" t="n">
        <v>8990</v>
      </c>
      <c r="H366" s="118" t="n">
        <v>1</v>
      </c>
      <c r="I366" s="393" t="n">
        <v>43385.59861111111</v>
      </c>
      <c r="J366" s="3" t="s">
        <v>154</v>
      </c>
      <c r="K366" s="171">
        <f>VLOOKUP(D366,Base!D:E,2,0)</f>
        <v/>
      </c>
    </row>
    <row customHeight="1" ht="15" r="367" s="183" spans="1:15">
      <c r="A367" s="37">
        <f>E367</f>
        <v/>
      </c>
      <c r="B367" s="117" t="s">
        <v>148</v>
      </c>
      <c r="C367" s="117" t="s">
        <v>105</v>
      </c>
      <c r="D367" s="117" t="s">
        <v>145</v>
      </c>
      <c r="E367" s="117" t="n">
        <v>881077470</v>
      </c>
      <c r="F367" s="117" t="s">
        <v>153</v>
      </c>
      <c r="G367" s="118" t="n">
        <v>10490</v>
      </c>
      <c r="H367" s="118" t="n">
        <v>1</v>
      </c>
      <c r="I367" s="393" t="n">
        <v>43385.59930555556</v>
      </c>
      <c r="J367" s="3" t="s">
        <v>154</v>
      </c>
      <c r="K367" s="171">
        <f>VLOOKUP(D367,Base!D:E,2,0)</f>
        <v/>
      </c>
    </row>
    <row customHeight="1" ht="15" r="368" s="183" spans="1:15">
      <c r="A368" s="37">
        <f>E368</f>
        <v/>
      </c>
      <c r="B368" s="117" t="s">
        <v>148</v>
      </c>
      <c r="C368" s="117" t="s">
        <v>105</v>
      </c>
      <c r="D368" s="117" t="s">
        <v>146</v>
      </c>
      <c r="E368" s="117" t="n">
        <v>881077470</v>
      </c>
      <c r="F368" s="117" t="s">
        <v>153</v>
      </c>
      <c r="G368" s="118" t="n">
        <v>11490</v>
      </c>
      <c r="H368" s="118" t="n">
        <v>4</v>
      </c>
      <c r="I368" s="393" t="n">
        <v>43385.59861111111</v>
      </c>
      <c r="J368" s="3" t="s">
        <v>154</v>
      </c>
      <c r="K368" s="171">
        <f>VLOOKUP(D368,Base!D:E,2,0)</f>
        <v/>
      </c>
    </row>
    <row customHeight="1" ht="15" r="369" s="183" spans="1:15">
      <c r="A369" s="37">
        <f>E369</f>
        <v/>
      </c>
      <c r="B369" s="117" t="s">
        <v>148</v>
      </c>
      <c r="C369" s="117" t="s">
        <v>105</v>
      </c>
      <c r="D369" s="117" t="s">
        <v>147</v>
      </c>
      <c r="E369" s="117" t="n">
        <v>881077470</v>
      </c>
      <c r="F369" s="117" t="s">
        <v>153</v>
      </c>
      <c r="G369" s="118" t="n">
        <v>9990</v>
      </c>
      <c r="H369" s="118" t="n">
        <v>1</v>
      </c>
      <c r="I369" s="393" t="n">
        <v>43385.59861111111</v>
      </c>
      <c r="J369" s="3" t="s">
        <v>154</v>
      </c>
      <c r="K369" s="171">
        <f>VLOOKUP(D369,Base!D:E,2,0)</f>
        <v/>
      </c>
    </row>
    <row customHeight="1" ht="15" r="370" s="183" spans="1:15">
      <c r="A370" s="37">
        <f>E370</f>
        <v/>
      </c>
      <c r="B370" s="117" t="s">
        <v>148</v>
      </c>
      <c r="C370" s="117" t="s">
        <v>36</v>
      </c>
      <c r="D370" s="117" t="s">
        <v>37</v>
      </c>
      <c r="E370" s="117" t="n">
        <v>6454651</v>
      </c>
      <c r="F370" s="117" t="s">
        <v>155</v>
      </c>
      <c r="G370" s="118" t="n">
        <v>21990</v>
      </c>
      <c r="H370" s="118" t="n">
        <v>6</v>
      </c>
      <c r="I370" s="393" t="n">
        <v>43385.59861111111</v>
      </c>
      <c r="J370" s="3" t="s">
        <v>156</v>
      </c>
      <c r="K370" s="171">
        <f>VLOOKUP(D370,Base!D:E,2,0)</f>
        <v/>
      </c>
    </row>
    <row customHeight="1" ht="15" r="371" s="183" spans="1:15">
      <c r="A371" s="37">
        <f>E371</f>
        <v/>
      </c>
      <c r="B371" s="117" t="s">
        <v>148</v>
      </c>
      <c r="C371" s="117" t="s">
        <v>36</v>
      </c>
      <c r="D371" s="117" t="s">
        <v>42</v>
      </c>
      <c r="E371" s="117" t="n">
        <v>6454651</v>
      </c>
      <c r="F371" s="117" t="s">
        <v>155</v>
      </c>
      <c r="G371" s="118" t="n">
        <v>31990</v>
      </c>
      <c r="H371" s="118" t="n">
        <v>7</v>
      </c>
      <c r="I371" s="393" t="n">
        <v>43385.59930555556</v>
      </c>
      <c r="J371" s="3" t="s">
        <v>156</v>
      </c>
      <c r="K371" s="171">
        <f>VLOOKUP(D371,Base!D:E,2,0)</f>
        <v/>
      </c>
    </row>
    <row customHeight="1" ht="15" r="372" s="183" spans="1:15">
      <c r="A372" s="37">
        <f>E372</f>
        <v/>
      </c>
      <c r="B372" s="117" t="s">
        <v>148</v>
      </c>
      <c r="C372" s="117" t="s">
        <v>44</v>
      </c>
      <c r="D372" s="117" t="s">
        <v>45</v>
      </c>
      <c r="E372" s="117" t="n">
        <v>6454651</v>
      </c>
      <c r="F372" s="117" t="s">
        <v>155</v>
      </c>
      <c r="G372" s="118" t="n">
        <v>24990</v>
      </c>
      <c r="H372" s="118" t="n">
        <v>8</v>
      </c>
      <c r="I372" s="393" t="n">
        <v>43385.59861111111</v>
      </c>
      <c r="J372" s="3" t="s">
        <v>156</v>
      </c>
      <c r="K372" s="171">
        <f>VLOOKUP(D372,Base!D:E,2,0)</f>
        <v/>
      </c>
    </row>
    <row customHeight="1" ht="15" r="373" s="183" spans="1:15">
      <c r="A373" s="37">
        <f>E373</f>
        <v/>
      </c>
      <c r="B373" s="117" t="s">
        <v>148</v>
      </c>
      <c r="C373" s="117" t="s">
        <v>46</v>
      </c>
      <c r="D373" s="117" t="s">
        <v>47</v>
      </c>
      <c r="E373" s="117" t="n">
        <v>6454651</v>
      </c>
      <c r="F373" s="117" t="s">
        <v>155</v>
      </c>
      <c r="G373" s="118" t="n">
        <v>23990</v>
      </c>
      <c r="H373" s="118" t="n">
        <v>6</v>
      </c>
      <c r="I373" s="393" t="n">
        <v>43385.59930555556</v>
      </c>
      <c r="J373" s="3" t="s">
        <v>156</v>
      </c>
      <c r="K373" s="171">
        <f>VLOOKUP(D373,Base!D:E,2,0)</f>
        <v/>
      </c>
    </row>
    <row customHeight="1" ht="15" r="374" s="183" spans="1:15">
      <c r="A374" s="37">
        <f>E374</f>
        <v/>
      </c>
      <c r="B374" s="117" t="s">
        <v>148</v>
      </c>
      <c r="C374" s="117" t="s">
        <v>46</v>
      </c>
      <c r="D374" s="117" t="s">
        <v>48</v>
      </c>
      <c r="E374" s="117" t="n">
        <v>6454651</v>
      </c>
      <c r="F374" s="117" t="s">
        <v>155</v>
      </c>
      <c r="G374" s="118" t="n">
        <v>10990</v>
      </c>
      <c r="H374" s="118" t="n">
        <v>8</v>
      </c>
      <c r="I374" s="393" t="n">
        <v>43385.59930555556</v>
      </c>
      <c r="J374" s="3" t="s">
        <v>156</v>
      </c>
      <c r="K374" s="171">
        <f>VLOOKUP(D374,Base!D:E,2,0)</f>
        <v/>
      </c>
    </row>
    <row customHeight="1" ht="15" r="375" s="183" spans="1:15">
      <c r="A375" s="37">
        <f>E375</f>
        <v/>
      </c>
      <c r="B375" s="117" t="s">
        <v>148</v>
      </c>
      <c r="C375" s="117" t="s">
        <v>49</v>
      </c>
      <c r="D375" s="117" t="s">
        <v>50</v>
      </c>
      <c r="E375" s="117" t="n">
        <v>6454651</v>
      </c>
      <c r="F375" s="117" t="s">
        <v>155</v>
      </c>
      <c r="G375" s="118" t="n">
        <v>30990</v>
      </c>
      <c r="H375" s="118" t="n">
        <v>15</v>
      </c>
      <c r="I375" s="393" t="n">
        <v>43385.59861111111</v>
      </c>
      <c r="J375" s="3" t="s">
        <v>156</v>
      </c>
      <c r="K375" s="171">
        <f>VLOOKUP(D375,Base!D:E,2,0)</f>
        <v/>
      </c>
    </row>
    <row customHeight="1" ht="15" r="376" s="183" spans="1:15">
      <c r="A376" s="37">
        <f>E376</f>
        <v/>
      </c>
      <c r="B376" s="117" t="s">
        <v>148</v>
      </c>
      <c r="C376" s="117" t="s">
        <v>51</v>
      </c>
      <c r="D376" s="117" t="s">
        <v>52</v>
      </c>
      <c r="E376" s="117" t="n">
        <v>6454651</v>
      </c>
      <c r="F376" s="117" t="s">
        <v>155</v>
      </c>
      <c r="G376" s="118" t="n">
        <v>18490</v>
      </c>
      <c r="H376" s="118" t="n">
        <v>4</v>
      </c>
      <c r="I376" s="393" t="n">
        <v>43385.59861111111</v>
      </c>
      <c r="J376" s="3" t="s">
        <v>156</v>
      </c>
      <c r="K376" s="171">
        <f>VLOOKUP(D376,Base!D:E,2,0)</f>
        <v/>
      </c>
    </row>
    <row customHeight="1" ht="15" r="377" s="183" spans="1:15">
      <c r="A377" s="37">
        <f>E377</f>
        <v/>
      </c>
      <c r="B377" s="117" t="s">
        <v>148</v>
      </c>
      <c r="C377" s="117" t="s">
        <v>51</v>
      </c>
      <c r="D377" s="117" t="s">
        <v>53</v>
      </c>
      <c r="E377" s="117" t="n">
        <v>6454651</v>
      </c>
      <c r="F377" s="117" t="s">
        <v>155</v>
      </c>
      <c r="G377" s="118" t="n">
        <v>19490</v>
      </c>
      <c r="H377" s="118" t="n">
        <v>6</v>
      </c>
      <c r="I377" s="393" t="n">
        <v>43385.59930555556</v>
      </c>
      <c r="J377" s="3" t="s">
        <v>156</v>
      </c>
      <c r="K377" s="171">
        <f>VLOOKUP(D377,Base!D:E,2,0)</f>
        <v/>
      </c>
    </row>
    <row customHeight="1" ht="15" r="378" s="183" spans="1:15">
      <c r="A378" s="37">
        <f>E378</f>
        <v/>
      </c>
      <c r="B378" s="117" t="s">
        <v>148</v>
      </c>
      <c r="C378" s="117" t="s">
        <v>51</v>
      </c>
      <c r="D378" s="117" t="s">
        <v>54</v>
      </c>
      <c r="E378" s="117" t="n">
        <v>6454651</v>
      </c>
      <c r="F378" s="117" t="s">
        <v>155</v>
      </c>
      <c r="G378" s="118" t="n">
        <v>16490</v>
      </c>
      <c r="H378" s="118" t="n">
        <v>4</v>
      </c>
      <c r="I378" s="393" t="n">
        <v>43385.59861111111</v>
      </c>
      <c r="J378" s="3" t="s">
        <v>156</v>
      </c>
      <c r="K378" s="171">
        <f>VLOOKUP(D378,Base!D:E,2,0)</f>
        <v/>
      </c>
    </row>
    <row customHeight="1" ht="15" r="379" s="183" spans="1:15">
      <c r="A379" s="37">
        <f>E379</f>
        <v/>
      </c>
      <c r="B379" s="117" t="s">
        <v>148</v>
      </c>
      <c r="C379" s="117" t="s">
        <v>51</v>
      </c>
      <c r="D379" s="117" t="s">
        <v>55</v>
      </c>
      <c r="E379" s="117" t="n">
        <v>6454651</v>
      </c>
      <c r="F379" s="117" t="s">
        <v>155</v>
      </c>
      <c r="G379" s="118" t="n">
        <v>16490</v>
      </c>
      <c r="H379" s="118" t="n">
        <v>6</v>
      </c>
      <c r="I379" s="393" t="n">
        <v>43385.59930555556</v>
      </c>
      <c r="J379" s="3" t="s">
        <v>156</v>
      </c>
      <c r="K379" s="171">
        <f>VLOOKUP(D379,Base!D:E,2,0)</f>
        <v/>
      </c>
    </row>
    <row customHeight="1" ht="15" r="380" s="183" spans="1:15">
      <c r="A380" s="37">
        <f>E380</f>
        <v/>
      </c>
      <c r="B380" s="117" t="s">
        <v>148</v>
      </c>
      <c r="C380" s="117" t="s">
        <v>51</v>
      </c>
      <c r="D380" s="117" t="s">
        <v>56</v>
      </c>
      <c r="E380" s="117" t="n">
        <v>6454651</v>
      </c>
      <c r="F380" s="117" t="s">
        <v>155</v>
      </c>
      <c r="G380" s="118" t="n">
        <v>18990</v>
      </c>
      <c r="H380" s="118" t="n">
        <v>4</v>
      </c>
      <c r="I380" s="393" t="n">
        <v>43385.59930555556</v>
      </c>
      <c r="J380" s="3" t="s">
        <v>156</v>
      </c>
      <c r="K380" s="171">
        <f>VLOOKUP(D380,Base!D:E,2,0)</f>
        <v/>
      </c>
    </row>
    <row customHeight="1" ht="15" r="381" s="183" spans="1:15">
      <c r="A381" s="37">
        <f>E381</f>
        <v/>
      </c>
      <c r="B381" s="117" t="s">
        <v>148</v>
      </c>
      <c r="C381" s="117" t="s">
        <v>51</v>
      </c>
      <c r="D381" s="117" t="s">
        <v>57</v>
      </c>
      <c r="E381" s="117" t="n">
        <v>6454651</v>
      </c>
      <c r="F381" s="117" t="s">
        <v>155</v>
      </c>
      <c r="G381" s="118" t="n">
        <v>16490</v>
      </c>
      <c r="H381" s="118" t="n">
        <v>6</v>
      </c>
      <c r="I381" s="393" t="n">
        <v>43385.59930555556</v>
      </c>
      <c r="J381" s="3" t="s">
        <v>156</v>
      </c>
      <c r="K381" s="171">
        <f>VLOOKUP(D381,Base!D:E,2,0)</f>
        <v/>
      </c>
    </row>
    <row customHeight="1" ht="15" r="382" s="183" spans="1:15">
      <c r="A382" s="37">
        <f>E382</f>
        <v/>
      </c>
      <c r="B382" s="117" t="s">
        <v>148</v>
      </c>
      <c r="C382" s="117" t="s">
        <v>58</v>
      </c>
      <c r="D382" s="117" t="s">
        <v>59</v>
      </c>
      <c r="E382" s="117" t="n">
        <v>6454651</v>
      </c>
      <c r="F382" s="117" t="s">
        <v>155</v>
      </c>
      <c r="G382" s="118" t="n">
        <v>13990</v>
      </c>
      <c r="H382" s="118" t="n">
        <v>6</v>
      </c>
      <c r="I382" s="393" t="n">
        <v>43385.59930555556</v>
      </c>
      <c r="J382" s="3" t="s">
        <v>156</v>
      </c>
      <c r="K382" s="171">
        <f>VLOOKUP(D382,Base!D:E,2,0)</f>
        <v/>
      </c>
    </row>
    <row customHeight="1" ht="15" r="383" s="183" spans="1:15">
      <c r="A383" s="37">
        <f>E383</f>
        <v/>
      </c>
      <c r="B383" s="117" t="s">
        <v>148</v>
      </c>
      <c r="C383" s="117" t="s">
        <v>58</v>
      </c>
      <c r="D383" s="117" t="s">
        <v>60</v>
      </c>
      <c r="E383" s="117" t="n">
        <v>6454651</v>
      </c>
      <c r="F383" s="117" t="s">
        <v>155</v>
      </c>
      <c r="G383" s="118" t="n">
        <v>14490</v>
      </c>
      <c r="H383" s="118" t="n">
        <v>6</v>
      </c>
      <c r="I383" s="393" t="n">
        <v>43385.59930555556</v>
      </c>
      <c r="J383" s="3" t="s">
        <v>156</v>
      </c>
      <c r="K383" s="171">
        <f>VLOOKUP(D383,Base!D:E,2,0)</f>
        <v/>
      </c>
    </row>
    <row customHeight="1" ht="15" r="384" s="183" spans="1:15">
      <c r="A384" s="37">
        <f>E384</f>
        <v/>
      </c>
      <c r="B384" s="117" t="s">
        <v>148</v>
      </c>
      <c r="C384" s="117" t="s">
        <v>58</v>
      </c>
      <c r="D384" s="117" t="s">
        <v>61</v>
      </c>
      <c r="E384" s="117" t="n">
        <v>6454651</v>
      </c>
      <c r="F384" s="117" t="s">
        <v>155</v>
      </c>
      <c r="G384" s="118" t="n">
        <v>16490</v>
      </c>
      <c r="H384" s="118" t="n">
        <v>5</v>
      </c>
      <c r="I384" s="393" t="n">
        <v>43385.59930555556</v>
      </c>
      <c r="J384" s="3" t="s">
        <v>156</v>
      </c>
      <c r="K384" s="171">
        <f>VLOOKUP(D384,Base!D:E,2,0)</f>
        <v/>
      </c>
    </row>
    <row customHeight="1" ht="15" r="385" s="183" spans="1:15">
      <c r="A385" s="37">
        <f>E385</f>
        <v/>
      </c>
      <c r="B385" s="117" t="s">
        <v>148</v>
      </c>
      <c r="C385" s="117" t="s">
        <v>58</v>
      </c>
      <c r="D385" s="117" t="s">
        <v>62</v>
      </c>
      <c r="E385" s="117" t="n">
        <v>6454651</v>
      </c>
      <c r="F385" s="117" t="s">
        <v>155</v>
      </c>
      <c r="G385" s="118" t="n">
        <v>14490</v>
      </c>
      <c r="H385" s="118" t="n">
        <v>6</v>
      </c>
      <c r="I385" s="393" t="n">
        <v>43385.59930555556</v>
      </c>
      <c r="J385" s="3" t="s">
        <v>156</v>
      </c>
      <c r="K385" s="171">
        <f>VLOOKUP(D385,Base!D:E,2,0)</f>
        <v/>
      </c>
    </row>
    <row customHeight="1" ht="15" r="386" s="183" spans="1:15">
      <c r="A386" s="37">
        <f>E386</f>
        <v/>
      </c>
      <c r="B386" s="117" t="s">
        <v>148</v>
      </c>
      <c r="C386" s="117" t="s">
        <v>63</v>
      </c>
      <c r="D386" s="117" t="s">
        <v>64</v>
      </c>
      <c r="E386" s="117" t="n">
        <v>6454651</v>
      </c>
      <c r="F386" s="117" t="s">
        <v>155</v>
      </c>
      <c r="G386" s="118" t="n">
        <v>16990</v>
      </c>
      <c r="H386" s="118" t="n">
        <v>4</v>
      </c>
      <c r="I386" s="393" t="n">
        <v>43385.59930555556</v>
      </c>
      <c r="J386" s="3" t="s">
        <v>156</v>
      </c>
      <c r="K386" s="171">
        <f>VLOOKUP(D386,Base!D:E,2,0)</f>
        <v/>
      </c>
    </row>
    <row customHeight="1" ht="15" r="387" s="183" spans="1:15">
      <c r="A387" s="37">
        <f>E387</f>
        <v/>
      </c>
      <c r="B387" s="117" t="s">
        <v>148</v>
      </c>
      <c r="C387" s="117" t="s">
        <v>63</v>
      </c>
      <c r="D387" s="117" t="s">
        <v>65</v>
      </c>
      <c r="E387" s="117" t="n">
        <v>6454651</v>
      </c>
      <c r="F387" s="117" t="s">
        <v>155</v>
      </c>
      <c r="G387" s="118" t="n">
        <v>20990</v>
      </c>
      <c r="H387" s="118" t="n">
        <v>5</v>
      </c>
      <c r="I387" s="393" t="n">
        <v>43385.59930555556</v>
      </c>
      <c r="J387" s="3" t="s">
        <v>156</v>
      </c>
      <c r="K387" s="171">
        <f>VLOOKUP(D387,Base!D:E,2,0)</f>
        <v/>
      </c>
    </row>
    <row customHeight="1" ht="15" r="388" s="183" spans="1:15">
      <c r="A388" s="37">
        <f>E388</f>
        <v/>
      </c>
      <c r="B388" s="117" t="s">
        <v>148</v>
      </c>
      <c r="C388" s="117" t="s">
        <v>63</v>
      </c>
      <c r="D388" s="117" t="s">
        <v>66</v>
      </c>
      <c r="E388" s="117" t="n">
        <v>6454651</v>
      </c>
      <c r="F388" s="117" t="s">
        <v>155</v>
      </c>
      <c r="G388" s="118" t="n">
        <v>20990</v>
      </c>
      <c r="H388" s="118" t="n">
        <v>5</v>
      </c>
      <c r="I388" s="393" t="n">
        <v>43385.59930555556</v>
      </c>
      <c r="J388" s="3" t="s">
        <v>156</v>
      </c>
      <c r="K388" s="171">
        <f>VLOOKUP(D388,Base!D:E,2,0)</f>
        <v/>
      </c>
    </row>
    <row customHeight="1" ht="15" r="389" s="183" spans="1:15">
      <c r="A389" s="37">
        <f>E389</f>
        <v/>
      </c>
      <c r="B389" s="117" t="s">
        <v>148</v>
      </c>
      <c r="C389" s="117" t="s">
        <v>63</v>
      </c>
      <c r="D389" s="117" t="s">
        <v>67</v>
      </c>
      <c r="E389" s="117" t="n">
        <v>6454651</v>
      </c>
      <c r="F389" s="117" t="s">
        <v>155</v>
      </c>
      <c r="G389" s="118" t="n">
        <v>12990</v>
      </c>
      <c r="H389" s="118" t="n">
        <v>5</v>
      </c>
      <c r="I389" s="393" t="n">
        <v>43385.59930555556</v>
      </c>
      <c r="J389" s="3" t="s">
        <v>156</v>
      </c>
      <c r="K389" s="171">
        <f>VLOOKUP(D389,Base!D:E,2,0)</f>
        <v/>
      </c>
    </row>
    <row customHeight="1" ht="15" r="390" s="183" spans="1:15">
      <c r="A390" s="37">
        <f>E390</f>
        <v/>
      </c>
      <c r="B390" s="117" t="s">
        <v>148</v>
      </c>
      <c r="C390" s="117" t="s">
        <v>68</v>
      </c>
      <c r="D390" s="117" t="s">
        <v>69</v>
      </c>
      <c r="E390" s="117" t="n">
        <v>6454651</v>
      </c>
      <c r="F390" s="117" t="s">
        <v>155</v>
      </c>
      <c r="G390" s="118" t="n">
        <v>20990</v>
      </c>
      <c r="H390" s="118" t="n">
        <v>5</v>
      </c>
      <c r="I390" s="393" t="n">
        <v>43385.59930555556</v>
      </c>
      <c r="J390" s="3" t="s">
        <v>156</v>
      </c>
      <c r="K390" s="171">
        <f>VLOOKUP(D390,Base!D:E,2,0)</f>
        <v/>
      </c>
    </row>
    <row customHeight="1" ht="15" r="391" s="183" spans="1:15">
      <c r="A391" s="37">
        <f>E391</f>
        <v/>
      </c>
      <c r="B391" s="117" t="s">
        <v>148</v>
      </c>
      <c r="C391" s="117" t="s">
        <v>68</v>
      </c>
      <c r="D391" s="117" t="s">
        <v>70</v>
      </c>
      <c r="E391" s="117" t="n">
        <v>6454651</v>
      </c>
      <c r="F391" s="117" t="s">
        <v>155</v>
      </c>
      <c r="G391" s="118" t="n">
        <v>21990</v>
      </c>
      <c r="H391" s="118" t="n">
        <v>5</v>
      </c>
      <c r="I391" s="393" t="n">
        <v>43385.59930555556</v>
      </c>
      <c r="J391" s="3" t="s">
        <v>156</v>
      </c>
      <c r="K391" s="171">
        <f>VLOOKUP(D391,Base!D:E,2,0)</f>
        <v/>
      </c>
    </row>
    <row customHeight="1" ht="15" r="392" s="183" spans="1:15">
      <c r="A392" s="37">
        <f>E392</f>
        <v/>
      </c>
      <c r="B392" s="117" t="s">
        <v>148</v>
      </c>
      <c r="C392" s="117" t="s">
        <v>71</v>
      </c>
      <c r="D392" s="117" t="s">
        <v>72</v>
      </c>
      <c r="E392" s="117" t="n">
        <v>6454651</v>
      </c>
      <c r="F392" s="117" t="s">
        <v>155</v>
      </c>
      <c r="G392" s="118" t="n">
        <v>39990</v>
      </c>
      <c r="H392" s="118" t="n">
        <v>17</v>
      </c>
      <c r="I392" s="393" t="n">
        <v>43385.59930555556</v>
      </c>
      <c r="J392" s="3" t="s">
        <v>156</v>
      </c>
      <c r="K392" s="171">
        <f>VLOOKUP(D392,Base!D:E,2,0)</f>
        <v/>
      </c>
    </row>
    <row customHeight="1" ht="15" r="393" s="183" spans="1:15">
      <c r="A393" s="37">
        <f>E393</f>
        <v/>
      </c>
      <c r="B393" s="117" t="s">
        <v>148</v>
      </c>
      <c r="C393" s="117" t="s">
        <v>73</v>
      </c>
      <c r="D393" s="117" t="s">
        <v>74</v>
      </c>
      <c r="E393" s="117" t="n">
        <v>6454651</v>
      </c>
      <c r="F393" s="117" t="s">
        <v>155</v>
      </c>
      <c r="G393" s="118" t="n">
        <v>21990</v>
      </c>
      <c r="H393" s="118" t="n">
        <v>7</v>
      </c>
      <c r="I393" s="393" t="n">
        <v>43385.59861111111</v>
      </c>
      <c r="J393" s="3" t="s">
        <v>156</v>
      </c>
      <c r="K393" s="171">
        <f>VLOOKUP(D393,Base!D:E,2,0)</f>
        <v/>
      </c>
    </row>
    <row customHeight="1" ht="15" r="394" s="183" spans="1:15">
      <c r="A394" s="37">
        <f>E394</f>
        <v/>
      </c>
      <c r="B394" s="117" t="s">
        <v>148</v>
      </c>
      <c r="C394" s="117" t="s">
        <v>75</v>
      </c>
      <c r="D394" s="117" t="s">
        <v>76</v>
      </c>
      <c r="E394" s="117" t="n">
        <v>6454651</v>
      </c>
      <c r="F394" s="117" t="s">
        <v>155</v>
      </c>
      <c r="G394" s="118" t="n">
        <v>9490</v>
      </c>
      <c r="H394" s="118" t="n">
        <v>4</v>
      </c>
      <c r="I394" s="393" t="n">
        <v>43385.59930555556</v>
      </c>
      <c r="J394" s="3" t="s">
        <v>156</v>
      </c>
      <c r="K394" s="171">
        <f>VLOOKUP(D394,Base!D:E,2,0)</f>
        <v/>
      </c>
    </row>
    <row customHeight="1" ht="15" r="395" s="183" spans="1:15">
      <c r="A395" s="37">
        <f>E395</f>
        <v/>
      </c>
      <c r="B395" s="117" t="s">
        <v>148</v>
      </c>
      <c r="C395" s="117" t="s">
        <v>75</v>
      </c>
      <c r="D395" s="117" t="s">
        <v>77</v>
      </c>
      <c r="E395" s="117" t="n">
        <v>6454651</v>
      </c>
      <c r="F395" s="117" t="s">
        <v>155</v>
      </c>
      <c r="G395" s="118" t="n">
        <v>10490</v>
      </c>
      <c r="H395" s="118" t="n">
        <v>4</v>
      </c>
      <c r="I395" s="393" t="n">
        <v>43385.59930555556</v>
      </c>
      <c r="J395" s="3" t="s">
        <v>156</v>
      </c>
      <c r="K395" s="171">
        <f>VLOOKUP(D395,Base!D:E,2,0)</f>
        <v/>
      </c>
    </row>
    <row customHeight="1" ht="15" r="396" s="183" spans="1:15">
      <c r="A396" s="37">
        <f>E396</f>
        <v/>
      </c>
      <c r="B396" s="117" t="s">
        <v>148</v>
      </c>
      <c r="C396" s="117" t="s">
        <v>75</v>
      </c>
      <c r="D396" s="117" t="s">
        <v>78</v>
      </c>
      <c r="E396" s="117" t="n">
        <v>6454651</v>
      </c>
      <c r="F396" s="117" t="s">
        <v>155</v>
      </c>
      <c r="G396" s="118" t="n">
        <v>12990</v>
      </c>
      <c r="H396" s="118" t="n">
        <v>4</v>
      </c>
      <c r="I396" s="393" t="n">
        <v>43385.59930555556</v>
      </c>
      <c r="J396" s="3" t="s">
        <v>156</v>
      </c>
      <c r="K396" s="171">
        <f>VLOOKUP(D396,Base!D:E,2,0)</f>
        <v/>
      </c>
    </row>
    <row customHeight="1" ht="15" r="397" s="183" spans="1:15">
      <c r="A397" s="37">
        <f>E397</f>
        <v/>
      </c>
      <c r="B397" s="117" t="s">
        <v>148</v>
      </c>
      <c r="C397" s="117" t="s">
        <v>75</v>
      </c>
      <c r="D397" s="117" t="s">
        <v>79</v>
      </c>
      <c r="E397" s="117" t="n">
        <v>6454651</v>
      </c>
      <c r="F397" s="117" t="s">
        <v>155</v>
      </c>
      <c r="G397" s="118" t="n">
        <v>9990</v>
      </c>
      <c r="H397" s="118" t="n">
        <v>4</v>
      </c>
      <c r="I397" s="393" t="n">
        <v>43385.59930555556</v>
      </c>
      <c r="J397" s="3" t="s">
        <v>156</v>
      </c>
      <c r="K397" s="171">
        <f>VLOOKUP(D397,Base!D:E,2,0)</f>
        <v/>
      </c>
    </row>
    <row customHeight="1" ht="15" r="398" s="183" spans="1:15">
      <c r="A398" s="37">
        <f>E398</f>
        <v/>
      </c>
      <c r="B398" s="117" t="s">
        <v>148</v>
      </c>
      <c r="C398" s="117" t="s">
        <v>75</v>
      </c>
      <c r="D398" s="117" t="s">
        <v>80</v>
      </c>
      <c r="E398" s="117" t="n">
        <v>6454651</v>
      </c>
      <c r="F398" s="117" t="s">
        <v>155</v>
      </c>
      <c r="G398" s="118" t="n">
        <v>10490</v>
      </c>
      <c r="H398" s="118" t="n">
        <v>4</v>
      </c>
      <c r="I398" s="393" t="n">
        <v>43385.59930555556</v>
      </c>
      <c r="J398" s="3" t="s">
        <v>156</v>
      </c>
      <c r="K398" s="171">
        <f>VLOOKUP(D398,Base!D:E,2,0)</f>
        <v/>
      </c>
    </row>
    <row customHeight="1" ht="15" r="399" s="183" spans="1:15">
      <c r="A399" s="37">
        <f>E399</f>
        <v/>
      </c>
      <c r="B399" s="117" t="s">
        <v>148</v>
      </c>
      <c r="C399" s="117" t="s">
        <v>75</v>
      </c>
      <c r="D399" s="117" t="s">
        <v>81</v>
      </c>
      <c r="E399" s="117" t="n">
        <v>6454651</v>
      </c>
      <c r="F399" s="117" t="s">
        <v>155</v>
      </c>
      <c r="G399" s="118" t="n">
        <v>9990</v>
      </c>
      <c r="H399" s="118" t="n">
        <v>4</v>
      </c>
      <c r="I399" s="393" t="n">
        <v>43385.59930555556</v>
      </c>
      <c r="J399" s="3" t="s">
        <v>156</v>
      </c>
      <c r="K399" s="171">
        <f>VLOOKUP(D399,Base!D:E,2,0)</f>
        <v/>
      </c>
    </row>
    <row customHeight="1" ht="15" r="400" s="183" spans="1:15">
      <c r="A400" s="37">
        <f>E400</f>
        <v/>
      </c>
      <c r="B400" s="117" t="s">
        <v>148</v>
      </c>
      <c r="C400" s="117" t="s">
        <v>75</v>
      </c>
      <c r="D400" s="117" t="s">
        <v>82</v>
      </c>
      <c r="E400" s="117" t="n">
        <v>6454651</v>
      </c>
      <c r="F400" s="117" t="s">
        <v>155</v>
      </c>
      <c r="G400" s="118" t="n">
        <v>10990</v>
      </c>
      <c r="H400" s="118" t="n">
        <v>4</v>
      </c>
      <c r="I400" s="393" t="n">
        <v>43385.59861111111</v>
      </c>
      <c r="J400" s="3" t="s">
        <v>156</v>
      </c>
      <c r="K400" s="171">
        <f>VLOOKUP(D400,Base!D:E,2,0)</f>
        <v/>
      </c>
    </row>
    <row customHeight="1" ht="15" r="401" s="183" spans="1:15">
      <c r="A401" s="37">
        <f>E401</f>
        <v/>
      </c>
      <c r="B401" s="117" t="s">
        <v>148</v>
      </c>
      <c r="C401" s="117" t="s">
        <v>75</v>
      </c>
      <c r="D401" s="117" t="s">
        <v>83</v>
      </c>
      <c r="E401" s="117" t="n">
        <v>6454651</v>
      </c>
      <c r="F401" s="117" t="s">
        <v>155</v>
      </c>
      <c r="G401" s="118" t="n">
        <v>9990</v>
      </c>
      <c r="H401" s="118" t="n">
        <v>4</v>
      </c>
      <c r="I401" s="393" t="n">
        <v>43385.59930555556</v>
      </c>
      <c r="J401" s="3" t="s">
        <v>156</v>
      </c>
      <c r="K401" s="171">
        <f>VLOOKUP(D401,Base!D:E,2,0)</f>
        <v/>
      </c>
    </row>
    <row customHeight="1" ht="15" r="402" s="183" spans="1:15">
      <c r="A402" s="37">
        <f>E402</f>
        <v/>
      </c>
      <c r="B402" s="117" t="s">
        <v>148</v>
      </c>
      <c r="C402" s="117" t="s">
        <v>75</v>
      </c>
      <c r="D402" s="117" t="s">
        <v>84</v>
      </c>
      <c r="E402" s="117" t="n">
        <v>6454651</v>
      </c>
      <c r="F402" s="117" t="s">
        <v>155</v>
      </c>
      <c r="G402" s="118" t="n">
        <v>10490</v>
      </c>
      <c r="H402" s="118" t="n">
        <v>4</v>
      </c>
      <c r="I402" s="393" t="n">
        <v>43385.59930555556</v>
      </c>
      <c r="J402" s="3" t="s">
        <v>156</v>
      </c>
      <c r="K402" s="171">
        <f>VLOOKUP(D402,Base!D:E,2,0)</f>
        <v/>
      </c>
    </row>
    <row customHeight="1" ht="15" r="403" s="183" spans="1:15">
      <c r="A403" s="37">
        <f>E403</f>
        <v/>
      </c>
      <c r="B403" s="117" t="s">
        <v>148</v>
      </c>
      <c r="C403" s="117" t="s">
        <v>75</v>
      </c>
      <c r="D403" s="117" t="s">
        <v>85</v>
      </c>
      <c r="E403" s="117" t="n">
        <v>6454651</v>
      </c>
      <c r="F403" s="117" t="s">
        <v>155</v>
      </c>
      <c r="G403" s="118" t="n">
        <v>9990</v>
      </c>
      <c r="H403" s="118" t="n">
        <v>4</v>
      </c>
      <c r="I403" s="393" t="n">
        <v>43385.59861111111</v>
      </c>
      <c r="J403" s="3" t="s">
        <v>156</v>
      </c>
      <c r="K403" s="171">
        <f>VLOOKUP(D403,Base!D:E,2,0)</f>
        <v/>
      </c>
    </row>
    <row customHeight="1" ht="15" r="404" s="183" spans="1:15">
      <c r="A404" s="37">
        <f>E404</f>
        <v/>
      </c>
      <c r="B404" s="117" t="s">
        <v>148</v>
      </c>
      <c r="C404" s="117" t="s">
        <v>86</v>
      </c>
      <c r="D404" s="117" t="s">
        <v>87</v>
      </c>
      <c r="E404" s="117" t="n">
        <v>6454651</v>
      </c>
      <c r="F404" s="117" t="s">
        <v>155</v>
      </c>
      <c r="G404" s="118" t="n">
        <v>15490</v>
      </c>
      <c r="H404" s="118" t="n">
        <v>1</v>
      </c>
      <c r="I404" s="393" t="n">
        <v>43385.59930555556</v>
      </c>
      <c r="J404" s="3" t="s">
        <v>156</v>
      </c>
      <c r="K404" s="171">
        <f>VLOOKUP(D404,Base!D:E,2,0)</f>
        <v/>
      </c>
    </row>
    <row customHeight="1" ht="15" r="405" s="183" spans="1:15">
      <c r="A405" s="37">
        <f>E405</f>
        <v/>
      </c>
      <c r="B405" s="117" t="s">
        <v>148</v>
      </c>
      <c r="C405" s="117" t="s">
        <v>86</v>
      </c>
      <c r="D405" s="117" t="s">
        <v>88</v>
      </c>
      <c r="E405" s="117" t="n">
        <v>6454651</v>
      </c>
      <c r="F405" s="117" t="s">
        <v>155</v>
      </c>
      <c r="G405" s="118" t="n">
        <v>14490</v>
      </c>
      <c r="H405" s="118" t="n">
        <v>1</v>
      </c>
      <c r="I405" s="393" t="n">
        <v>43385.59930555556</v>
      </c>
      <c r="J405" s="3" t="s">
        <v>156</v>
      </c>
      <c r="K405" s="171">
        <f>VLOOKUP(D405,Base!D:E,2,0)</f>
        <v/>
      </c>
    </row>
    <row customHeight="1" ht="15" r="406" s="183" spans="1:15">
      <c r="A406" s="37">
        <f>E406</f>
        <v/>
      </c>
      <c r="B406" s="117" t="s">
        <v>148</v>
      </c>
      <c r="C406" s="117" t="s">
        <v>86</v>
      </c>
      <c r="D406" s="117" t="s">
        <v>89</v>
      </c>
      <c r="E406" s="117" t="n">
        <v>6454651</v>
      </c>
      <c r="F406" s="117" t="s">
        <v>155</v>
      </c>
      <c r="G406" s="118" t="n">
        <v>15990</v>
      </c>
      <c r="H406" s="118" t="n">
        <v>1</v>
      </c>
      <c r="I406" s="393" t="n">
        <v>43385.59930555556</v>
      </c>
      <c r="J406" s="3" t="s">
        <v>156</v>
      </c>
      <c r="K406" s="171">
        <f>VLOOKUP(D406,Base!D:E,2,0)</f>
        <v/>
      </c>
    </row>
    <row customHeight="1" ht="15" r="407" s="183" spans="1:15">
      <c r="A407" s="37">
        <f>E407</f>
        <v/>
      </c>
      <c r="B407" s="117" t="s">
        <v>148</v>
      </c>
      <c r="C407" s="117" t="s">
        <v>86</v>
      </c>
      <c r="D407" s="117" t="s">
        <v>90</v>
      </c>
      <c r="E407" s="117" t="n">
        <v>6454651</v>
      </c>
      <c r="F407" s="117" t="s">
        <v>155</v>
      </c>
      <c r="G407" s="118" t="n">
        <v>15990</v>
      </c>
      <c r="H407" s="118" t="n">
        <v>1</v>
      </c>
      <c r="I407" s="393" t="n">
        <v>43385.59861111111</v>
      </c>
      <c r="J407" s="3" t="s">
        <v>156</v>
      </c>
      <c r="K407" s="171">
        <f>VLOOKUP(D407,Base!D:E,2,0)</f>
        <v/>
      </c>
    </row>
    <row customHeight="1" ht="15" r="408" s="183" spans="1:15">
      <c r="A408" s="37">
        <f>E408</f>
        <v/>
      </c>
      <c r="B408" s="117" t="s">
        <v>148</v>
      </c>
      <c r="C408" s="117" t="s">
        <v>86</v>
      </c>
      <c r="D408" s="117" t="s">
        <v>91</v>
      </c>
      <c r="E408" s="117" t="n">
        <v>6454651</v>
      </c>
      <c r="F408" s="117" t="s">
        <v>155</v>
      </c>
      <c r="G408" s="118" t="n">
        <v>15490</v>
      </c>
      <c r="H408" s="118" t="n">
        <v>1</v>
      </c>
      <c r="I408" s="393" t="n">
        <v>43385.59930555556</v>
      </c>
      <c r="J408" s="3" t="s">
        <v>156</v>
      </c>
      <c r="K408" s="171">
        <f>VLOOKUP(D408,Base!D:E,2,0)</f>
        <v/>
      </c>
    </row>
    <row customHeight="1" ht="15" r="409" s="183" spans="1:15">
      <c r="A409" s="37">
        <f>E409</f>
        <v/>
      </c>
      <c r="B409" s="117" t="s">
        <v>148</v>
      </c>
      <c r="C409" s="117" t="s">
        <v>86</v>
      </c>
      <c r="D409" s="117" t="s">
        <v>92</v>
      </c>
      <c r="E409" s="117" t="n">
        <v>6454651</v>
      </c>
      <c r="F409" s="117" t="s">
        <v>155</v>
      </c>
      <c r="G409" s="118" t="n">
        <v>15490</v>
      </c>
      <c r="H409" s="118" t="n">
        <v>1</v>
      </c>
      <c r="I409" s="393" t="n">
        <v>43385.59930555556</v>
      </c>
      <c r="J409" s="3" t="s">
        <v>156</v>
      </c>
      <c r="K409" s="171">
        <f>VLOOKUP(D409,Base!D:E,2,0)</f>
        <v/>
      </c>
    </row>
    <row customHeight="1" ht="15" r="410" s="183" spans="1:15">
      <c r="A410" s="37">
        <f>E410</f>
        <v/>
      </c>
      <c r="B410" s="117" t="s">
        <v>148</v>
      </c>
      <c r="C410" s="117" t="s">
        <v>86</v>
      </c>
      <c r="D410" s="117" t="s">
        <v>93</v>
      </c>
      <c r="E410" s="117" t="n">
        <v>6454651</v>
      </c>
      <c r="F410" s="117" t="s">
        <v>155</v>
      </c>
      <c r="G410" s="118" t="n">
        <v>15490</v>
      </c>
      <c r="H410" s="118" t="n">
        <v>1</v>
      </c>
      <c r="I410" s="393" t="n">
        <v>43385.59930555556</v>
      </c>
      <c r="J410" s="3" t="s">
        <v>156</v>
      </c>
      <c r="K410" s="171">
        <f>VLOOKUP(D410,Base!D:E,2,0)</f>
        <v/>
      </c>
    </row>
    <row customHeight="1" ht="15" r="411" s="183" spans="1:15">
      <c r="A411" s="37">
        <f>E411</f>
        <v/>
      </c>
      <c r="B411" s="117" t="s">
        <v>148</v>
      </c>
      <c r="C411" s="117" t="s">
        <v>86</v>
      </c>
      <c r="D411" s="117" t="s">
        <v>94</v>
      </c>
      <c r="E411" s="117" t="n">
        <v>6454651</v>
      </c>
      <c r="F411" s="117" t="s">
        <v>155</v>
      </c>
      <c r="G411" s="118" t="n">
        <v>15490</v>
      </c>
      <c r="H411" s="118" t="n">
        <v>1</v>
      </c>
      <c r="I411" s="393" t="n">
        <v>43385.59861111111</v>
      </c>
      <c r="J411" s="3" t="s">
        <v>156</v>
      </c>
      <c r="K411" s="171">
        <f>VLOOKUP(D411,Base!D:E,2,0)</f>
        <v/>
      </c>
    </row>
    <row customHeight="1" ht="15" r="412" s="183" spans="1:15">
      <c r="A412" s="37">
        <f>E412</f>
        <v/>
      </c>
      <c r="B412" s="117" t="s">
        <v>148</v>
      </c>
      <c r="C412" s="117" t="s">
        <v>86</v>
      </c>
      <c r="D412" s="117" t="s">
        <v>95</v>
      </c>
      <c r="E412" s="117" t="n">
        <v>6454651</v>
      </c>
      <c r="F412" s="117" t="s">
        <v>155</v>
      </c>
      <c r="G412" s="118" t="n">
        <v>15990</v>
      </c>
      <c r="H412" s="118" t="n">
        <v>1</v>
      </c>
      <c r="I412" s="393" t="n">
        <v>43385.59930555556</v>
      </c>
      <c r="J412" s="3" t="s">
        <v>156</v>
      </c>
      <c r="K412" s="171">
        <f>VLOOKUP(D412,Base!D:E,2,0)</f>
        <v/>
      </c>
    </row>
    <row customHeight="1" ht="15" r="413" s="183" spans="1:15">
      <c r="A413" s="37">
        <f>E413</f>
        <v/>
      </c>
      <c r="B413" s="117" t="s">
        <v>148</v>
      </c>
      <c r="C413" s="117" t="s">
        <v>96</v>
      </c>
      <c r="D413" s="117" t="s">
        <v>97</v>
      </c>
      <c r="E413" s="117" t="n">
        <v>6454651</v>
      </c>
      <c r="F413" s="117" t="s">
        <v>155</v>
      </c>
      <c r="G413" s="118" t="n">
        <v>11990</v>
      </c>
      <c r="H413" s="118" t="n">
        <v>4</v>
      </c>
      <c r="I413" s="393" t="n">
        <v>43385.59930555556</v>
      </c>
      <c r="J413" s="3" t="s">
        <v>156</v>
      </c>
      <c r="K413" s="171">
        <f>VLOOKUP(D413,Base!D:E,2,0)</f>
        <v/>
      </c>
    </row>
    <row customHeight="1" ht="15" r="414" s="183" spans="1:15">
      <c r="A414" s="37">
        <f>E414</f>
        <v/>
      </c>
      <c r="B414" s="117" t="s">
        <v>148</v>
      </c>
      <c r="C414" s="117" t="s">
        <v>96</v>
      </c>
      <c r="D414" s="117" t="s">
        <v>98</v>
      </c>
      <c r="E414" s="117" t="n">
        <v>6454651</v>
      </c>
      <c r="F414" s="117" t="s">
        <v>155</v>
      </c>
      <c r="G414" s="118" t="n">
        <v>8990</v>
      </c>
      <c r="H414" s="118" t="n">
        <v>4</v>
      </c>
      <c r="I414" s="393" t="n">
        <v>43385.59930555556</v>
      </c>
      <c r="J414" s="3" t="s">
        <v>156</v>
      </c>
      <c r="K414" s="171">
        <f>VLOOKUP(D414,Base!D:E,2,0)</f>
        <v/>
      </c>
    </row>
    <row customHeight="1" ht="15" r="415" s="183" spans="1:15">
      <c r="A415" s="37">
        <f>E415</f>
        <v/>
      </c>
      <c r="B415" s="117" t="s">
        <v>148</v>
      </c>
      <c r="C415" s="117" t="s">
        <v>96</v>
      </c>
      <c r="D415" s="117" t="s">
        <v>99</v>
      </c>
      <c r="E415" s="117" t="n">
        <v>6454651</v>
      </c>
      <c r="F415" s="117" t="s">
        <v>155</v>
      </c>
      <c r="G415" s="118" t="n">
        <v>11990</v>
      </c>
      <c r="H415" s="118" t="n">
        <v>4</v>
      </c>
      <c r="I415" s="393" t="n">
        <v>43385.59930555556</v>
      </c>
      <c r="J415" s="3" t="s">
        <v>156</v>
      </c>
      <c r="K415" s="171">
        <f>VLOOKUP(D415,Base!D:E,2,0)</f>
        <v/>
      </c>
    </row>
    <row customHeight="1" ht="15" r="416" s="183" spans="1:15">
      <c r="A416" s="37">
        <f>E416</f>
        <v/>
      </c>
      <c r="B416" s="117" t="s">
        <v>148</v>
      </c>
      <c r="C416" s="117" t="s">
        <v>96</v>
      </c>
      <c r="D416" s="117" t="s">
        <v>100</v>
      </c>
      <c r="E416" s="117" t="n">
        <v>6454651</v>
      </c>
      <c r="F416" s="117" t="s">
        <v>155</v>
      </c>
      <c r="G416" s="118" t="n">
        <v>11490</v>
      </c>
      <c r="H416" s="118" t="n">
        <v>4</v>
      </c>
      <c r="I416" s="393" t="n">
        <v>43385.59861111111</v>
      </c>
      <c r="J416" s="3" t="s">
        <v>156</v>
      </c>
      <c r="K416" s="171">
        <f>VLOOKUP(D416,Base!D:E,2,0)</f>
        <v/>
      </c>
    </row>
    <row customHeight="1" ht="15" r="417" s="183" spans="1:15">
      <c r="A417" s="37">
        <f>E417</f>
        <v/>
      </c>
      <c r="B417" s="117" t="s">
        <v>148</v>
      </c>
      <c r="C417" s="117" t="s">
        <v>101</v>
      </c>
      <c r="D417" s="117" t="s">
        <v>102</v>
      </c>
      <c r="E417" s="117" t="n">
        <v>6454651</v>
      </c>
      <c r="F417" s="117" t="s">
        <v>155</v>
      </c>
      <c r="G417" s="118" t="n">
        <v>12990</v>
      </c>
      <c r="H417" s="118" t="n">
        <v>4</v>
      </c>
      <c r="I417" s="393" t="n">
        <v>43385.59930555556</v>
      </c>
      <c r="J417" s="3" t="s">
        <v>156</v>
      </c>
      <c r="K417" s="171">
        <f>VLOOKUP(D417,Base!D:E,2,0)</f>
        <v/>
      </c>
    </row>
    <row customHeight="1" ht="15" r="418" s="183" spans="1:15">
      <c r="A418" s="37">
        <f>E418</f>
        <v/>
      </c>
      <c r="B418" s="117" t="s">
        <v>148</v>
      </c>
      <c r="C418" s="117" t="s">
        <v>101</v>
      </c>
      <c r="D418" s="117" t="s">
        <v>103</v>
      </c>
      <c r="E418" s="117" t="n">
        <v>6454651</v>
      </c>
      <c r="F418" s="117" t="s">
        <v>155</v>
      </c>
      <c r="G418" s="118" t="n">
        <v>14990</v>
      </c>
      <c r="H418" s="118" t="n">
        <v>4</v>
      </c>
      <c r="I418" s="393" t="n">
        <v>43385.59930555556</v>
      </c>
      <c r="J418" s="3" t="s">
        <v>156</v>
      </c>
      <c r="K418" s="171">
        <f>VLOOKUP(D418,Base!D:E,2,0)</f>
        <v/>
      </c>
    </row>
    <row customHeight="1" ht="15" r="419" s="183" spans="1:15">
      <c r="A419" s="37">
        <f>E419</f>
        <v/>
      </c>
      <c r="B419" s="117" t="s">
        <v>148</v>
      </c>
      <c r="C419" s="117" t="s">
        <v>101</v>
      </c>
      <c r="D419" s="117" t="s">
        <v>104</v>
      </c>
      <c r="E419" s="117" t="n">
        <v>6454651</v>
      </c>
      <c r="F419" s="117" t="s">
        <v>155</v>
      </c>
      <c r="G419" s="118" t="n">
        <v>11990</v>
      </c>
      <c r="H419" s="118" t="n">
        <v>4</v>
      </c>
      <c r="I419" s="393" t="n">
        <v>43385.59930555556</v>
      </c>
      <c r="J419" s="3" t="s">
        <v>156</v>
      </c>
      <c r="K419" s="171">
        <f>VLOOKUP(D419,Base!D:E,2,0)</f>
        <v/>
      </c>
    </row>
    <row customHeight="1" ht="15" r="420" s="183" spans="1:15">
      <c r="A420" s="37">
        <f>E420</f>
        <v/>
      </c>
      <c r="B420" s="117" t="s">
        <v>148</v>
      </c>
      <c r="C420" s="117" t="s">
        <v>105</v>
      </c>
      <c r="D420" s="117" t="s">
        <v>106</v>
      </c>
      <c r="E420" s="117" t="n">
        <v>6454651</v>
      </c>
      <c r="F420" s="117" t="s">
        <v>155</v>
      </c>
      <c r="G420" s="118" t="n">
        <v>8990</v>
      </c>
      <c r="H420" s="118" t="n">
        <v>4</v>
      </c>
      <c r="I420" s="393" t="n">
        <v>43385.59930555556</v>
      </c>
      <c r="J420" s="3" t="s">
        <v>156</v>
      </c>
      <c r="K420" s="171">
        <f>VLOOKUP(D420,Base!D:E,2,0)</f>
        <v/>
      </c>
    </row>
    <row customHeight="1" ht="15" r="421" s="183" spans="1:15">
      <c r="A421" s="37">
        <f>E421</f>
        <v/>
      </c>
      <c r="B421" s="117" t="s">
        <v>148</v>
      </c>
      <c r="C421" s="117" t="s">
        <v>105</v>
      </c>
      <c r="D421" s="117" t="s">
        <v>107</v>
      </c>
      <c r="E421" s="117" t="n">
        <v>6454651</v>
      </c>
      <c r="F421" s="117" t="s">
        <v>155</v>
      </c>
      <c r="G421" s="118" t="n">
        <v>8990</v>
      </c>
      <c r="H421" s="118" t="n">
        <v>4</v>
      </c>
      <c r="I421" s="393" t="n">
        <v>43385.59930555556</v>
      </c>
      <c r="J421" s="3" t="s">
        <v>156</v>
      </c>
      <c r="K421" s="171">
        <f>VLOOKUP(D421,Base!D:E,2,0)</f>
        <v/>
      </c>
    </row>
    <row customHeight="1" ht="15" r="422" s="183" spans="1:15">
      <c r="A422" s="37">
        <f>E422</f>
        <v/>
      </c>
      <c r="B422" s="117" t="s">
        <v>148</v>
      </c>
      <c r="C422" s="117" t="s">
        <v>105</v>
      </c>
      <c r="D422" s="117" t="s">
        <v>108</v>
      </c>
      <c r="E422" s="117" t="n">
        <v>6454651</v>
      </c>
      <c r="F422" s="117" t="s">
        <v>155</v>
      </c>
      <c r="G422" s="118" t="n">
        <v>8990</v>
      </c>
      <c r="H422" s="118" t="n">
        <v>4</v>
      </c>
      <c r="I422" s="393" t="n">
        <v>43385.59930555556</v>
      </c>
      <c r="J422" s="3" t="s">
        <v>156</v>
      </c>
      <c r="K422" s="171">
        <f>VLOOKUP(D422,Base!D:E,2,0)</f>
        <v/>
      </c>
    </row>
    <row customHeight="1" ht="15" r="423" s="183" spans="1:15">
      <c r="A423" s="37">
        <f>E423</f>
        <v/>
      </c>
      <c r="B423" s="117" t="s">
        <v>148</v>
      </c>
      <c r="C423" s="117" t="s">
        <v>105</v>
      </c>
      <c r="D423" s="117" t="s">
        <v>109</v>
      </c>
      <c r="E423" s="117" t="n">
        <v>6454651</v>
      </c>
      <c r="F423" s="117" t="s">
        <v>155</v>
      </c>
      <c r="G423" s="118" t="n">
        <v>10490</v>
      </c>
      <c r="H423" s="118" t="n">
        <v>4</v>
      </c>
      <c r="I423" s="393" t="n">
        <v>43385.59930555556</v>
      </c>
      <c r="J423" s="3" t="s">
        <v>156</v>
      </c>
      <c r="K423" s="171">
        <f>VLOOKUP(D423,Base!D:E,2,0)</f>
        <v/>
      </c>
    </row>
    <row customHeight="1" ht="15" r="424" s="183" spans="1:15">
      <c r="A424" s="37">
        <f>E424</f>
        <v/>
      </c>
      <c r="B424" s="117" t="s">
        <v>148</v>
      </c>
      <c r="C424" s="117" t="s">
        <v>105</v>
      </c>
      <c r="D424" s="117" t="s">
        <v>110</v>
      </c>
      <c r="E424" s="117" t="n">
        <v>6454651</v>
      </c>
      <c r="F424" s="117" t="s">
        <v>155</v>
      </c>
      <c r="G424" s="118" t="n">
        <v>8990</v>
      </c>
      <c r="H424" s="118" t="n">
        <v>4</v>
      </c>
      <c r="I424" s="393" t="n">
        <v>43385.59930555556</v>
      </c>
      <c r="J424" s="3" t="s">
        <v>156</v>
      </c>
      <c r="K424" s="171">
        <f>VLOOKUP(D424,Base!D:E,2,0)</f>
        <v/>
      </c>
    </row>
    <row customHeight="1" ht="15" r="425" s="183" spans="1:15">
      <c r="A425" s="37">
        <f>E425</f>
        <v/>
      </c>
      <c r="B425" s="117" t="s">
        <v>148</v>
      </c>
      <c r="C425" s="117" t="s">
        <v>105</v>
      </c>
      <c r="D425" s="117" t="s">
        <v>111</v>
      </c>
      <c r="E425" s="117" t="n">
        <v>6454651</v>
      </c>
      <c r="F425" s="117" t="s">
        <v>155</v>
      </c>
      <c r="G425" s="118" t="n">
        <v>8990</v>
      </c>
      <c r="H425" s="118" t="n">
        <v>5</v>
      </c>
      <c r="I425" s="393" t="n">
        <v>43385.59930555556</v>
      </c>
      <c r="J425" s="3" t="s">
        <v>156</v>
      </c>
      <c r="K425" s="171">
        <f>VLOOKUP(D425,Base!D:E,2,0)</f>
        <v/>
      </c>
    </row>
    <row customHeight="1" ht="15" r="426" s="183" spans="1:15">
      <c r="A426" s="37">
        <f>E426</f>
        <v/>
      </c>
      <c r="B426" s="117" t="s">
        <v>148</v>
      </c>
      <c r="C426" s="117" t="s">
        <v>105</v>
      </c>
      <c r="D426" s="117" t="s">
        <v>112</v>
      </c>
      <c r="E426" s="117" t="n">
        <v>6454651</v>
      </c>
      <c r="F426" s="117" t="s">
        <v>155</v>
      </c>
      <c r="G426" s="118" t="n">
        <v>8990</v>
      </c>
      <c r="H426" s="118" t="n">
        <v>4</v>
      </c>
      <c r="I426" s="393" t="n">
        <v>43385.59861111111</v>
      </c>
      <c r="J426" s="3" t="s">
        <v>156</v>
      </c>
      <c r="K426" s="171">
        <f>VLOOKUP(D426,Base!D:E,2,0)</f>
        <v/>
      </c>
    </row>
    <row customHeight="1" ht="15" r="427" s="183" spans="1:15">
      <c r="A427" s="37">
        <f>E427</f>
        <v/>
      </c>
      <c r="B427" s="117" t="s">
        <v>148</v>
      </c>
      <c r="C427" s="117" t="s">
        <v>105</v>
      </c>
      <c r="D427" s="117" t="s">
        <v>113</v>
      </c>
      <c r="E427" s="117" t="n">
        <v>6454651</v>
      </c>
      <c r="F427" s="117" t="s">
        <v>155</v>
      </c>
      <c r="G427" s="118" t="n">
        <v>8990</v>
      </c>
      <c r="H427" s="118" t="n">
        <v>4</v>
      </c>
      <c r="I427" s="393" t="n">
        <v>43385.59930555556</v>
      </c>
      <c r="J427" s="3" t="s">
        <v>156</v>
      </c>
      <c r="K427" s="171">
        <f>VLOOKUP(D427,Base!D:E,2,0)</f>
        <v/>
      </c>
    </row>
    <row customHeight="1" ht="15" r="428" s="183" spans="1:15">
      <c r="A428" s="37">
        <f>E428</f>
        <v/>
      </c>
      <c r="B428" s="117" t="s">
        <v>148</v>
      </c>
      <c r="C428" s="117" t="s">
        <v>105</v>
      </c>
      <c r="D428" s="117" t="s">
        <v>114</v>
      </c>
      <c r="E428" s="117" t="n">
        <v>6454651</v>
      </c>
      <c r="F428" s="117" t="s">
        <v>155</v>
      </c>
      <c r="G428" s="118" t="n">
        <v>8990</v>
      </c>
      <c r="H428" s="118" t="n">
        <v>4</v>
      </c>
      <c r="I428" s="393" t="n">
        <v>43385.59930555556</v>
      </c>
      <c r="J428" s="3" t="s">
        <v>156</v>
      </c>
      <c r="K428" s="171">
        <f>VLOOKUP(D428,Base!D:E,2,0)</f>
        <v/>
      </c>
    </row>
    <row customHeight="1" ht="15" r="429" s="183" spans="1:15">
      <c r="A429" s="37">
        <f>E429</f>
        <v/>
      </c>
      <c r="B429" s="117" t="s">
        <v>148</v>
      </c>
      <c r="C429" s="117" t="s">
        <v>105</v>
      </c>
      <c r="D429" s="117" t="s">
        <v>115</v>
      </c>
      <c r="E429" s="117" t="n">
        <v>6454651</v>
      </c>
      <c r="F429" s="117" t="s">
        <v>155</v>
      </c>
      <c r="G429" s="118" t="n">
        <v>8990</v>
      </c>
      <c r="H429" s="118" t="n">
        <v>4</v>
      </c>
      <c r="I429" s="393" t="n">
        <v>43385.59930555556</v>
      </c>
      <c r="J429" s="3" t="s">
        <v>156</v>
      </c>
      <c r="K429" s="171">
        <f>VLOOKUP(D429,Base!D:E,2,0)</f>
        <v/>
      </c>
    </row>
    <row customHeight="1" ht="15" r="430" s="183" spans="1:15">
      <c r="A430" s="37">
        <f>E430</f>
        <v/>
      </c>
      <c r="B430" s="117" t="s">
        <v>148</v>
      </c>
      <c r="C430" s="117" t="s">
        <v>105</v>
      </c>
      <c r="D430" s="117" t="s">
        <v>150</v>
      </c>
      <c r="E430" s="117" t="n">
        <v>6454651</v>
      </c>
      <c r="F430" s="117" t="s">
        <v>155</v>
      </c>
      <c r="G430" s="118" t="n">
        <v>9990</v>
      </c>
      <c r="H430" s="118" t="n">
        <v>4</v>
      </c>
      <c r="I430" s="393" t="n">
        <v>43385.59930555556</v>
      </c>
      <c r="J430" s="3" t="s">
        <v>156</v>
      </c>
      <c r="K430" s="171">
        <f>VLOOKUP(D430,Base!D:E,2,0)</f>
        <v/>
      </c>
    </row>
    <row customHeight="1" ht="15" r="431" s="183" spans="1:15">
      <c r="A431" s="37">
        <f>E431</f>
        <v/>
      </c>
      <c r="B431" s="117" t="s">
        <v>148</v>
      </c>
      <c r="C431" s="117" t="s">
        <v>105</v>
      </c>
      <c r="D431" s="117" t="s">
        <v>116</v>
      </c>
      <c r="E431" s="117" t="n">
        <v>6454651</v>
      </c>
      <c r="F431" s="117" t="s">
        <v>155</v>
      </c>
      <c r="G431" s="118" t="n">
        <v>8990</v>
      </c>
      <c r="H431" s="118" t="n">
        <v>4</v>
      </c>
      <c r="I431" s="393" t="n">
        <v>43385.59930555556</v>
      </c>
      <c r="J431" s="3" t="s">
        <v>156</v>
      </c>
      <c r="K431" s="171">
        <f>VLOOKUP(D431,Base!D:E,2,0)</f>
        <v/>
      </c>
    </row>
    <row customHeight="1" ht="15" r="432" s="183" spans="1:15">
      <c r="A432" s="37">
        <f>E432</f>
        <v/>
      </c>
      <c r="B432" s="117" t="s">
        <v>148</v>
      </c>
      <c r="C432" s="117" t="s">
        <v>105</v>
      </c>
      <c r="D432" s="117" t="s">
        <v>117</v>
      </c>
      <c r="E432" s="117" t="n">
        <v>6454651</v>
      </c>
      <c r="F432" s="117" t="s">
        <v>155</v>
      </c>
      <c r="G432" s="118" t="n">
        <v>8990</v>
      </c>
      <c r="H432" s="118" t="n">
        <v>4</v>
      </c>
      <c r="I432" s="393" t="n">
        <v>43385.59861111111</v>
      </c>
      <c r="J432" s="3" t="s">
        <v>156</v>
      </c>
      <c r="K432" s="171">
        <f>VLOOKUP(D432,Base!D:E,2,0)</f>
        <v/>
      </c>
    </row>
    <row customHeight="1" ht="15" r="433" s="183" spans="1:15">
      <c r="A433" s="37">
        <f>E433</f>
        <v/>
      </c>
      <c r="B433" s="117" t="s">
        <v>148</v>
      </c>
      <c r="C433" s="117" t="s">
        <v>105</v>
      </c>
      <c r="D433" s="117" t="s">
        <v>119</v>
      </c>
      <c r="E433" s="117" t="n">
        <v>6454651</v>
      </c>
      <c r="F433" s="117" t="s">
        <v>155</v>
      </c>
      <c r="G433" s="118" t="n">
        <v>8990</v>
      </c>
      <c r="H433" s="118" t="n">
        <v>4</v>
      </c>
      <c r="I433" s="393" t="n">
        <v>43385.59930555556</v>
      </c>
      <c r="J433" s="3" t="s">
        <v>156</v>
      </c>
      <c r="K433" s="171">
        <f>VLOOKUP(D433,Base!D:E,2,0)</f>
        <v/>
      </c>
    </row>
    <row customHeight="1" ht="15" r="434" s="183" spans="1:15">
      <c r="A434" s="37">
        <f>E434</f>
        <v/>
      </c>
      <c r="B434" s="117" t="s">
        <v>148</v>
      </c>
      <c r="C434" s="117" t="s">
        <v>105</v>
      </c>
      <c r="D434" s="117" t="s">
        <v>120</v>
      </c>
      <c r="E434" s="117" t="n">
        <v>6454651</v>
      </c>
      <c r="F434" s="117" t="s">
        <v>155</v>
      </c>
      <c r="G434" s="118" t="n">
        <v>10490</v>
      </c>
      <c r="H434" s="118" t="n">
        <v>4</v>
      </c>
      <c r="I434" s="393" t="n">
        <v>43385.59861111111</v>
      </c>
      <c r="J434" s="3" t="s">
        <v>156</v>
      </c>
      <c r="K434" s="171">
        <f>VLOOKUP(D434,Base!D:E,2,0)</f>
        <v/>
      </c>
    </row>
    <row customHeight="1" ht="15" r="435" s="183" spans="1:15">
      <c r="A435" s="37">
        <f>E435</f>
        <v/>
      </c>
      <c r="B435" s="117" t="s">
        <v>148</v>
      </c>
      <c r="C435" s="117" t="s">
        <v>105</v>
      </c>
      <c r="D435" s="117" t="s">
        <v>121</v>
      </c>
      <c r="E435" s="117" t="n">
        <v>6454651</v>
      </c>
      <c r="F435" s="117" t="s">
        <v>155</v>
      </c>
      <c r="G435" s="118" t="n">
        <v>8990</v>
      </c>
      <c r="H435" s="118" t="n">
        <v>4</v>
      </c>
      <c r="I435" s="393" t="n">
        <v>43385.59930555556</v>
      </c>
      <c r="J435" s="3" t="s">
        <v>156</v>
      </c>
      <c r="K435" s="171">
        <f>VLOOKUP(D435,Base!D:E,2,0)</f>
        <v/>
      </c>
    </row>
    <row customHeight="1" ht="15" r="436" s="183" spans="1:15">
      <c r="A436" s="37">
        <f>E436</f>
        <v/>
      </c>
      <c r="B436" s="117" t="s">
        <v>148</v>
      </c>
      <c r="C436" s="117" t="s">
        <v>105</v>
      </c>
      <c r="D436" s="117" t="s">
        <v>122</v>
      </c>
      <c r="E436" s="117" t="n">
        <v>6454651</v>
      </c>
      <c r="F436" s="117" t="s">
        <v>155</v>
      </c>
      <c r="G436" s="118" t="n">
        <v>8990</v>
      </c>
      <c r="H436" s="118" t="n">
        <v>4</v>
      </c>
      <c r="I436" s="393" t="n">
        <v>43385.59930555556</v>
      </c>
      <c r="J436" s="3" t="s">
        <v>156</v>
      </c>
      <c r="K436" s="171">
        <f>VLOOKUP(D436,Base!D:E,2,0)</f>
        <v/>
      </c>
    </row>
    <row customHeight="1" ht="15" r="437" s="183" spans="1:15">
      <c r="A437" s="37">
        <f>E437</f>
        <v/>
      </c>
      <c r="B437" s="117" t="s">
        <v>148</v>
      </c>
      <c r="C437" s="117" t="s">
        <v>105</v>
      </c>
      <c r="D437" s="117" t="s">
        <v>123</v>
      </c>
      <c r="E437" s="117" t="n">
        <v>6454651</v>
      </c>
      <c r="F437" s="117" t="s">
        <v>155</v>
      </c>
      <c r="G437" s="118" t="n">
        <v>8990</v>
      </c>
      <c r="H437" s="118" t="n">
        <v>4</v>
      </c>
      <c r="I437" s="393" t="n">
        <v>43385.59930555556</v>
      </c>
      <c r="J437" s="3" t="s">
        <v>156</v>
      </c>
      <c r="K437" s="171">
        <f>VLOOKUP(D437,Base!D:E,2,0)</f>
        <v/>
      </c>
    </row>
    <row customHeight="1" ht="15" r="438" s="183" spans="1:15">
      <c r="A438" s="37">
        <f>E438</f>
        <v/>
      </c>
      <c r="B438" s="117" t="s">
        <v>148</v>
      </c>
      <c r="C438" s="117" t="s">
        <v>105</v>
      </c>
      <c r="D438" s="117" t="s">
        <v>124</v>
      </c>
      <c r="E438" s="117" t="n">
        <v>6454651</v>
      </c>
      <c r="F438" s="117" t="s">
        <v>155</v>
      </c>
      <c r="G438" s="118" t="n">
        <v>8990</v>
      </c>
      <c r="H438" s="118" t="n">
        <v>4</v>
      </c>
      <c r="I438" s="393" t="n">
        <v>43385.59861111111</v>
      </c>
      <c r="J438" s="3" t="s">
        <v>156</v>
      </c>
      <c r="K438" s="171">
        <f>VLOOKUP(D438,Base!D:E,2,0)</f>
        <v/>
      </c>
    </row>
    <row customHeight="1" ht="15" r="439" s="183" spans="1:15">
      <c r="A439" s="37">
        <f>E439</f>
        <v/>
      </c>
      <c r="B439" s="117" t="s">
        <v>148</v>
      </c>
      <c r="C439" s="117" t="s">
        <v>105</v>
      </c>
      <c r="D439" s="117" t="s">
        <v>125</v>
      </c>
      <c r="E439" s="117" t="n">
        <v>6454651</v>
      </c>
      <c r="F439" s="117" t="s">
        <v>155</v>
      </c>
      <c r="G439" s="118" t="n">
        <v>8990</v>
      </c>
      <c r="H439" s="118" t="n">
        <v>4</v>
      </c>
      <c r="I439" s="393" t="n">
        <v>43385.59930555556</v>
      </c>
      <c r="J439" s="3" t="s">
        <v>156</v>
      </c>
      <c r="K439" s="171">
        <f>VLOOKUP(D439,Base!D:E,2,0)</f>
        <v/>
      </c>
    </row>
    <row customHeight="1" ht="15" r="440" s="183" spans="1:15">
      <c r="A440" s="37">
        <f>E440</f>
        <v/>
      </c>
      <c r="B440" s="117" t="s">
        <v>148</v>
      </c>
      <c r="C440" s="117" t="s">
        <v>105</v>
      </c>
      <c r="D440" s="117" t="s">
        <v>126</v>
      </c>
      <c r="E440" s="117" t="n">
        <v>6454651</v>
      </c>
      <c r="F440" s="117" t="s">
        <v>155</v>
      </c>
      <c r="G440" s="118" t="n">
        <v>8990</v>
      </c>
      <c r="H440" s="118" t="n">
        <v>4</v>
      </c>
      <c r="I440" s="393" t="n">
        <v>43385.59861111111</v>
      </c>
      <c r="J440" s="3" t="s">
        <v>156</v>
      </c>
      <c r="K440" s="171">
        <f>VLOOKUP(D440,Base!D:E,2,0)</f>
        <v/>
      </c>
    </row>
    <row customHeight="1" ht="15" r="441" s="183" spans="1:15">
      <c r="A441" s="37">
        <f>E441</f>
        <v/>
      </c>
      <c r="B441" s="117" t="s">
        <v>148</v>
      </c>
      <c r="C441" s="117" t="s">
        <v>105</v>
      </c>
      <c r="D441" s="117" t="s">
        <v>127</v>
      </c>
      <c r="E441" s="117" t="n">
        <v>6454651</v>
      </c>
      <c r="F441" s="117" t="s">
        <v>155</v>
      </c>
      <c r="G441" s="118" t="n">
        <v>11990</v>
      </c>
      <c r="H441" s="118" t="n">
        <v>4</v>
      </c>
      <c r="I441" s="393" t="n">
        <v>43385.59930555556</v>
      </c>
      <c r="J441" s="3" t="s">
        <v>156</v>
      </c>
      <c r="K441" s="171">
        <f>VLOOKUP(D441,Base!D:E,2,0)</f>
        <v/>
      </c>
    </row>
    <row customHeight="1" ht="15" r="442" s="183" spans="1:15">
      <c r="A442" s="37">
        <f>E442</f>
        <v/>
      </c>
      <c r="B442" s="117" t="s">
        <v>148</v>
      </c>
      <c r="C442" s="117" t="s">
        <v>105</v>
      </c>
      <c r="D442" s="117" t="s">
        <v>128</v>
      </c>
      <c r="E442" s="117" t="n">
        <v>6454651</v>
      </c>
      <c r="F442" s="117" t="s">
        <v>155</v>
      </c>
      <c r="G442" s="118" t="n">
        <v>8990</v>
      </c>
      <c r="H442" s="118" t="n">
        <v>4</v>
      </c>
      <c r="I442" s="393" t="n">
        <v>43385.59930555556</v>
      </c>
      <c r="J442" s="3" t="s">
        <v>156</v>
      </c>
      <c r="K442" s="171">
        <f>VLOOKUP(D442,Base!D:E,2,0)</f>
        <v/>
      </c>
    </row>
    <row customHeight="1" ht="15" r="443" s="183" spans="1:15">
      <c r="A443" s="37">
        <f>E443</f>
        <v/>
      </c>
      <c r="B443" s="117" t="s">
        <v>148</v>
      </c>
      <c r="C443" s="117" t="s">
        <v>105</v>
      </c>
      <c r="D443" s="117" t="s">
        <v>129</v>
      </c>
      <c r="E443" s="117" t="n">
        <v>6454651</v>
      </c>
      <c r="F443" s="117" t="s">
        <v>155</v>
      </c>
      <c r="G443" s="118" t="n">
        <v>8990</v>
      </c>
      <c r="H443" s="118" t="n">
        <v>4</v>
      </c>
      <c r="I443" s="393" t="n">
        <v>43385.59930555556</v>
      </c>
      <c r="J443" s="3" t="s">
        <v>156</v>
      </c>
      <c r="K443" s="171">
        <f>VLOOKUP(D443,Base!D:E,2,0)</f>
        <v/>
      </c>
    </row>
    <row customHeight="1" ht="15" r="444" s="183" spans="1:15">
      <c r="A444" s="37">
        <f>E444</f>
        <v/>
      </c>
      <c r="B444" s="117" t="s">
        <v>148</v>
      </c>
      <c r="C444" s="117" t="s">
        <v>105</v>
      </c>
      <c r="D444" s="117" t="s">
        <v>130</v>
      </c>
      <c r="E444" s="117" t="n">
        <v>6454651</v>
      </c>
      <c r="F444" s="117" t="s">
        <v>155</v>
      </c>
      <c r="G444" s="118" t="n">
        <v>9990</v>
      </c>
      <c r="H444" s="118" t="n">
        <v>4</v>
      </c>
      <c r="I444" s="393" t="n">
        <v>43385.59930555556</v>
      </c>
      <c r="J444" s="3" t="s">
        <v>156</v>
      </c>
      <c r="K444" s="171">
        <f>VLOOKUP(D444,Base!D:E,2,0)</f>
        <v/>
      </c>
    </row>
    <row customHeight="1" ht="15" r="445" s="183" spans="1:15">
      <c r="A445" s="37">
        <f>E445</f>
        <v/>
      </c>
      <c r="B445" s="117" t="s">
        <v>148</v>
      </c>
      <c r="C445" s="117" t="s">
        <v>105</v>
      </c>
      <c r="D445" s="117" t="s">
        <v>131</v>
      </c>
      <c r="E445" s="117" t="n">
        <v>6454651</v>
      </c>
      <c r="F445" s="117" t="s">
        <v>155</v>
      </c>
      <c r="G445" s="118" t="n">
        <v>8990</v>
      </c>
      <c r="H445" s="118" t="n">
        <v>4</v>
      </c>
      <c r="I445" s="393" t="n">
        <v>43385.59930555556</v>
      </c>
      <c r="J445" s="3" t="s">
        <v>156</v>
      </c>
      <c r="K445" s="171">
        <f>VLOOKUP(D445,Base!D:E,2,0)</f>
        <v/>
      </c>
    </row>
    <row customHeight="1" ht="15" r="446" s="183" spans="1:15">
      <c r="A446" s="37">
        <f>E446</f>
        <v/>
      </c>
      <c r="B446" s="117" t="s">
        <v>148</v>
      </c>
      <c r="C446" s="117" t="s">
        <v>105</v>
      </c>
      <c r="D446" s="117" t="s">
        <v>132</v>
      </c>
      <c r="E446" s="117" t="n">
        <v>6454651</v>
      </c>
      <c r="F446" s="117" t="s">
        <v>155</v>
      </c>
      <c r="G446" s="118" t="n">
        <v>8990</v>
      </c>
      <c r="H446" s="118" t="n">
        <v>4</v>
      </c>
      <c r="I446" s="393" t="n">
        <v>43385.59930555556</v>
      </c>
      <c r="J446" s="3" t="s">
        <v>156</v>
      </c>
      <c r="K446" s="171">
        <f>VLOOKUP(D446,Base!D:E,2,0)</f>
        <v/>
      </c>
    </row>
    <row customHeight="1" ht="15" r="447" s="183" spans="1:15">
      <c r="A447" s="37">
        <f>E447</f>
        <v/>
      </c>
      <c r="B447" s="117" t="s">
        <v>148</v>
      </c>
      <c r="C447" s="117" t="s">
        <v>105</v>
      </c>
      <c r="D447" s="117" t="s">
        <v>133</v>
      </c>
      <c r="E447" s="117" t="n">
        <v>6454651</v>
      </c>
      <c r="F447" s="117" t="s">
        <v>155</v>
      </c>
      <c r="G447" s="118" t="n">
        <v>8990</v>
      </c>
      <c r="H447" s="118" t="n">
        <v>4</v>
      </c>
      <c r="I447" s="393" t="n">
        <v>43385.59930555556</v>
      </c>
      <c r="J447" s="3" t="s">
        <v>156</v>
      </c>
      <c r="K447" s="171">
        <f>VLOOKUP(D447,Base!D:E,2,0)</f>
        <v/>
      </c>
    </row>
    <row customHeight="1" ht="15" r="448" s="183" spans="1:15">
      <c r="A448" s="37">
        <f>E448</f>
        <v/>
      </c>
      <c r="B448" s="117" t="s">
        <v>148</v>
      </c>
      <c r="C448" s="117" t="s">
        <v>105</v>
      </c>
      <c r="D448" s="117" t="s">
        <v>134</v>
      </c>
      <c r="E448" s="117" t="n">
        <v>6454651</v>
      </c>
      <c r="F448" s="117" t="s">
        <v>155</v>
      </c>
      <c r="G448" s="118" t="n">
        <v>8990</v>
      </c>
      <c r="H448" s="118" t="n">
        <v>4</v>
      </c>
      <c r="I448" s="393" t="n">
        <v>43385.59930555556</v>
      </c>
      <c r="J448" s="3" t="s">
        <v>156</v>
      </c>
      <c r="K448" s="171">
        <f>VLOOKUP(D448,Base!D:E,2,0)</f>
        <v/>
      </c>
    </row>
    <row customHeight="1" ht="15" r="449" s="183" spans="1:15">
      <c r="A449" s="37">
        <f>E449</f>
        <v/>
      </c>
      <c r="B449" s="117" t="s">
        <v>148</v>
      </c>
      <c r="C449" s="117" t="s">
        <v>105</v>
      </c>
      <c r="D449" s="117" t="s">
        <v>135</v>
      </c>
      <c r="E449" s="117" t="n">
        <v>6454651</v>
      </c>
      <c r="F449" s="117" t="s">
        <v>155</v>
      </c>
      <c r="G449" s="118" t="n">
        <v>8990</v>
      </c>
      <c r="H449" s="118" t="n">
        <v>4</v>
      </c>
      <c r="I449" s="393" t="n">
        <v>43385.59861111111</v>
      </c>
      <c r="J449" s="3" t="s">
        <v>156</v>
      </c>
      <c r="K449" s="171">
        <f>VLOOKUP(D449,Base!D:E,2,0)</f>
        <v/>
      </c>
    </row>
    <row customHeight="1" ht="15" r="450" s="183" spans="1:15">
      <c r="A450" s="37">
        <f>E450</f>
        <v/>
      </c>
      <c r="B450" s="117" t="s">
        <v>148</v>
      </c>
      <c r="C450" s="117" t="s">
        <v>105</v>
      </c>
      <c r="D450" s="117" t="s">
        <v>136</v>
      </c>
      <c r="E450" s="117" t="n">
        <v>6454651</v>
      </c>
      <c r="F450" s="117" t="s">
        <v>155</v>
      </c>
      <c r="G450" s="118" t="n">
        <v>8990</v>
      </c>
      <c r="H450" s="118" t="n">
        <v>4</v>
      </c>
      <c r="I450" s="393" t="n">
        <v>43385.59930555556</v>
      </c>
      <c r="J450" s="3" t="s">
        <v>156</v>
      </c>
      <c r="K450" s="171">
        <f>VLOOKUP(D450,Base!D:E,2,0)</f>
        <v/>
      </c>
    </row>
    <row customHeight="1" ht="15" r="451" s="183" spans="1:15">
      <c r="A451" s="37">
        <f>E451</f>
        <v/>
      </c>
      <c r="B451" s="117" t="s">
        <v>148</v>
      </c>
      <c r="C451" s="117" t="s">
        <v>105</v>
      </c>
      <c r="D451" s="117" t="s">
        <v>137</v>
      </c>
      <c r="E451" s="117" t="n">
        <v>6454651</v>
      </c>
      <c r="F451" s="117" t="s">
        <v>155</v>
      </c>
      <c r="G451" s="118" t="n">
        <v>8990</v>
      </c>
      <c r="H451" s="118" t="n">
        <v>4</v>
      </c>
      <c r="I451" s="393" t="n">
        <v>43385.59861111111</v>
      </c>
      <c r="J451" s="3" t="s">
        <v>156</v>
      </c>
      <c r="K451" s="171">
        <f>VLOOKUP(D451,Base!D:E,2,0)</f>
        <v/>
      </c>
    </row>
    <row customHeight="1" ht="15" r="452" s="183" spans="1:15">
      <c r="A452" s="37">
        <f>E452</f>
        <v/>
      </c>
      <c r="B452" s="117" t="s">
        <v>148</v>
      </c>
      <c r="C452" s="117" t="s">
        <v>105</v>
      </c>
      <c r="D452" s="117" t="s">
        <v>138</v>
      </c>
      <c r="E452" s="117" t="n">
        <v>6454651</v>
      </c>
      <c r="F452" s="117" t="s">
        <v>155</v>
      </c>
      <c r="G452" s="118" t="n">
        <v>8990</v>
      </c>
      <c r="H452" s="118" t="n">
        <v>4</v>
      </c>
      <c r="I452" s="393" t="n">
        <v>43385.59930555556</v>
      </c>
      <c r="J452" s="3" t="s">
        <v>156</v>
      </c>
      <c r="K452" s="171">
        <f>VLOOKUP(D452,Base!D:E,2,0)</f>
        <v/>
      </c>
    </row>
    <row customHeight="1" ht="15" r="453" s="183" spans="1:15">
      <c r="A453" s="37">
        <f>E453</f>
        <v/>
      </c>
      <c r="B453" s="117" t="s">
        <v>148</v>
      </c>
      <c r="C453" s="117" t="s">
        <v>105</v>
      </c>
      <c r="D453" s="117" t="s">
        <v>139</v>
      </c>
      <c r="E453" s="117" t="n">
        <v>6454651</v>
      </c>
      <c r="F453" s="117" t="s">
        <v>155</v>
      </c>
      <c r="G453" s="118" t="n">
        <v>8990</v>
      </c>
      <c r="H453" s="118" t="n">
        <v>4</v>
      </c>
      <c r="I453" s="393" t="n">
        <v>43385.59861111111</v>
      </c>
      <c r="J453" s="3" t="s">
        <v>156</v>
      </c>
      <c r="K453" s="171">
        <f>VLOOKUP(D453,Base!D:E,2,0)</f>
        <v/>
      </c>
    </row>
    <row customHeight="1" ht="15" r="454" s="183" spans="1:15">
      <c r="A454" s="37">
        <f>E454</f>
        <v/>
      </c>
      <c r="B454" s="117" t="s">
        <v>148</v>
      </c>
      <c r="C454" s="117" t="s">
        <v>105</v>
      </c>
      <c r="D454" s="117" t="s">
        <v>140</v>
      </c>
      <c r="E454" s="117" t="n">
        <v>6454651</v>
      </c>
      <c r="F454" s="117" t="s">
        <v>155</v>
      </c>
      <c r="G454" s="118" t="n">
        <v>8990</v>
      </c>
      <c r="H454" s="118" t="n">
        <v>4</v>
      </c>
      <c r="I454" s="393" t="n">
        <v>43385.59930555556</v>
      </c>
      <c r="J454" s="3" t="s">
        <v>156</v>
      </c>
      <c r="K454" s="171">
        <f>VLOOKUP(D454,Base!D:E,2,0)</f>
        <v/>
      </c>
    </row>
    <row customHeight="1" ht="15" r="455" s="183" spans="1:15">
      <c r="A455" s="37">
        <f>E455</f>
        <v/>
      </c>
      <c r="B455" s="117" t="s">
        <v>148</v>
      </c>
      <c r="C455" s="117" t="s">
        <v>105</v>
      </c>
      <c r="D455" s="117" t="s">
        <v>141</v>
      </c>
      <c r="E455" s="117" t="n">
        <v>6454651</v>
      </c>
      <c r="F455" s="117" t="s">
        <v>155</v>
      </c>
      <c r="G455" s="118" t="n">
        <v>8990</v>
      </c>
      <c r="H455" s="118" t="n">
        <v>4</v>
      </c>
      <c r="I455" s="393" t="n">
        <v>43385.59930555556</v>
      </c>
      <c r="J455" s="3" t="s">
        <v>156</v>
      </c>
      <c r="K455" s="171">
        <f>VLOOKUP(D455,Base!D:E,2,0)</f>
        <v/>
      </c>
    </row>
    <row customHeight="1" ht="15" r="456" s="183" spans="1:15">
      <c r="A456" s="37">
        <f>E456</f>
        <v/>
      </c>
      <c r="B456" s="117" t="s">
        <v>148</v>
      </c>
      <c r="C456" s="117" t="s">
        <v>105</v>
      </c>
      <c r="D456" s="117" t="s">
        <v>142</v>
      </c>
      <c r="E456" s="117" t="n">
        <v>6454651</v>
      </c>
      <c r="F456" s="117" t="s">
        <v>155</v>
      </c>
      <c r="G456" s="118" t="n">
        <v>8990</v>
      </c>
      <c r="H456" s="118" t="n">
        <v>4</v>
      </c>
      <c r="I456" s="393" t="n">
        <v>43385.59930555556</v>
      </c>
      <c r="J456" s="3" t="s">
        <v>156</v>
      </c>
      <c r="K456" s="171">
        <f>VLOOKUP(D456,Base!D:E,2,0)</f>
        <v/>
      </c>
    </row>
    <row customHeight="1" ht="15" r="457" s="183" spans="1:15">
      <c r="A457" s="37">
        <f>E457</f>
        <v/>
      </c>
      <c r="B457" s="117" t="s">
        <v>148</v>
      </c>
      <c r="C457" s="117" t="s">
        <v>105</v>
      </c>
      <c r="D457" s="117" t="s">
        <v>143</v>
      </c>
      <c r="E457" s="117" t="n">
        <v>6454651</v>
      </c>
      <c r="F457" s="117" t="s">
        <v>155</v>
      </c>
      <c r="G457" s="118" t="n">
        <v>8490</v>
      </c>
      <c r="H457" s="118" t="n">
        <v>4</v>
      </c>
      <c r="I457" s="393" t="n">
        <v>43385.59930555556</v>
      </c>
      <c r="J457" s="3" t="s">
        <v>156</v>
      </c>
      <c r="K457" s="171">
        <f>VLOOKUP(D457,Base!D:E,2,0)</f>
        <v/>
      </c>
    </row>
    <row customHeight="1" ht="15" r="458" s="183" spans="1:15">
      <c r="A458" s="37">
        <f>E458</f>
        <v/>
      </c>
      <c r="B458" s="117" t="s">
        <v>148</v>
      </c>
      <c r="C458" s="117" t="s">
        <v>105</v>
      </c>
      <c r="D458" s="117" t="s">
        <v>144</v>
      </c>
      <c r="E458" s="117" t="n">
        <v>6454651</v>
      </c>
      <c r="F458" s="117" t="s">
        <v>155</v>
      </c>
      <c r="G458" s="118" t="n">
        <v>8990</v>
      </c>
      <c r="H458" s="118" t="n">
        <v>4</v>
      </c>
      <c r="I458" s="393" t="n">
        <v>43385.59930555556</v>
      </c>
      <c r="J458" s="3" t="s">
        <v>156</v>
      </c>
      <c r="K458" s="171">
        <f>VLOOKUP(D458,Base!D:E,2,0)</f>
        <v/>
      </c>
    </row>
    <row customHeight="1" ht="15" r="459" s="183" spans="1:15">
      <c r="A459" s="37">
        <f>E459</f>
        <v/>
      </c>
      <c r="B459" s="117" t="s">
        <v>148</v>
      </c>
      <c r="C459" s="117" t="s">
        <v>105</v>
      </c>
      <c r="D459" s="117" t="s">
        <v>145</v>
      </c>
      <c r="E459" s="117" t="n">
        <v>6454651</v>
      </c>
      <c r="F459" s="117" t="s">
        <v>155</v>
      </c>
      <c r="G459" s="118" t="n">
        <v>8990</v>
      </c>
      <c r="H459" s="118" t="n">
        <v>4</v>
      </c>
      <c r="I459" s="393" t="n">
        <v>43385.59930555556</v>
      </c>
      <c r="J459" s="3" t="s">
        <v>156</v>
      </c>
      <c r="K459" s="171">
        <f>VLOOKUP(D459,Base!D:E,2,0)</f>
        <v/>
      </c>
    </row>
    <row customHeight="1" ht="15" r="460" s="183" spans="1:15">
      <c r="A460" s="37">
        <f>E460</f>
        <v/>
      </c>
      <c r="B460" s="117" t="s">
        <v>148</v>
      </c>
      <c r="C460" s="117" t="s">
        <v>105</v>
      </c>
      <c r="D460" s="117" t="s">
        <v>146</v>
      </c>
      <c r="E460" s="117" t="n">
        <v>6454651</v>
      </c>
      <c r="F460" s="117" t="s">
        <v>155</v>
      </c>
      <c r="G460" s="118" t="n">
        <v>8990</v>
      </c>
      <c r="H460" s="118" t="n">
        <v>4</v>
      </c>
      <c r="I460" s="393" t="n">
        <v>43385.59861111111</v>
      </c>
      <c r="J460" s="3" t="s">
        <v>156</v>
      </c>
      <c r="K460" s="171">
        <f>VLOOKUP(D460,Base!D:E,2,0)</f>
        <v/>
      </c>
    </row>
    <row customHeight="1" ht="15" r="461" s="183" spans="1:15">
      <c r="A461" s="37">
        <f>E461</f>
        <v/>
      </c>
      <c r="B461" s="117" t="s">
        <v>148</v>
      </c>
      <c r="C461" s="117" t="s">
        <v>105</v>
      </c>
      <c r="D461" s="117" t="s">
        <v>147</v>
      </c>
      <c r="E461" s="117" t="n">
        <v>6454651</v>
      </c>
      <c r="F461" s="117" t="s">
        <v>155</v>
      </c>
      <c r="G461" s="118" t="n">
        <v>8990</v>
      </c>
      <c r="H461" s="118" t="n">
        <v>4</v>
      </c>
      <c r="I461" s="393" t="n">
        <v>43385.59861111111</v>
      </c>
      <c r="J461" s="3" t="s">
        <v>156</v>
      </c>
      <c r="K461" s="171">
        <f>VLOOKUP(D461,Base!D:E,2,0)</f>
        <v/>
      </c>
    </row>
    <row customHeight="1" ht="15" r="462" s="183" spans="1:15">
      <c r="A462" s="37">
        <f>E462</f>
        <v/>
      </c>
      <c r="B462" s="117" t="s">
        <v>157</v>
      </c>
      <c r="C462" s="117" t="s">
        <v>36</v>
      </c>
      <c r="D462" s="117" t="s">
        <v>37</v>
      </c>
      <c r="E462" s="117" t="n">
        <v>678031</v>
      </c>
      <c r="F462" s="117" t="s">
        <v>158</v>
      </c>
      <c r="G462" s="117" t="n">
        <v>39990</v>
      </c>
      <c r="H462" s="117" t="n">
        <v>7</v>
      </c>
      <c r="I462" s="393" t="n">
        <v>43385.46875</v>
      </c>
      <c r="J462" s="3" t="s">
        <v>156</v>
      </c>
      <c r="K462" s="171">
        <f>VLOOKUP(D462,Base!D:E,2,0)</f>
        <v/>
      </c>
    </row>
    <row customHeight="1" ht="15" r="463" s="183" spans="1:15">
      <c r="A463" s="37">
        <f>E463</f>
        <v/>
      </c>
      <c r="B463" s="117" t="s">
        <v>157</v>
      </c>
      <c r="C463" s="117" t="s">
        <v>36</v>
      </c>
      <c r="D463" s="117" t="s">
        <v>42</v>
      </c>
      <c r="E463" s="117" t="n">
        <v>678031</v>
      </c>
      <c r="F463" s="117" t="s">
        <v>158</v>
      </c>
      <c r="G463" s="117" t="n">
        <v>39990</v>
      </c>
      <c r="H463" s="117" t="n">
        <v>7</v>
      </c>
      <c r="I463" s="393" t="n">
        <v>43385.47013888889</v>
      </c>
      <c r="J463" s="3" t="s">
        <v>156</v>
      </c>
      <c r="K463" s="171">
        <f>VLOOKUP(D463,Base!D:E,2,0)</f>
        <v/>
      </c>
    </row>
    <row customHeight="1" ht="15" r="464" s="183" spans="1:15">
      <c r="A464" s="37">
        <f>E464</f>
        <v/>
      </c>
      <c r="B464" s="117" t="s">
        <v>157</v>
      </c>
      <c r="C464" s="117" t="s">
        <v>44</v>
      </c>
      <c r="D464" s="117" t="s">
        <v>45</v>
      </c>
      <c r="E464" s="117" t="n">
        <v>678031</v>
      </c>
      <c r="F464" s="117" t="s">
        <v>158</v>
      </c>
      <c r="G464" s="117" t="n">
        <v>39990</v>
      </c>
      <c r="H464" s="117" t="n">
        <v>8</v>
      </c>
      <c r="I464" s="393" t="n">
        <v>43385.47083333333</v>
      </c>
      <c r="J464" s="3" t="s">
        <v>156</v>
      </c>
      <c r="K464" s="171">
        <f>VLOOKUP(D464,Base!D:E,2,0)</f>
        <v/>
      </c>
    </row>
    <row customHeight="1" ht="15" r="465" s="183" spans="1:15">
      <c r="A465" s="37">
        <f>E465</f>
        <v/>
      </c>
      <c r="B465" s="117" t="s">
        <v>157</v>
      </c>
      <c r="C465" s="117" t="s">
        <v>46</v>
      </c>
      <c r="D465" s="117" t="s">
        <v>47</v>
      </c>
      <c r="E465" s="117" t="n">
        <v>678031</v>
      </c>
      <c r="F465" s="117" t="s">
        <v>158</v>
      </c>
      <c r="G465" s="117" t="n">
        <v>29990</v>
      </c>
      <c r="H465" s="117" t="n">
        <v>6</v>
      </c>
      <c r="I465" s="393" t="n">
        <v>43385.47013888889</v>
      </c>
      <c r="J465" s="3" t="s">
        <v>156</v>
      </c>
      <c r="K465" s="171">
        <f>VLOOKUP(D465,Base!D:E,2,0)</f>
        <v/>
      </c>
    </row>
    <row customHeight="1" ht="15" r="466" s="183" spans="1:15">
      <c r="A466" s="37">
        <f>E466</f>
        <v/>
      </c>
      <c r="B466" s="117" t="s">
        <v>157</v>
      </c>
      <c r="C466" s="117" t="s">
        <v>46</v>
      </c>
      <c r="D466" s="117" t="s">
        <v>48</v>
      </c>
      <c r="E466" s="117" t="n">
        <v>678031</v>
      </c>
      <c r="F466" s="117" t="s">
        <v>158</v>
      </c>
      <c r="G466" s="117" t="n">
        <v>34990</v>
      </c>
      <c r="H466" s="117" t="n">
        <v>12</v>
      </c>
      <c r="I466" s="393" t="n">
        <v>43385.47083333333</v>
      </c>
      <c r="J466" s="3" t="s">
        <v>156</v>
      </c>
      <c r="K466" s="171">
        <f>VLOOKUP(D466,Base!D:E,2,0)</f>
        <v/>
      </c>
    </row>
    <row customHeight="1" ht="15" r="467" s="183" spans="1:15">
      <c r="A467" s="37">
        <f>E467</f>
        <v/>
      </c>
      <c r="B467" s="117" t="s">
        <v>157</v>
      </c>
      <c r="C467" s="117" t="s">
        <v>51</v>
      </c>
      <c r="D467" s="117" t="s">
        <v>52</v>
      </c>
      <c r="E467" s="117" t="n">
        <v>678031</v>
      </c>
      <c r="F467" s="117" t="s">
        <v>158</v>
      </c>
      <c r="G467" s="117" t="n">
        <v>19990</v>
      </c>
      <c r="H467" s="117" t="n">
        <v>5</v>
      </c>
      <c r="I467" s="393" t="n">
        <v>43385.47013888889</v>
      </c>
      <c r="J467" s="3" t="s">
        <v>156</v>
      </c>
      <c r="K467" s="171">
        <f>VLOOKUP(D467,Base!D:E,2,0)</f>
        <v/>
      </c>
    </row>
    <row customHeight="1" ht="15" r="468" s="183" spans="1:15">
      <c r="A468" s="37">
        <f>E468</f>
        <v/>
      </c>
      <c r="B468" s="117" t="s">
        <v>157</v>
      </c>
      <c r="C468" s="117" t="s">
        <v>51</v>
      </c>
      <c r="D468" s="117" t="s">
        <v>53</v>
      </c>
      <c r="E468" s="117" t="n">
        <v>678031</v>
      </c>
      <c r="F468" s="117" t="s">
        <v>158</v>
      </c>
      <c r="G468" s="117" t="n">
        <v>19990</v>
      </c>
      <c r="H468" s="117" t="n">
        <v>7</v>
      </c>
      <c r="I468" s="393" t="n">
        <v>43385.47013888889</v>
      </c>
      <c r="J468" s="3" t="s">
        <v>156</v>
      </c>
      <c r="K468" s="171">
        <f>VLOOKUP(D468,Base!D:E,2,0)</f>
        <v/>
      </c>
    </row>
    <row customHeight="1" ht="15" r="469" s="183" spans="1:15">
      <c r="A469" s="37">
        <f>E469</f>
        <v/>
      </c>
      <c r="B469" s="117" t="s">
        <v>157</v>
      </c>
      <c r="C469" s="117" t="s">
        <v>51</v>
      </c>
      <c r="D469" s="117" t="s">
        <v>54</v>
      </c>
      <c r="E469" s="117" t="n">
        <v>678031</v>
      </c>
      <c r="F469" s="117" t="s">
        <v>158</v>
      </c>
      <c r="G469" s="117" t="n">
        <v>19990</v>
      </c>
      <c r="H469" s="117" t="n">
        <v>5</v>
      </c>
      <c r="I469" s="393" t="n">
        <v>43385.47083333333</v>
      </c>
      <c r="J469" s="3" t="s">
        <v>156</v>
      </c>
      <c r="K469" s="171">
        <f>VLOOKUP(D469,Base!D:E,2,0)</f>
        <v/>
      </c>
    </row>
    <row customHeight="1" ht="15" r="470" s="183" spans="1:15">
      <c r="A470" s="37">
        <f>E470</f>
        <v/>
      </c>
      <c r="B470" s="117" t="s">
        <v>157</v>
      </c>
      <c r="C470" s="117" t="s">
        <v>51</v>
      </c>
      <c r="D470" s="117" t="s">
        <v>55</v>
      </c>
      <c r="E470" s="117" t="n">
        <v>678031</v>
      </c>
      <c r="F470" s="117" t="s">
        <v>158</v>
      </c>
      <c r="G470" s="117" t="n">
        <v>19990</v>
      </c>
      <c r="H470" s="117" t="n">
        <v>7</v>
      </c>
      <c r="I470" s="393" t="n">
        <v>43385.47013888889</v>
      </c>
      <c r="J470" s="3" t="s">
        <v>156</v>
      </c>
      <c r="K470" s="171">
        <f>VLOOKUP(D470,Base!D:E,2,0)</f>
        <v/>
      </c>
    </row>
    <row customHeight="1" ht="15" r="471" s="183" spans="1:15">
      <c r="A471" s="37">
        <f>E471</f>
        <v/>
      </c>
      <c r="B471" s="117" t="s">
        <v>157</v>
      </c>
      <c r="C471" s="117" t="s">
        <v>51</v>
      </c>
      <c r="D471" s="117" t="s">
        <v>56</v>
      </c>
      <c r="E471" s="117" t="n">
        <v>678031</v>
      </c>
      <c r="F471" s="117" t="s">
        <v>158</v>
      </c>
      <c r="G471" s="117" t="n">
        <v>21990</v>
      </c>
      <c r="H471" s="117" t="n">
        <v>5</v>
      </c>
      <c r="I471" s="393" t="n">
        <v>43385.47013888889</v>
      </c>
      <c r="J471" s="3" t="s">
        <v>156</v>
      </c>
      <c r="K471" s="171">
        <f>VLOOKUP(D471,Base!D:E,2,0)</f>
        <v/>
      </c>
    </row>
    <row customHeight="1" ht="15" r="472" s="183" spans="1:15">
      <c r="A472" s="37">
        <f>E472</f>
        <v/>
      </c>
      <c r="B472" s="117" t="s">
        <v>157</v>
      </c>
      <c r="C472" s="117" t="s">
        <v>51</v>
      </c>
      <c r="D472" s="117" t="s">
        <v>57</v>
      </c>
      <c r="E472" s="117" t="n">
        <v>678031</v>
      </c>
      <c r="F472" s="117" t="s">
        <v>158</v>
      </c>
      <c r="G472" s="117" t="n">
        <v>19990</v>
      </c>
      <c r="H472" s="117" t="n">
        <v>7</v>
      </c>
      <c r="I472" s="393" t="n">
        <v>43385.47083333333</v>
      </c>
      <c r="J472" s="3" t="s">
        <v>156</v>
      </c>
      <c r="K472" s="171">
        <f>VLOOKUP(D472,Base!D:E,2,0)</f>
        <v/>
      </c>
    </row>
    <row customHeight="1" ht="15" r="473" s="183" spans="1:15">
      <c r="A473" s="37">
        <f>E473</f>
        <v/>
      </c>
      <c r="B473" s="117" t="s">
        <v>157</v>
      </c>
      <c r="C473" s="117" t="s">
        <v>58</v>
      </c>
      <c r="D473" s="117" t="s">
        <v>59</v>
      </c>
      <c r="E473" s="117" t="n">
        <v>678031</v>
      </c>
      <c r="F473" s="117" t="s">
        <v>158</v>
      </c>
      <c r="G473" s="117" t="n">
        <v>15990</v>
      </c>
      <c r="H473" s="117" t="n">
        <v>11</v>
      </c>
      <c r="I473" s="393" t="n">
        <v>43385.47013888889</v>
      </c>
      <c r="J473" s="3" t="s">
        <v>156</v>
      </c>
      <c r="K473" s="171">
        <f>VLOOKUP(D473,Base!D:E,2,0)</f>
        <v/>
      </c>
    </row>
    <row customHeight="1" ht="15" r="474" s="183" spans="1:15">
      <c r="A474" s="37">
        <f>E474</f>
        <v/>
      </c>
      <c r="B474" s="117" t="s">
        <v>157</v>
      </c>
      <c r="C474" s="117" t="s">
        <v>58</v>
      </c>
      <c r="D474" s="117" t="s">
        <v>60</v>
      </c>
      <c r="E474" s="117" t="n">
        <v>678031</v>
      </c>
      <c r="F474" s="117" t="s">
        <v>158</v>
      </c>
      <c r="G474" s="117" t="n">
        <v>15990</v>
      </c>
      <c r="H474" s="117" t="n">
        <v>11</v>
      </c>
      <c r="I474" s="393" t="n">
        <v>43385.46875</v>
      </c>
      <c r="J474" s="3" t="s">
        <v>156</v>
      </c>
      <c r="K474" s="171">
        <f>VLOOKUP(D474,Base!D:E,2,0)</f>
        <v/>
      </c>
    </row>
    <row customHeight="1" ht="15" r="475" s="183" spans="1:15">
      <c r="A475" s="37">
        <f>E475</f>
        <v/>
      </c>
      <c r="B475" s="117" t="s">
        <v>157</v>
      </c>
      <c r="C475" s="117" t="s">
        <v>58</v>
      </c>
      <c r="D475" s="117" t="s">
        <v>61</v>
      </c>
      <c r="E475" s="117" t="n">
        <v>678031</v>
      </c>
      <c r="F475" s="117" t="s">
        <v>158</v>
      </c>
      <c r="G475" s="117" t="n">
        <v>15990</v>
      </c>
      <c r="H475" s="117" t="n">
        <v>5</v>
      </c>
      <c r="I475" s="393" t="n">
        <v>43385.47013888889</v>
      </c>
      <c r="J475" s="3" t="s">
        <v>156</v>
      </c>
      <c r="K475" s="171">
        <f>VLOOKUP(D475,Base!D:E,2,0)</f>
        <v/>
      </c>
    </row>
    <row customHeight="1" ht="15" r="476" s="183" spans="1:15">
      <c r="A476" s="37">
        <f>E476</f>
        <v/>
      </c>
      <c r="B476" s="117" t="s">
        <v>157</v>
      </c>
      <c r="C476" s="117" t="s">
        <v>58</v>
      </c>
      <c r="D476" s="117" t="s">
        <v>62</v>
      </c>
      <c r="E476" s="117" t="n">
        <v>678031</v>
      </c>
      <c r="F476" s="117" t="s">
        <v>158</v>
      </c>
      <c r="G476" s="117" t="n">
        <v>15990</v>
      </c>
      <c r="H476" s="117" t="n">
        <v>11</v>
      </c>
      <c r="I476" s="393" t="n">
        <v>43385.47083333333</v>
      </c>
      <c r="J476" s="3" t="s">
        <v>156</v>
      </c>
      <c r="K476" s="171">
        <f>VLOOKUP(D476,Base!D:E,2,0)</f>
        <v/>
      </c>
    </row>
    <row customHeight="1" ht="15" r="477" s="183" spans="1:15">
      <c r="A477" s="37">
        <f>E477</f>
        <v/>
      </c>
      <c r="B477" s="117" t="s">
        <v>157</v>
      </c>
      <c r="C477" s="117" t="s">
        <v>63</v>
      </c>
      <c r="D477" s="117" t="s">
        <v>64</v>
      </c>
      <c r="E477" s="117" t="n">
        <v>678031</v>
      </c>
      <c r="F477" s="117" t="s">
        <v>158</v>
      </c>
      <c r="G477" s="117" t="n">
        <v>29990</v>
      </c>
      <c r="H477" s="117" t="n">
        <v>12</v>
      </c>
      <c r="I477" s="393" t="n">
        <v>43385.47013888889</v>
      </c>
      <c r="J477" s="3" t="s">
        <v>156</v>
      </c>
      <c r="K477" s="171">
        <f>VLOOKUP(D477,Base!D:E,2,0)</f>
        <v/>
      </c>
    </row>
    <row customHeight="1" ht="15" r="478" s="183" spans="1:15">
      <c r="A478" s="37">
        <f>E478</f>
        <v/>
      </c>
      <c r="B478" s="117" t="s">
        <v>157</v>
      </c>
      <c r="C478" s="117" t="s">
        <v>63</v>
      </c>
      <c r="D478" s="117" t="s">
        <v>65</v>
      </c>
      <c r="E478" s="117" t="n">
        <v>678031</v>
      </c>
      <c r="F478" s="117" t="s">
        <v>158</v>
      </c>
      <c r="G478" s="117" t="n">
        <v>29990</v>
      </c>
      <c r="H478" s="117" t="n">
        <v>7</v>
      </c>
      <c r="I478" s="393" t="n">
        <v>43385.46875</v>
      </c>
      <c r="J478" s="3" t="s">
        <v>156</v>
      </c>
      <c r="K478" s="171">
        <f>VLOOKUP(D478,Base!D:E,2,0)</f>
        <v/>
      </c>
    </row>
    <row customHeight="1" ht="15" r="479" s="183" spans="1:15">
      <c r="A479" s="37">
        <f>E479</f>
        <v/>
      </c>
      <c r="B479" s="117" t="s">
        <v>157</v>
      </c>
      <c r="C479" s="117" t="s">
        <v>63</v>
      </c>
      <c r="D479" s="117" t="s">
        <v>66</v>
      </c>
      <c r="E479" s="117" t="n">
        <v>678031</v>
      </c>
      <c r="F479" s="117" t="s">
        <v>158</v>
      </c>
      <c r="G479" s="117" t="n">
        <v>29990</v>
      </c>
      <c r="H479" s="117" t="n">
        <v>6</v>
      </c>
      <c r="I479" s="393" t="n">
        <v>43385.47013888889</v>
      </c>
      <c r="J479" s="3" t="s">
        <v>156</v>
      </c>
      <c r="K479" s="171">
        <f>VLOOKUP(D479,Base!D:E,2,0)</f>
        <v/>
      </c>
    </row>
    <row customHeight="1" ht="15" r="480" s="183" spans="1:15">
      <c r="A480" s="37">
        <f>E480</f>
        <v/>
      </c>
      <c r="B480" s="117" t="s">
        <v>157</v>
      </c>
      <c r="C480" s="117" t="s">
        <v>63</v>
      </c>
      <c r="D480" s="117" t="s">
        <v>67</v>
      </c>
      <c r="E480" s="117" t="n">
        <v>678031</v>
      </c>
      <c r="F480" s="117" t="s">
        <v>158</v>
      </c>
      <c r="G480" s="117" t="n">
        <v>29990</v>
      </c>
      <c r="H480" s="117" t="n">
        <v>6</v>
      </c>
      <c r="I480" s="393" t="n">
        <v>43385.47083333333</v>
      </c>
      <c r="J480" s="3" t="s">
        <v>156</v>
      </c>
      <c r="K480" s="171">
        <f>VLOOKUP(D480,Base!D:E,2,0)</f>
        <v/>
      </c>
    </row>
    <row customHeight="1" ht="15" r="481" s="183" spans="1:15">
      <c r="A481" s="37">
        <f>E481</f>
        <v/>
      </c>
      <c r="B481" s="117" t="s">
        <v>157</v>
      </c>
      <c r="C481" s="117" t="s">
        <v>68</v>
      </c>
      <c r="D481" s="117" t="s">
        <v>69</v>
      </c>
      <c r="E481" s="117" t="n">
        <v>678031</v>
      </c>
      <c r="F481" s="117" t="s">
        <v>158</v>
      </c>
      <c r="G481" s="117" t="n">
        <v>29990</v>
      </c>
      <c r="H481" s="117" t="n">
        <v>12</v>
      </c>
      <c r="I481" s="393" t="n">
        <v>43385.47013888889</v>
      </c>
      <c r="J481" s="3" t="s">
        <v>156</v>
      </c>
      <c r="K481" s="171">
        <f>VLOOKUP(D481,Base!D:E,2,0)</f>
        <v/>
      </c>
    </row>
    <row customHeight="1" ht="15" r="482" s="183" spans="1:15">
      <c r="A482" s="37">
        <f>E482</f>
        <v/>
      </c>
      <c r="B482" s="117" t="s">
        <v>157</v>
      </c>
      <c r="C482" s="117" t="s">
        <v>68</v>
      </c>
      <c r="D482" s="117" t="s">
        <v>70</v>
      </c>
      <c r="E482" s="117" t="n">
        <v>678031</v>
      </c>
      <c r="F482" s="117" t="s">
        <v>158</v>
      </c>
      <c r="G482" s="117" t="n">
        <v>29990</v>
      </c>
      <c r="H482" s="117" t="n">
        <v>11</v>
      </c>
      <c r="I482" s="393" t="n">
        <v>43385.46875</v>
      </c>
      <c r="J482" s="3" t="s">
        <v>156</v>
      </c>
      <c r="K482" s="171">
        <f>VLOOKUP(D482,Base!D:E,2,0)</f>
        <v/>
      </c>
    </row>
    <row customHeight="1" ht="15" r="483" s="183" spans="1:15">
      <c r="A483" s="37">
        <f>E483</f>
        <v/>
      </c>
      <c r="B483" s="117" t="s">
        <v>157</v>
      </c>
      <c r="C483" s="117" t="s">
        <v>73</v>
      </c>
      <c r="D483" s="117" t="s">
        <v>74</v>
      </c>
      <c r="E483" s="117" t="n">
        <v>678031</v>
      </c>
      <c r="F483" s="117" t="s">
        <v>158</v>
      </c>
      <c r="G483" s="117" t="n">
        <v>39990</v>
      </c>
      <c r="H483" s="117" t="n">
        <v>8</v>
      </c>
      <c r="I483" s="393" t="n">
        <v>43385.47013888889</v>
      </c>
      <c r="J483" s="3" t="s">
        <v>156</v>
      </c>
      <c r="K483" s="171">
        <f>VLOOKUP(D483,Base!D:E,2,0)</f>
        <v/>
      </c>
    </row>
    <row customHeight="1" ht="15" r="484" s="183" spans="1:15">
      <c r="A484" s="37">
        <f>E484</f>
        <v/>
      </c>
      <c r="B484" s="117" t="s">
        <v>157</v>
      </c>
      <c r="C484" s="117" t="s">
        <v>75</v>
      </c>
      <c r="D484" s="117" t="s">
        <v>76</v>
      </c>
      <c r="E484" s="117" t="n">
        <v>678031</v>
      </c>
      <c r="F484" s="117" t="s">
        <v>158</v>
      </c>
      <c r="G484" s="117" t="n">
        <v>10990</v>
      </c>
      <c r="H484" s="117" t="n">
        <v>1</v>
      </c>
      <c r="I484" s="393" t="n">
        <v>43385.47013888889</v>
      </c>
      <c r="J484" s="3" t="s">
        <v>156</v>
      </c>
      <c r="K484" s="171">
        <f>VLOOKUP(D484,Base!D:E,2,0)</f>
        <v/>
      </c>
    </row>
    <row customHeight="1" ht="15" r="485" s="183" spans="1:15">
      <c r="A485" s="37">
        <f>E485</f>
        <v/>
      </c>
      <c r="B485" s="117" t="s">
        <v>157</v>
      </c>
      <c r="C485" s="117" t="s">
        <v>75</v>
      </c>
      <c r="D485" s="117" t="s">
        <v>77</v>
      </c>
      <c r="E485" s="117" t="n">
        <v>678031</v>
      </c>
      <c r="F485" s="117" t="s">
        <v>158</v>
      </c>
      <c r="G485" s="117" t="n">
        <v>10990</v>
      </c>
      <c r="H485" s="117" t="n">
        <v>5</v>
      </c>
      <c r="I485" s="393" t="n">
        <v>43385.47083333333</v>
      </c>
      <c r="J485" s="3" t="s">
        <v>156</v>
      </c>
      <c r="K485" s="171">
        <f>VLOOKUP(D485,Base!D:E,2,0)</f>
        <v/>
      </c>
    </row>
    <row customHeight="1" ht="15" r="486" s="183" spans="1:15">
      <c r="A486" s="37">
        <f>E486</f>
        <v/>
      </c>
      <c r="B486" s="117" t="s">
        <v>157</v>
      </c>
      <c r="C486" s="117" t="s">
        <v>75</v>
      </c>
      <c r="D486" s="117" t="s">
        <v>78</v>
      </c>
      <c r="E486" s="117" t="n">
        <v>678031</v>
      </c>
      <c r="F486" s="117" t="s">
        <v>158</v>
      </c>
      <c r="G486" s="117" t="n">
        <v>11890</v>
      </c>
      <c r="H486" s="117" t="n">
        <v>12</v>
      </c>
      <c r="I486" s="393" t="n">
        <v>43385.47013888889</v>
      </c>
      <c r="J486" s="3" t="s">
        <v>156</v>
      </c>
      <c r="K486" s="171">
        <f>VLOOKUP(D486,Base!D:E,2,0)</f>
        <v/>
      </c>
    </row>
    <row customHeight="1" ht="15" r="487" s="183" spans="1:15">
      <c r="A487" s="37">
        <f>E487</f>
        <v/>
      </c>
      <c r="B487" s="117" t="s">
        <v>157</v>
      </c>
      <c r="C487" s="117" t="s">
        <v>75</v>
      </c>
      <c r="D487" s="117" t="s">
        <v>79</v>
      </c>
      <c r="E487" s="117" t="n">
        <v>678031</v>
      </c>
      <c r="F487" s="117" t="s">
        <v>158</v>
      </c>
      <c r="G487" s="117" t="n">
        <v>10990</v>
      </c>
      <c r="H487" s="117" t="n">
        <v>4</v>
      </c>
      <c r="I487" s="393" t="n">
        <v>43385.47013888889</v>
      </c>
      <c r="J487" s="3" t="s">
        <v>156</v>
      </c>
      <c r="K487" s="171">
        <f>VLOOKUP(D487,Base!D:E,2,0)</f>
        <v/>
      </c>
    </row>
    <row customHeight="1" ht="15" r="488" s="183" spans="1:15">
      <c r="A488" s="37">
        <f>E488</f>
        <v/>
      </c>
      <c r="B488" s="117" t="s">
        <v>157</v>
      </c>
      <c r="C488" s="117" t="s">
        <v>75</v>
      </c>
      <c r="D488" s="117" t="s">
        <v>80</v>
      </c>
      <c r="E488" s="117" t="n">
        <v>678031</v>
      </c>
      <c r="F488" s="117" t="s">
        <v>158</v>
      </c>
      <c r="G488" s="117" t="n">
        <v>10990</v>
      </c>
      <c r="H488" s="117" t="n">
        <v>1</v>
      </c>
      <c r="I488" s="393" t="n">
        <v>43385.47013888889</v>
      </c>
      <c r="J488" s="3" t="s">
        <v>156</v>
      </c>
      <c r="K488" s="171">
        <f>VLOOKUP(D488,Base!D:E,2,0)</f>
        <v/>
      </c>
    </row>
    <row customHeight="1" ht="15" r="489" s="183" spans="1:15">
      <c r="A489" s="37">
        <f>E489</f>
        <v/>
      </c>
      <c r="B489" s="117" t="s">
        <v>157</v>
      </c>
      <c r="C489" s="117" t="s">
        <v>75</v>
      </c>
      <c r="D489" s="117" t="s">
        <v>81</v>
      </c>
      <c r="E489" s="117" t="n">
        <v>678031</v>
      </c>
      <c r="F489" s="117" t="s">
        <v>158</v>
      </c>
      <c r="G489" s="117" t="n">
        <v>12990</v>
      </c>
      <c r="H489" s="117" t="n">
        <v>4</v>
      </c>
      <c r="I489" s="393" t="n">
        <v>43385.47083333333</v>
      </c>
      <c r="J489" s="3" t="s">
        <v>156</v>
      </c>
      <c r="K489" s="171">
        <f>VLOOKUP(D489,Base!D:E,2,0)</f>
        <v/>
      </c>
    </row>
    <row customHeight="1" ht="15" r="490" s="183" spans="1:15">
      <c r="A490" s="37">
        <f>E490</f>
        <v/>
      </c>
      <c r="B490" s="117" t="s">
        <v>157</v>
      </c>
      <c r="C490" s="117" t="s">
        <v>75</v>
      </c>
      <c r="D490" s="117" t="s">
        <v>82</v>
      </c>
      <c r="E490" s="117" t="n">
        <v>678031</v>
      </c>
      <c r="F490" s="117" t="s">
        <v>158</v>
      </c>
      <c r="G490" s="117" t="n">
        <v>12990</v>
      </c>
      <c r="H490" s="117" t="n">
        <v>13</v>
      </c>
      <c r="I490" s="393" t="n">
        <v>43385.47013888889</v>
      </c>
      <c r="J490" s="3" t="s">
        <v>156</v>
      </c>
      <c r="K490" s="171">
        <f>VLOOKUP(D490,Base!D:E,2,0)</f>
        <v/>
      </c>
    </row>
    <row customHeight="1" ht="15" r="491" s="183" spans="1:15">
      <c r="A491" s="37">
        <f>E491</f>
        <v/>
      </c>
      <c r="B491" s="117" t="s">
        <v>157</v>
      </c>
      <c r="C491" s="117" t="s">
        <v>75</v>
      </c>
      <c r="D491" s="117" t="s">
        <v>83</v>
      </c>
      <c r="E491" s="117" t="n">
        <v>678031</v>
      </c>
      <c r="F491" s="117" t="s">
        <v>158</v>
      </c>
      <c r="G491" s="117" t="n">
        <v>10990</v>
      </c>
      <c r="H491" s="117" t="n">
        <v>1</v>
      </c>
      <c r="I491" s="393" t="n">
        <v>43385.46875</v>
      </c>
      <c r="J491" s="3" t="s">
        <v>156</v>
      </c>
      <c r="K491" s="171">
        <f>VLOOKUP(D491,Base!D:E,2,0)</f>
        <v/>
      </c>
    </row>
    <row customHeight="1" ht="15" r="492" s="183" spans="1:15">
      <c r="A492" s="37">
        <f>E492</f>
        <v/>
      </c>
      <c r="B492" s="117" t="s">
        <v>157</v>
      </c>
      <c r="C492" s="117" t="s">
        <v>75</v>
      </c>
      <c r="D492" s="117" t="s">
        <v>84</v>
      </c>
      <c r="E492" s="117" t="n">
        <v>678031</v>
      </c>
      <c r="F492" s="117" t="s">
        <v>158</v>
      </c>
      <c r="G492" s="117" t="n">
        <v>10990</v>
      </c>
      <c r="H492" s="117" t="n">
        <v>1</v>
      </c>
      <c r="I492" s="393" t="n">
        <v>43385.47013888889</v>
      </c>
      <c r="J492" s="3" t="s">
        <v>156</v>
      </c>
      <c r="K492" s="171">
        <f>VLOOKUP(D492,Base!D:E,2,0)</f>
        <v/>
      </c>
    </row>
    <row customHeight="1" ht="15" r="493" s="183" spans="1:15">
      <c r="A493" s="37">
        <f>E493</f>
        <v/>
      </c>
      <c r="B493" s="117" t="s">
        <v>157</v>
      </c>
      <c r="C493" s="117" t="s">
        <v>75</v>
      </c>
      <c r="D493" s="117" t="s">
        <v>85</v>
      </c>
      <c r="E493" s="117" t="n">
        <v>678031</v>
      </c>
      <c r="F493" s="117" t="s">
        <v>158</v>
      </c>
      <c r="G493" s="117" t="n">
        <v>10990</v>
      </c>
      <c r="H493" s="117" t="n">
        <v>1</v>
      </c>
      <c r="I493" s="393" t="n">
        <v>43385.47083333333</v>
      </c>
      <c r="J493" s="3" t="s">
        <v>156</v>
      </c>
      <c r="K493" s="171">
        <f>VLOOKUP(D493,Base!D:E,2,0)</f>
        <v/>
      </c>
    </row>
    <row customHeight="1" ht="15" r="494" s="183" spans="1:15">
      <c r="A494" s="37">
        <f>E494</f>
        <v/>
      </c>
      <c r="B494" s="117" t="s">
        <v>157</v>
      </c>
      <c r="C494" s="117" t="s">
        <v>86</v>
      </c>
      <c r="D494" s="117" t="s">
        <v>87</v>
      </c>
      <c r="E494" s="117" t="n">
        <v>678031</v>
      </c>
      <c r="F494" s="117" t="s">
        <v>158</v>
      </c>
      <c r="G494" s="117" t="n">
        <v>16990</v>
      </c>
      <c r="H494" s="117" t="n">
        <v>10</v>
      </c>
      <c r="I494" s="393" t="n">
        <v>43385.47013888889</v>
      </c>
      <c r="J494" s="3" t="s">
        <v>156</v>
      </c>
      <c r="K494" s="171">
        <f>VLOOKUP(D494,Base!D:E,2,0)</f>
        <v/>
      </c>
    </row>
    <row customHeight="1" ht="15" r="495" s="183" spans="1:15">
      <c r="A495" s="37">
        <f>E495</f>
        <v/>
      </c>
      <c r="B495" s="117" t="s">
        <v>157</v>
      </c>
      <c r="C495" s="117" t="s">
        <v>86</v>
      </c>
      <c r="D495" s="117" t="s">
        <v>88</v>
      </c>
      <c r="E495" s="117" t="n">
        <v>678031</v>
      </c>
      <c r="F495" s="117" t="s">
        <v>158</v>
      </c>
      <c r="G495" s="117" t="n">
        <v>15990</v>
      </c>
      <c r="H495" s="117" t="n">
        <v>5</v>
      </c>
      <c r="I495" s="393" t="n">
        <v>43385.47013888889</v>
      </c>
      <c r="J495" s="3" t="s">
        <v>156</v>
      </c>
      <c r="K495" s="171">
        <f>VLOOKUP(D495,Base!D:E,2,0)</f>
        <v/>
      </c>
    </row>
    <row customHeight="1" ht="15" r="496" s="183" spans="1:15">
      <c r="A496" s="37">
        <f>E496</f>
        <v/>
      </c>
      <c r="B496" s="117" t="s">
        <v>157</v>
      </c>
      <c r="C496" s="117" t="s">
        <v>86</v>
      </c>
      <c r="D496" s="117" t="s">
        <v>89</v>
      </c>
      <c r="E496" s="117" t="n">
        <v>678031</v>
      </c>
      <c r="F496" s="117" t="s">
        <v>158</v>
      </c>
      <c r="G496" s="117" t="n">
        <v>15990</v>
      </c>
      <c r="H496" s="117" t="n">
        <v>5</v>
      </c>
      <c r="I496" s="393" t="n">
        <v>43385.46875</v>
      </c>
      <c r="J496" s="3" t="s">
        <v>156</v>
      </c>
      <c r="K496" s="171">
        <f>VLOOKUP(D496,Base!D:E,2,0)</f>
        <v/>
      </c>
    </row>
    <row customHeight="1" ht="15" r="497" s="183" spans="1:15">
      <c r="A497" s="37">
        <f>E497</f>
        <v/>
      </c>
      <c r="B497" s="117" t="s">
        <v>157</v>
      </c>
      <c r="C497" s="117" t="s">
        <v>86</v>
      </c>
      <c r="D497" s="117" t="s">
        <v>90</v>
      </c>
      <c r="E497" s="117" t="n">
        <v>678031</v>
      </c>
      <c r="F497" s="117" t="s">
        <v>158</v>
      </c>
      <c r="G497" s="117" t="n">
        <v>15990</v>
      </c>
      <c r="H497" s="117" t="n">
        <v>5</v>
      </c>
      <c r="I497" s="393" t="n">
        <v>43385.47013888889</v>
      </c>
      <c r="J497" s="3" t="s">
        <v>156</v>
      </c>
      <c r="K497" s="171">
        <f>VLOOKUP(D497,Base!D:E,2,0)</f>
        <v/>
      </c>
    </row>
    <row customHeight="1" ht="15" r="498" s="183" spans="1:15">
      <c r="A498" s="37">
        <f>E498</f>
        <v/>
      </c>
      <c r="B498" s="117" t="s">
        <v>157</v>
      </c>
      <c r="C498" s="117" t="s">
        <v>86</v>
      </c>
      <c r="D498" s="117" t="s">
        <v>91</v>
      </c>
      <c r="E498" s="117" t="n">
        <v>678031</v>
      </c>
      <c r="F498" s="117" t="s">
        <v>158</v>
      </c>
      <c r="G498" s="117" t="n">
        <v>15990</v>
      </c>
      <c r="H498" s="117" t="n">
        <v>5</v>
      </c>
      <c r="I498" s="393" t="n">
        <v>43385.47083333333</v>
      </c>
      <c r="J498" s="3" t="s">
        <v>156</v>
      </c>
      <c r="K498" s="171">
        <f>VLOOKUP(D498,Base!D:E,2,0)</f>
        <v/>
      </c>
    </row>
    <row customHeight="1" ht="15" r="499" s="183" spans="1:15">
      <c r="A499" s="37">
        <f>E499</f>
        <v/>
      </c>
      <c r="B499" s="117" t="s">
        <v>157</v>
      </c>
      <c r="C499" s="117" t="s">
        <v>86</v>
      </c>
      <c r="D499" s="117" t="s">
        <v>92</v>
      </c>
      <c r="E499" s="117" t="n">
        <v>678031</v>
      </c>
      <c r="F499" s="117" t="s">
        <v>158</v>
      </c>
      <c r="G499" s="117" t="n">
        <v>16990</v>
      </c>
      <c r="H499" s="117" t="n">
        <v>7</v>
      </c>
      <c r="I499" s="393" t="n">
        <v>43385.47013888889</v>
      </c>
      <c r="J499" s="3" t="s">
        <v>156</v>
      </c>
      <c r="K499" s="171">
        <f>VLOOKUP(D499,Base!D:E,2,0)</f>
        <v/>
      </c>
    </row>
    <row customHeight="1" ht="15" r="500" s="183" spans="1:15">
      <c r="A500" s="37">
        <f>E500</f>
        <v/>
      </c>
      <c r="B500" s="117" t="s">
        <v>157</v>
      </c>
      <c r="C500" s="117" t="s">
        <v>86</v>
      </c>
      <c r="D500" s="117" t="s">
        <v>93</v>
      </c>
      <c r="E500" s="117" t="n">
        <v>678031</v>
      </c>
      <c r="F500" s="117" t="s">
        <v>158</v>
      </c>
      <c r="G500" s="117" t="n">
        <v>15990</v>
      </c>
      <c r="H500" s="117" t="n">
        <v>5</v>
      </c>
      <c r="I500" s="393" t="n">
        <v>43385.46875</v>
      </c>
      <c r="J500" s="3" t="s">
        <v>156</v>
      </c>
      <c r="K500" s="171">
        <f>VLOOKUP(D500,Base!D:E,2,0)</f>
        <v/>
      </c>
    </row>
    <row customHeight="1" ht="15" r="501" s="183" spans="1:15">
      <c r="A501" s="37">
        <f>E501</f>
        <v/>
      </c>
      <c r="B501" s="117" t="s">
        <v>157</v>
      </c>
      <c r="C501" s="117" t="s">
        <v>86</v>
      </c>
      <c r="D501" s="117" t="s">
        <v>94</v>
      </c>
      <c r="E501" s="117" t="n">
        <v>678031</v>
      </c>
      <c r="F501" s="117" t="s">
        <v>158</v>
      </c>
      <c r="G501" s="117" t="n">
        <v>15990</v>
      </c>
      <c r="H501" s="117" t="n">
        <v>5</v>
      </c>
      <c r="I501" s="393" t="n">
        <v>43385.47013888889</v>
      </c>
      <c r="J501" s="3" t="s">
        <v>156</v>
      </c>
      <c r="K501" s="171">
        <f>VLOOKUP(D501,Base!D:E,2,0)</f>
        <v/>
      </c>
    </row>
    <row customHeight="1" ht="15" r="502" s="183" spans="1:15">
      <c r="A502" s="37">
        <f>E502</f>
        <v/>
      </c>
      <c r="B502" s="117" t="s">
        <v>157</v>
      </c>
      <c r="C502" s="117" t="s">
        <v>86</v>
      </c>
      <c r="D502" s="117" t="s">
        <v>95</v>
      </c>
      <c r="E502" s="117" t="n">
        <v>678031</v>
      </c>
      <c r="F502" s="117" t="s">
        <v>158</v>
      </c>
      <c r="G502" s="117" t="n">
        <v>15990</v>
      </c>
      <c r="H502" s="117" t="n">
        <v>5</v>
      </c>
      <c r="I502" s="393" t="n">
        <v>43385.47013888889</v>
      </c>
      <c r="J502" s="3" t="s">
        <v>156</v>
      </c>
      <c r="K502" s="171">
        <f>VLOOKUP(D502,Base!D:E,2,0)</f>
        <v/>
      </c>
    </row>
    <row customHeight="1" ht="15" r="503" s="183" spans="1:15">
      <c r="A503" s="37">
        <f>E503</f>
        <v/>
      </c>
      <c r="B503" s="117" t="s">
        <v>157</v>
      </c>
      <c r="C503" s="117" t="s">
        <v>96</v>
      </c>
      <c r="D503" s="117" t="s">
        <v>97</v>
      </c>
      <c r="E503" s="117" t="n">
        <v>678031</v>
      </c>
      <c r="F503" s="117" t="s">
        <v>158</v>
      </c>
      <c r="G503" s="117" t="n">
        <v>12990</v>
      </c>
      <c r="H503" s="117" t="n">
        <v>4</v>
      </c>
      <c r="I503" s="393" t="n">
        <v>43385.47013888889</v>
      </c>
      <c r="J503" s="3" t="s">
        <v>156</v>
      </c>
      <c r="K503" s="171">
        <f>VLOOKUP(D503,Base!D:E,2,0)</f>
        <v/>
      </c>
    </row>
    <row customHeight="1" ht="15" r="504" s="183" spans="1:15">
      <c r="A504" s="37">
        <f>E504</f>
        <v/>
      </c>
      <c r="B504" s="117" t="s">
        <v>157</v>
      </c>
      <c r="C504" s="117" t="s">
        <v>96</v>
      </c>
      <c r="D504" s="117" t="s">
        <v>98</v>
      </c>
      <c r="E504" s="117" t="n">
        <v>678031</v>
      </c>
      <c r="F504" s="117" t="s">
        <v>158</v>
      </c>
      <c r="G504" s="117" t="n">
        <v>10990</v>
      </c>
      <c r="H504" s="117" t="n">
        <v>4</v>
      </c>
      <c r="I504" s="393" t="n">
        <v>43385.47083333333</v>
      </c>
      <c r="J504" s="3" t="s">
        <v>156</v>
      </c>
      <c r="K504" s="171">
        <f>VLOOKUP(D504,Base!D:E,2,0)</f>
        <v/>
      </c>
    </row>
    <row customHeight="1" ht="15" r="505" s="183" spans="1:15">
      <c r="A505" s="37">
        <f>E505</f>
        <v/>
      </c>
      <c r="B505" s="117" t="s">
        <v>157</v>
      </c>
      <c r="C505" s="117" t="s">
        <v>96</v>
      </c>
      <c r="D505" s="117" t="s">
        <v>99</v>
      </c>
      <c r="E505" s="117" t="n">
        <v>678031</v>
      </c>
      <c r="F505" s="117" t="s">
        <v>158</v>
      </c>
      <c r="G505" s="117" t="n">
        <v>12990</v>
      </c>
      <c r="H505" s="117" t="n">
        <v>7</v>
      </c>
      <c r="I505" s="393" t="n">
        <v>43385.47013888889</v>
      </c>
      <c r="J505" s="3" t="s">
        <v>156</v>
      </c>
      <c r="K505" s="171">
        <f>VLOOKUP(D505,Base!D:E,2,0)</f>
        <v/>
      </c>
    </row>
    <row customHeight="1" ht="15" r="506" s="183" spans="1:15">
      <c r="A506" s="37">
        <f>E506</f>
        <v/>
      </c>
      <c r="B506" s="117" t="s">
        <v>157</v>
      </c>
      <c r="C506" s="117" t="s">
        <v>96</v>
      </c>
      <c r="D506" s="117" t="s">
        <v>100</v>
      </c>
      <c r="E506" s="117" t="n">
        <v>678031</v>
      </c>
      <c r="F506" s="117" t="s">
        <v>158</v>
      </c>
      <c r="G506" s="117" t="n">
        <v>12990</v>
      </c>
      <c r="H506" s="117" t="n">
        <v>7</v>
      </c>
      <c r="I506" s="393" t="n">
        <v>43385.47013888889</v>
      </c>
      <c r="J506" s="3" t="s">
        <v>156</v>
      </c>
      <c r="K506" s="171">
        <f>VLOOKUP(D506,Base!D:E,2,0)</f>
        <v/>
      </c>
    </row>
    <row customHeight="1" ht="15" r="507" s="183" spans="1:15">
      <c r="A507" s="37">
        <f>E507</f>
        <v/>
      </c>
      <c r="B507" s="117" t="s">
        <v>157</v>
      </c>
      <c r="C507" s="117" t="s">
        <v>101</v>
      </c>
      <c r="D507" s="117" t="s">
        <v>102</v>
      </c>
      <c r="E507" s="117" t="n">
        <v>678031</v>
      </c>
      <c r="F507" s="117" t="s">
        <v>158</v>
      </c>
      <c r="G507" s="117" t="n">
        <v>13990</v>
      </c>
      <c r="H507" s="117" t="n">
        <v>5</v>
      </c>
      <c r="I507" s="393" t="n">
        <v>43385.47013888889</v>
      </c>
      <c r="J507" s="3" t="s">
        <v>156</v>
      </c>
      <c r="K507" s="171">
        <f>VLOOKUP(D507,Base!D:E,2,0)</f>
        <v/>
      </c>
    </row>
    <row customHeight="1" ht="15" r="508" s="183" spans="1:15">
      <c r="A508" s="37">
        <f>E508</f>
        <v/>
      </c>
      <c r="B508" s="117" t="s">
        <v>157</v>
      </c>
      <c r="C508" s="117" t="s">
        <v>101</v>
      </c>
      <c r="D508" s="117" t="s">
        <v>103</v>
      </c>
      <c r="E508" s="117" t="n">
        <v>678031</v>
      </c>
      <c r="F508" s="117" t="s">
        <v>158</v>
      </c>
      <c r="G508" s="117" t="n">
        <v>15990</v>
      </c>
      <c r="H508" s="117" t="n">
        <v>7</v>
      </c>
      <c r="I508" s="393" t="n">
        <v>43385.47083333333</v>
      </c>
      <c r="J508" s="3" t="s">
        <v>156</v>
      </c>
      <c r="K508" s="171">
        <f>VLOOKUP(D508,Base!D:E,2,0)</f>
        <v/>
      </c>
    </row>
    <row customHeight="1" ht="15" r="509" s="183" spans="1:15">
      <c r="A509" s="37">
        <f>E509</f>
        <v/>
      </c>
      <c r="B509" s="117" t="s">
        <v>157</v>
      </c>
      <c r="C509" s="117" t="s">
        <v>101</v>
      </c>
      <c r="D509" s="117" t="s">
        <v>104</v>
      </c>
      <c r="E509" s="117" t="n">
        <v>678031</v>
      </c>
      <c r="F509" s="117" t="s">
        <v>158</v>
      </c>
      <c r="G509" s="117" t="n">
        <v>13990</v>
      </c>
      <c r="H509" s="117" t="n">
        <v>5</v>
      </c>
      <c r="I509" s="393" t="n">
        <v>43385.47013888889</v>
      </c>
      <c r="J509" s="3" t="s">
        <v>156</v>
      </c>
      <c r="K509" s="171">
        <f>VLOOKUP(D509,Base!D:E,2,0)</f>
        <v/>
      </c>
    </row>
    <row customHeight="1" ht="15" r="510" s="183" spans="1:15">
      <c r="A510" s="37">
        <f>E510</f>
        <v/>
      </c>
      <c r="B510" s="117" t="s">
        <v>157</v>
      </c>
      <c r="C510" s="117" t="s">
        <v>105</v>
      </c>
      <c r="D510" s="117" t="s">
        <v>106</v>
      </c>
      <c r="E510" s="117" t="n">
        <v>678031</v>
      </c>
      <c r="F510" s="117" t="s">
        <v>158</v>
      </c>
      <c r="G510" s="117" t="n">
        <v>11990</v>
      </c>
      <c r="H510" s="117" t="n">
        <v>4</v>
      </c>
      <c r="I510" s="393" t="n">
        <v>43385.46875</v>
      </c>
      <c r="J510" s="3" t="s">
        <v>156</v>
      </c>
      <c r="K510" s="171">
        <f>VLOOKUP(D510,Base!D:E,2,0)</f>
        <v/>
      </c>
    </row>
    <row customHeight="1" ht="15" r="511" s="183" spans="1:15">
      <c r="A511" s="37">
        <f>E511</f>
        <v/>
      </c>
      <c r="B511" s="117" t="s">
        <v>157</v>
      </c>
      <c r="C511" s="117" t="s">
        <v>105</v>
      </c>
      <c r="D511" s="117" t="s">
        <v>107</v>
      </c>
      <c r="E511" s="117" t="n">
        <v>678031</v>
      </c>
      <c r="F511" s="117" t="s">
        <v>158</v>
      </c>
      <c r="G511" s="117" t="n">
        <v>10990</v>
      </c>
      <c r="H511" s="117" t="n">
        <v>4</v>
      </c>
      <c r="I511" s="393" t="n">
        <v>43385.47013888889</v>
      </c>
      <c r="J511" s="3" t="s">
        <v>156</v>
      </c>
      <c r="K511" s="171">
        <f>VLOOKUP(D511,Base!D:E,2,0)</f>
        <v/>
      </c>
    </row>
    <row customHeight="1" ht="15" r="512" s="183" spans="1:15">
      <c r="A512" s="37">
        <f>E512</f>
        <v/>
      </c>
      <c r="B512" s="117" t="s">
        <v>157</v>
      </c>
      <c r="C512" s="117" t="s">
        <v>105</v>
      </c>
      <c r="D512" s="117" t="s">
        <v>108</v>
      </c>
      <c r="E512" s="117" t="n">
        <v>678031</v>
      </c>
      <c r="F512" s="117" t="s">
        <v>158</v>
      </c>
      <c r="G512" s="117" t="n">
        <v>10990</v>
      </c>
      <c r="H512" s="117" t="n">
        <v>4</v>
      </c>
      <c r="I512" s="393" t="n">
        <v>43385.47013888889</v>
      </c>
      <c r="J512" s="3" t="s">
        <v>156</v>
      </c>
      <c r="K512" s="171">
        <f>VLOOKUP(D512,Base!D:E,2,0)</f>
        <v/>
      </c>
    </row>
    <row customHeight="1" ht="15" r="513" s="183" spans="1:15">
      <c r="A513" s="37">
        <f>E513</f>
        <v/>
      </c>
      <c r="B513" s="117" t="s">
        <v>157</v>
      </c>
      <c r="C513" s="117" t="s">
        <v>105</v>
      </c>
      <c r="D513" s="117" t="s">
        <v>109</v>
      </c>
      <c r="E513" s="117" t="n">
        <v>678031</v>
      </c>
      <c r="F513" s="117" t="s">
        <v>158</v>
      </c>
      <c r="G513" s="117" t="n">
        <v>11990</v>
      </c>
      <c r="H513" s="117" t="n">
        <v>4</v>
      </c>
      <c r="I513" s="393" t="n">
        <v>43385.47013888889</v>
      </c>
      <c r="J513" s="3" t="s">
        <v>156</v>
      </c>
      <c r="K513" s="171">
        <f>VLOOKUP(D513,Base!D:E,2,0)</f>
        <v/>
      </c>
    </row>
    <row customHeight="1" ht="15" r="514" s="183" spans="1:15">
      <c r="A514" s="37">
        <f>E514</f>
        <v/>
      </c>
      <c r="B514" s="117" t="s">
        <v>157</v>
      </c>
      <c r="C514" s="117" t="s">
        <v>105</v>
      </c>
      <c r="D514" s="117" t="s">
        <v>110</v>
      </c>
      <c r="E514" s="117" t="n">
        <v>678031</v>
      </c>
      <c r="F514" s="117" t="s">
        <v>158</v>
      </c>
      <c r="G514" s="117" t="n">
        <v>10990</v>
      </c>
      <c r="H514" s="117" t="n">
        <v>4</v>
      </c>
      <c r="I514" s="393" t="n">
        <v>43385.47083333333</v>
      </c>
      <c r="J514" s="3" t="s">
        <v>156</v>
      </c>
      <c r="K514" s="171">
        <f>VLOOKUP(D514,Base!D:E,2,0)</f>
        <v/>
      </c>
    </row>
    <row customHeight="1" ht="15" r="515" s="183" spans="1:15">
      <c r="A515" s="37">
        <f>E515</f>
        <v/>
      </c>
      <c r="B515" s="117" t="s">
        <v>157</v>
      </c>
      <c r="C515" s="117" t="s">
        <v>105</v>
      </c>
      <c r="D515" s="117" t="s">
        <v>111</v>
      </c>
      <c r="E515" s="117" t="n">
        <v>678031</v>
      </c>
      <c r="F515" s="117" t="s">
        <v>158</v>
      </c>
      <c r="G515" s="117" t="n">
        <v>10990</v>
      </c>
      <c r="H515" s="117" t="n">
        <v>4</v>
      </c>
      <c r="I515" s="393" t="n">
        <v>43385.47013888889</v>
      </c>
      <c r="J515" s="3" t="s">
        <v>156</v>
      </c>
      <c r="K515" s="171">
        <f>VLOOKUP(D515,Base!D:E,2,0)</f>
        <v/>
      </c>
    </row>
    <row customHeight="1" ht="15" r="516" s="183" spans="1:15">
      <c r="A516" s="37">
        <f>E516</f>
        <v/>
      </c>
      <c r="B516" s="117" t="s">
        <v>157</v>
      </c>
      <c r="C516" s="117" t="s">
        <v>105</v>
      </c>
      <c r="D516" s="117" t="s">
        <v>112</v>
      </c>
      <c r="E516" s="117" t="n">
        <v>678031</v>
      </c>
      <c r="F516" s="117" t="s">
        <v>158</v>
      </c>
      <c r="G516" s="117" t="n">
        <v>10990</v>
      </c>
      <c r="H516" s="117" t="n">
        <v>4</v>
      </c>
      <c r="I516" s="393" t="n">
        <v>43385.47013888889</v>
      </c>
      <c r="J516" s="3" t="s">
        <v>156</v>
      </c>
      <c r="K516" s="171">
        <f>VLOOKUP(D516,Base!D:E,2,0)</f>
        <v/>
      </c>
    </row>
    <row customHeight="1" ht="15" r="517" s="183" spans="1:15">
      <c r="A517" s="37">
        <f>E517</f>
        <v/>
      </c>
      <c r="B517" s="117" t="s">
        <v>157</v>
      </c>
      <c r="C517" s="117" t="s">
        <v>105</v>
      </c>
      <c r="D517" s="117" t="s">
        <v>113</v>
      </c>
      <c r="E517" s="117" t="n">
        <v>678031</v>
      </c>
      <c r="F517" s="117" t="s">
        <v>158</v>
      </c>
      <c r="G517" s="117" t="n">
        <v>10990</v>
      </c>
      <c r="H517" s="117" t="n">
        <v>4</v>
      </c>
      <c r="I517" s="393" t="n">
        <v>43385.46875</v>
      </c>
      <c r="J517" s="3" t="s">
        <v>156</v>
      </c>
      <c r="K517" s="171">
        <f>VLOOKUP(D517,Base!D:E,2,0)</f>
        <v/>
      </c>
    </row>
    <row customHeight="1" ht="15" r="518" s="183" spans="1:15">
      <c r="A518" s="37">
        <f>E518</f>
        <v/>
      </c>
      <c r="B518" s="117" t="s">
        <v>157</v>
      </c>
      <c r="C518" s="117" t="s">
        <v>105</v>
      </c>
      <c r="D518" s="117" t="s">
        <v>114</v>
      </c>
      <c r="E518" s="117" t="n">
        <v>678031</v>
      </c>
      <c r="F518" s="117" t="s">
        <v>158</v>
      </c>
      <c r="G518" s="117" t="n">
        <v>10990</v>
      </c>
      <c r="H518" s="117" t="n">
        <v>4</v>
      </c>
      <c r="I518" s="393" t="n">
        <v>43385.47013888889</v>
      </c>
      <c r="J518" s="3" t="s">
        <v>156</v>
      </c>
      <c r="K518" s="171">
        <f>VLOOKUP(D518,Base!D:E,2,0)</f>
        <v/>
      </c>
    </row>
    <row customHeight="1" ht="15" r="519" s="183" spans="1:15">
      <c r="A519" s="37">
        <f>E519</f>
        <v/>
      </c>
      <c r="B519" s="117" t="s">
        <v>157</v>
      </c>
      <c r="C519" s="117" t="s">
        <v>105</v>
      </c>
      <c r="D519" s="117" t="s">
        <v>115</v>
      </c>
      <c r="E519" s="117" t="n">
        <v>678031</v>
      </c>
      <c r="F519" s="117" t="s">
        <v>158</v>
      </c>
      <c r="G519" s="117" t="n">
        <v>10990</v>
      </c>
      <c r="H519" s="117" t="n">
        <v>4</v>
      </c>
      <c r="I519" s="393" t="n">
        <v>43385.47013888889</v>
      </c>
      <c r="J519" s="3" t="s">
        <v>156</v>
      </c>
      <c r="K519" s="171">
        <f>VLOOKUP(D519,Base!D:E,2,0)</f>
        <v/>
      </c>
    </row>
    <row customHeight="1" ht="15" r="520" s="183" spans="1:15">
      <c r="A520" s="37">
        <f>E520</f>
        <v/>
      </c>
      <c r="B520" s="117" t="s">
        <v>157</v>
      </c>
      <c r="C520" s="117" t="s">
        <v>105</v>
      </c>
      <c r="D520" s="117" t="s">
        <v>116</v>
      </c>
      <c r="E520" s="117" t="n">
        <v>678031</v>
      </c>
      <c r="F520" s="117" t="s">
        <v>158</v>
      </c>
      <c r="G520" s="117" t="n">
        <v>10990</v>
      </c>
      <c r="H520" s="117" t="n">
        <v>4</v>
      </c>
      <c r="I520" s="393" t="n">
        <v>43385.47083333333</v>
      </c>
      <c r="J520" s="3" t="s">
        <v>156</v>
      </c>
      <c r="K520" s="171">
        <f>VLOOKUP(D520,Base!D:E,2,0)</f>
        <v/>
      </c>
    </row>
    <row customHeight="1" ht="15" r="521" s="183" spans="1:15">
      <c r="A521" s="37">
        <f>E521</f>
        <v/>
      </c>
      <c r="B521" s="117" t="s">
        <v>157</v>
      </c>
      <c r="C521" s="117" t="s">
        <v>105</v>
      </c>
      <c r="D521" s="117" t="s">
        <v>117</v>
      </c>
      <c r="E521" s="117" t="n">
        <v>678031</v>
      </c>
      <c r="F521" s="117" t="s">
        <v>158</v>
      </c>
      <c r="G521" s="117" t="n">
        <v>10990</v>
      </c>
      <c r="H521" s="117" t="n">
        <v>4</v>
      </c>
      <c r="I521" s="393" t="n">
        <v>43385.47013888889</v>
      </c>
      <c r="J521" s="3" t="s">
        <v>156</v>
      </c>
      <c r="K521" s="171">
        <f>VLOOKUP(D521,Base!D:E,2,0)</f>
        <v/>
      </c>
    </row>
    <row customHeight="1" ht="15" r="522" s="183" spans="1:15">
      <c r="A522" s="37">
        <f>E522</f>
        <v/>
      </c>
      <c r="B522" s="117" t="s">
        <v>157</v>
      </c>
      <c r="C522" s="117" t="s">
        <v>105</v>
      </c>
      <c r="D522" s="117" t="s">
        <v>118</v>
      </c>
      <c r="E522" s="117" t="n">
        <v>678031</v>
      </c>
      <c r="F522" s="117" t="s">
        <v>158</v>
      </c>
      <c r="G522" s="117" t="n">
        <v>10990</v>
      </c>
      <c r="H522" s="117" t="n">
        <v>4</v>
      </c>
      <c r="I522" s="393" t="n">
        <v>43385.47013888889</v>
      </c>
      <c r="J522" s="3" t="s">
        <v>156</v>
      </c>
      <c r="K522" s="171">
        <f>VLOOKUP(D522,Base!D:E,2,0)</f>
        <v/>
      </c>
    </row>
    <row customHeight="1" ht="15" r="523" s="183" spans="1:15">
      <c r="A523" s="37">
        <f>E523</f>
        <v/>
      </c>
      <c r="B523" s="117" t="s">
        <v>157</v>
      </c>
      <c r="C523" s="117" t="s">
        <v>105</v>
      </c>
      <c r="D523" s="117" t="s">
        <v>119</v>
      </c>
      <c r="E523" s="117" t="n">
        <v>678031</v>
      </c>
      <c r="F523" s="117" t="s">
        <v>158</v>
      </c>
      <c r="G523" s="117" t="n">
        <v>10990</v>
      </c>
      <c r="H523" s="117" t="n">
        <v>4</v>
      </c>
      <c r="I523" s="393" t="n">
        <v>43385.47013888889</v>
      </c>
      <c r="J523" s="3" t="s">
        <v>156</v>
      </c>
      <c r="K523" s="171">
        <f>VLOOKUP(D523,Base!D:E,2,0)</f>
        <v/>
      </c>
    </row>
    <row customHeight="1" ht="15" r="524" s="183" spans="1:15">
      <c r="A524" s="37">
        <f>E524</f>
        <v/>
      </c>
      <c r="B524" s="117" t="s">
        <v>157</v>
      </c>
      <c r="C524" s="117" t="s">
        <v>105</v>
      </c>
      <c r="D524" s="117" t="s">
        <v>120</v>
      </c>
      <c r="E524" s="117" t="n">
        <v>678031</v>
      </c>
      <c r="F524" s="117" t="s">
        <v>158</v>
      </c>
      <c r="G524" s="117" t="n">
        <v>11990</v>
      </c>
      <c r="H524" s="117" t="n">
        <v>4</v>
      </c>
      <c r="I524" s="393" t="n">
        <v>43385.47083333333</v>
      </c>
      <c r="J524" s="3" t="s">
        <v>156</v>
      </c>
      <c r="K524" s="171">
        <f>VLOOKUP(D524,Base!D:E,2,0)</f>
        <v/>
      </c>
    </row>
    <row customHeight="1" ht="15" r="525" s="183" spans="1:15">
      <c r="A525" s="37">
        <f>E525</f>
        <v/>
      </c>
      <c r="B525" s="117" t="s">
        <v>157</v>
      </c>
      <c r="C525" s="117" t="s">
        <v>105</v>
      </c>
      <c r="D525" s="117" t="s">
        <v>121</v>
      </c>
      <c r="E525" s="117" t="n">
        <v>678031</v>
      </c>
      <c r="F525" s="117" t="s">
        <v>158</v>
      </c>
      <c r="G525" s="117" t="n">
        <v>10990</v>
      </c>
      <c r="H525" s="117" t="n">
        <v>1</v>
      </c>
      <c r="I525" s="393" t="n">
        <v>43385.47013888889</v>
      </c>
      <c r="J525" s="3" t="s">
        <v>156</v>
      </c>
      <c r="K525" s="171">
        <f>VLOOKUP(D525,Base!D:E,2,0)</f>
        <v/>
      </c>
    </row>
    <row customHeight="1" ht="15" r="526" s="183" spans="1:15">
      <c r="A526" s="37">
        <f>E526</f>
        <v/>
      </c>
      <c r="B526" s="117" t="s">
        <v>157</v>
      </c>
      <c r="C526" s="117" t="s">
        <v>105</v>
      </c>
      <c r="D526" s="117" t="s">
        <v>122</v>
      </c>
      <c r="E526" s="117" t="n">
        <v>678031</v>
      </c>
      <c r="F526" s="117" t="s">
        <v>158</v>
      </c>
      <c r="G526" s="117" t="n">
        <v>10990</v>
      </c>
      <c r="H526" s="117" t="n">
        <v>4</v>
      </c>
      <c r="I526" s="393" t="n">
        <v>43385.47013888889</v>
      </c>
      <c r="J526" s="3" t="s">
        <v>156</v>
      </c>
      <c r="K526" s="171">
        <f>VLOOKUP(D526,Base!D:E,2,0)</f>
        <v/>
      </c>
    </row>
    <row customHeight="1" ht="15" r="527" s="183" spans="1:15">
      <c r="A527" s="37">
        <f>E527</f>
        <v/>
      </c>
      <c r="B527" s="117" t="s">
        <v>157</v>
      </c>
      <c r="C527" s="117" t="s">
        <v>105</v>
      </c>
      <c r="D527" s="117" t="s">
        <v>123</v>
      </c>
      <c r="E527" s="117" t="n">
        <v>678031</v>
      </c>
      <c r="F527" s="117" t="s">
        <v>158</v>
      </c>
      <c r="G527" s="117" t="n">
        <v>10990</v>
      </c>
      <c r="H527" s="117" t="n">
        <v>4</v>
      </c>
      <c r="I527" s="393" t="n">
        <v>43385.46875</v>
      </c>
      <c r="J527" s="3" t="s">
        <v>156</v>
      </c>
      <c r="K527" s="171">
        <f>VLOOKUP(D527,Base!D:E,2,0)</f>
        <v/>
      </c>
    </row>
    <row customHeight="1" ht="15" r="528" s="183" spans="1:15">
      <c r="A528" s="37">
        <f>E528</f>
        <v/>
      </c>
      <c r="B528" s="117" t="s">
        <v>157</v>
      </c>
      <c r="C528" s="117" t="s">
        <v>105</v>
      </c>
      <c r="D528" s="117" t="s">
        <v>124</v>
      </c>
      <c r="E528" s="117" t="n">
        <v>678031</v>
      </c>
      <c r="F528" s="117" t="s">
        <v>158</v>
      </c>
      <c r="G528" s="117" t="n">
        <v>10990</v>
      </c>
      <c r="H528" s="117" t="n">
        <v>4</v>
      </c>
      <c r="I528" s="393" t="n">
        <v>43385.47013888889</v>
      </c>
      <c r="J528" s="3" t="s">
        <v>156</v>
      </c>
      <c r="K528" s="171">
        <f>VLOOKUP(D528,Base!D:E,2,0)</f>
        <v/>
      </c>
    </row>
    <row customHeight="1" ht="15" r="529" s="183" spans="1:15">
      <c r="A529" s="37">
        <f>E529</f>
        <v/>
      </c>
      <c r="B529" s="117" t="s">
        <v>157</v>
      </c>
      <c r="C529" s="117" t="s">
        <v>105</v>
      </c>
      <c r="D529" s="117" t="s">
        <v>125</v>
      </c>
      <c r="E529" s="117" t="n">
        <v>678031</v>
      </c>
      <c r="F529" s="117" t="s">
        <v>158</v>
      </c>
      <c r="G529" s="117" t="n">
        <v>10990</v>
      </c>
      <c r="H529" s="117" t="n">
        <v>4</v>
      </c>
      <c r="I529" s="393" t="n">
        <v>43385.47013888889</v>
      </c>
      <c r="J529" s="3" t="s">
        <v>156</v>
      </c>
      <c r="K529" s="171">
        <f>VLOOKUP(D529,Base!D:E,2,0)</f>
        <v/>
      </c>
    </row>
    <row customHeight="1" ht="15" r="530" s="183" spans="1:15">
      <c r="A530" s="37">
        <f>E530</f>
        <v/>
      </c>
      <c r="B530" s="117" t="s">
        <v>157</v>
      </c>
      <c r="C530" s="117" t="s">
        <v>105</v>
      </c>
      <c r="D530" s="117" t="s">
        <v>126</v>
      </c>
      <c r="E530" s="117" t="n">
        <v>678031</v>
      </c>
      <c r="F530" s="117" t="s">
        <v>158</v>
      </c>
      <c r="G530" s="117" t="n">
        <v>10990</v>
      </c>
      <c r="H530" s="117" t="n">
        <v>4</v>
      </c>
      <c r="I530" s="393" t="n">
        <v>43385.47083333333</v>
      </c>
      <c r="J530" s="3" t="s">
        <v>156</v>
      </c>
      <c r="K530" s="171">
        <f>VLOOKUP(D530,Base!D:E,2,0)</f>
        <v/>
      </c>
    </row>
    <row customHeight="1" ht="15" r="531" s="183" spans="1:15">
      <c r="A531" s="37">
        <f>E531</f>
        <v/>
      </c>
      <c r="B531" s="117" t="s">
        <v>157</v>
      </c>
      <c r="C531" s="117" t="s">
        <v>105</v>
      </c>
      <c r="D531" s="117" t="s">
        <v>127</v>
      </c>
      <c r="E531" s="117" t="n">
        <v>678031</v>
      </c>
      <c r="F531" s="117" t="s">
        <v>158</v>
      </c>
      <c r="G531" s="117" t="n">
        <v>12490</v>
      </c>
      <c r="H531" s="117" t="n">
        <v>4</v>
      </c>
      <c r="I531" s="393" t="n">
        <v>43385.47013888889</v>
      </c>
      <c r="J531" s="3" t="s">
        <v>156</v>
      </c>
      <c r="K531" s="171">
        <f>VLOOKUP(D531,Base!D:E,2,0)</f>
        <v/>
      </c>
    </row>
    <row customHeight="1" ht="15" r="532" s="183" spans="1:15">
      <c r="A532" s="37">
        <f>E532</f>
        <v/>
      </c>
      <c r="B532" s="117" t="s">
        <v>157</v>
      </c>
      <c r="C532" s="117" t="s">
        <v>105</v>
      </c>
      <c r="D532" s="117" t="s">
        <v>128</v>
      </c>
      <c r="E532" s="117" t="n">
        <v>678031</v>
      </c>
      <c r="F532" s="117" t="s">
        <v>158</v>
      </c>
      <c r="G532" s="117" t="n">
        <v>10990</v>
      </c>
      <c r="H532" s="117" t="n">
        <v>4</v>
      </c>
      <c r="I532" s="393" t="n">
        <v>43385.46875</v>
      </c>
      <c r="J532" s="3" t="s">
        <v>156</v>
      </c>
      <c r="K532" s="171">
        <f>VLOOKUP(D532,Base!D:E,2,0)</f>
        <v/>
      </c>
    </row>
    <row customHeight="1" ht="15" r="533" s="183" spans="1:15">
      <c r="A533" s="37">
        <f>E533</f>
        <v/>
      </c>
      <c r="B533" s="117" t="s">
        <v>157</v>
      </c>
      <c r="C533" s="117" t="s">
        <v>105</v>
      </c>
      <c r="D533" s="117" t="s">
        <v>129</v>
      </c>
      <c r="E533" s="117" t="n">
        <v>678031</v>
      </c>
      <c r="F533" s="117" t="s">
        <v>158</v>
      </c>
      <c r="G533" s="117" t="n">
        <v>11990</v>
      </c>
      <c r="H533" s="117" t="n">
        <v>4</v>
      </c>
      <c r="I533" s="393" t="n">
        <v>43385.47013888889</v>
      </c>
      <c r="J533" s="3" t="s">
        <v>156</v>
      </c>
      <c r="K533" s="171">
        <f>VLOOKUP(D533,Base!D:E,2,0)</f>
        <v/>
      </c>
    </row>
    <row customHeight="1" ht="15" r="534" s="183" spans="1:15">
      <c r="A534" s="37">
        <f>E534</f>
        <v/>
      </c>
      <c r="B534" s="117" t="s">
        <v>157</v>
      </c>
      <c r="C534" s="117" t="s">
        <v>105</v>
      </c>
      <c r="D534" s="117" t="s">
        <v>130</v>
      </c>
      <c r="E534" s="117" t="n">
        <v>678031</v>
      </c>
      <c r="F534" s="117" t="s">
        <v>158</v>
      </c>
      <c r="G534" s="117" t="n">
        <v>12490</v>
      </c>
      <c r="H534" s="117" t="n">
        <v>4</v>
      </c>
      <c r="I534" s="393" t="n">
        <v>43385.47013888889</v>
      </c>
      <c r="J534" s="3" t="s">
        <v>156</v>
      </c>
      <c r="K534" s="171">
        <f>VLOOKUP(D534,Base!D:E,2,0)</f>
        <v/>
      </c>
    </row>
    <row customHeight="1" ht="15" r="535" s="183" spans="1:15">
      <c r="A535" s="37">
        <f>E535</f>
        <v/>
      </c>
      <c r="B535" s="117" t="s">
        <v>157</v>
      </c>
      <c r="C535" s="117" t="s">
        <v>105</v>
      </c>
      <c r="D535" s="117" t="s">
        <v>131</v>
      </c>
      <c r="E535" s="117" t="n">
        <v>678031</v>
      </c>
      <c r="F535" s="117" t="s">
        <v>158</v>
      </c>
      <c r="G535" s="117" t="n">
        <v>10990</v>
      </c>
      <c r="H535" s="117" t="n">
        <v>4</v>
      </c>
      <c r="I535" s="393" t="n">
        <v>43385.47013888889</v>
      </c>
      <c r="J535" s="3" t="s">
        <v>156</v>
      </c>
      <c r="K535" s="171">
        <f>VLOOKUP(D535,Base!D:E,2,0)</f>
        <v/>
      </c>
    </row>
    <row customHeight="1" ht="15" r="536" s="183" spans="1:15">
      <c r="A536" s="37">
        <f>E536</f>
        <v/>
      </c>
      <c r="B536" s="117" t="s">
        <v>157</v>
      </c>
      <c r="C536" s="117" t="s">
        <v>105</v>
      </c>
      <c r="D536" s="117" t="s">
        <v>132</v>
      </c>
      <c r="E536" s="117" t="n">
        <v>678031</v>
      </c>
      <c r="F536" s="117" t="s">
        <v>158</v>
      </c>
      <c r="G536" s="117" t="n">
        <v>11990</v>
      </c>
      <c r="H536" s="117" t="n">
        <v>4</v>
      </c>
      <c r="I536" s="393" t="n">
        <v>43385.47083333333</v>
      </c>
      <c r="J536" s="3" t="s">
        <v>156</v>
      </c>
      <c r="K536" s="171">
        <f>VLOOKUP(D536,Base!D:E,2,0)</f>
        <v/>
      </c>
    </row>
    <row customHeight="1" ht="15" r="537" s="183" spans="1:15">
      <c r="A537" s="37">
        <f>E537</f>
        <v/>
      </c>
      <c r="B537" s="117" t="s">
        <v>157</v>
      </c>
      <c r="C537" s="117" t="s">
        <v>105</v>
      </c>
      <c r="D537" s="117" t="s">
        <v>133</v>
      </c>
      <c r="E537" s="117" t="n">
        <v>678031</v>
      </c>
      <c r="F537" s="117" t="s">
        <v>158</v>
      </c>
      <c r="G537" s="117" t="n">
        <v>10990</v>
      </c>
      <c r="H537" s="117" t="n">
        <v>4</v>
      </c>
      <c r="I537" s="393" t="n">
        <v>43385.47013888889</v>
      </c>
      <c r="J537" s="3" t="s">
        <v>156</v>
      </c>
      <c r="K537" s="171">
        <f>VLOOKUP(D537,Base!D:E,2,0)</f>
        <v/>
      </c>
    </row>
    <row customHeight="1" ht="15" r="538" s="183" spans="1:15">
      <c r="A538" s="37">
        <f>E538</f>
        <v/>
      </c>
      <c r="B538" s="117" t="s">
        <v>157</v>
      </c>
      <c r="C538" s="117" t="s">
        <v>105</v>
      </c>
      <c r="D538" s="117" t="s">
        <v>134</v>
      </c>
      <c r="E538" s="117" t="n">
        <v>678031</v>
      </c>
      <c r="F538" s="117" t="s">
        <v>158</v>
      </c>
      <c r="G538" s="117" t="n">
        <v>10990</v>
      </c>
      <c r="H538" s="117" t="n">
        <v>1</v>
      </c>
      <c r="I538" s="393" t="n">
        <v>43385.47013888889</v>
      </c>
      <c r="J538" s="3" t="s">
        <v>156</v>
      </c>
      <c r="K538" s="171">
        <f>VLOOKUP(D538,Base!D:E,2,0)</f>
        <v/>
      </c>
    </row>
    <row customHeight="1" ht="15" r="539" s="183" spans="1:15">
      <c r="A539" s="37">
        <f>E539</f>
        <v/>
      </c>
      <c r="B539" s="117" t="s">
        <v>157</v>
      </c>
      <c r="C539" s="117" t="s">
        <v>105</v>
      </c>
      <c r="D539" s="117" t="s">
        <v>135</v>
      </c>
      <c r="E539" s="117" t="n">
        <v>678031</v>
      </c>
      <c r="F539" s="117" t="s">
        <v>158</v>
      </c>
      <c r="G539" s="117" t="n">
        <v>10990</v>
      </c>
      <c r="H539" s="117" t="n">
        <v>4</v>
      </c>
      <c r="I539" s="393" t="n">
        <v>43385.46875</v>
      </c>
      <c r="J539" s="3" t="s">
        <v>156</v>
      </c>
      <c r="K539" s="171">
        <f>VLOOKUP(D539,Base!D:E,2,0)</f>
        <v/>
      </c>
    </row>
    <row customHeight="1" ht="15" r="540" s="183" spans="1:15">
      <c r="A540" s="37">
        <f>E540</f>
        <v/>
      </c>
      <c r="B540" s="117" t="s">
        <v>157</v>
      </c>
      <c r="C540" s="117" t="s">
        <v>105</v>
      </c>
      <c r="D540" s="117" t="s">
        <v>136</v>
      </c>
      <c r="E540" s="117" t="n">
        <v>678031</v>
      </c>
      <c r="F540" s="117" t="s">
        <v>158</v>
      </c>
      <c r="G540" s="117" t="n">
        <v>10990</v>
      </c>
      <c r="H540" s="117" t="n">
        <v>4</v>
      </c>
      <c r="I540" s="393" t="n">
        <v>43385.47013888889</v>
      </c>
      <c r="J540" s="3" t="s">
        <v>156</v>
      </c>
      <c r="K540" s="171">
        <f>VLOOKUP(D540,Base!D:E,2,0)</f>
        <v/>
      </c>
    </row>
    <row customHeight="1" ht="15" r="541" s="183" spans="1:15">
      <c r="A541" s="37">
        <f>E541</f>
        <v/>
      </c>
      <c r="B541" s="117" t="s">
        <v>157</v>
      </c>
      <c r="C541" s="117" t="s">
        <v>105</v>
      </c>
      <c r="D541" s="117" t="s">
        <v>137</v>
      </c>
      <c r="E541" s="117" t="n">
        <v>678031</v>
      </c>
      <c r="F541" s="117" t="s">
        <v>158</v>
      </c>
      <c r="G541" s="117" t="n">
        <v>10990</v>
      </c>
      <c r="H541" s="117" t="n">
        <v>4</v>
      </c>
      <c r="I541" s="393" t="n">
        <v>43385.46875</v>
      </c>
      <c r="J541" s="3" t="s">
        <v>156</v>
      </c>
      <c r="K541" s="171">
        <f>VLOOKUP(D541,Base!D:E,2,0)</f>
        <v/>
      </c>
    </row>
    <row customHeight="1" ht="15" r="542" s="183" spans="1:15">
      <c r="A542" s="37">
        <f>E542</f>
        <v/>
      </c>
      <c r="B542" s="117" t="s">
        <v>157</v>
      </c>
      <c r="C542" s="117" t="s">
        <v>105</v>
      </c>
      <c r="D542" s="117" t="s">
        <v>138</v>
      </c>
      <c r="E542" s="117" t="n">
        <v>678031</v>
      </c>
      <c r="F542" s="117" t="s">
        <v>158</v>
      </c>
      <c r="G542" s="117" t="n">
        <v>10990</v>
      </c>
      <c r="H542" s="117" t="n">
        <v>4</v>
      </c>
      <c r="I542" s="393" t="n">
        <v>43385.47013888889</v>
      </c>
      <c r="J542" s="3" t="s">
        <v>156</v>
      </c>
      <c r="K542" s="171">
        <f>VLOOKUP(D542,Base!D:E,2,0)</f>
        <v/>
      </c>
    </row>
    <row customHeight="1" ht="15" r="543" s="183" spans="1:15">
      <c r="A543" s="37">
        <f>E543</f>
        <v/>
      </c>
      <c r="B543" s="117" t="s">
        <v>157</v>
      </c>
      <c r="C543" s="117" t="s">
        <v>105</v>
      </c>
      <c r="D543" s="117" t="s">
        <v>139</v>
      </c>
      <c r="E543" s="117" t="n">
        <v>678031</v>
      </c>
      <c r="F543" s="117" t="s">
        <v>158</v>
      </c>
      <c r="G543" s="117" t="n">
        <v>10990</v>
      </c>
      <c r="H543" s="117" t="n">
        <v>4</v>
      </c>
      <c r="I543" s="393" t="n">
        <v>43385.47013888889</v>
      </c>
      <c r="J543" s="3" t="s">
        <v>156</v>
      </c>
      <c r="K543" s="171">
        <f>VLOOKUP(D543,Base!D:E,2,0)</f>
        <v/>
      </c>
    </row>
    <row customHeight="1" ht="15" r="544" s="183" spans="1:15">
      <c r="A544" s="37">
        <f>E544</f>
        <v/>
      </c>
      <c r="B544" s="117" t="s">
        <v>157</v>
      </c>
      <c r="C544" s="117" t="s">
        <v>105</v>
      </c>
      <c r="D544" s="117" t="s">
        <v>140</v>
      </c>
      <c r="E544" s="117" t="n">
        <v>678031</v>
      </c>
      <c r="F544" s="117" t="s">
        <v>158</v>
      </c>
      <c r="G544" s="117" t="n">
        <v>10990</v>
      </c>
      <c r="H544" s="117" t="n">
        <v>1</v>
      </c>
      <c r="I544" s="393" t="n">
        <v>43385.47083333333</v>
      </c>
      <c r="J544" s="3" t="s">
        <v>156</v>
      </c>
      <c r="K544" s="171">
        <f>VLOOKUP(D544,Base!D:E,2,0)</f>
        <v/>
      </c>
    </row>
    <row customHeight="1" ht="15" r="545" s="183" spans="1:15">
      <c r="A545" s="37">
        <f>E545</f>
        <v/>
      </c>
      <c r="B545" s="117" t="s">
        <v>157</v>
      </c>
      <c r="C545" s="117" t="s">
        <v>105</v>
      </c>
      <c r="D545" s="117" t="s">
        <v>141</v>
      </c>
      <c r="E545" s="117" t="n">
        <v>678031</v>
      </c>
      <c r="F545" s="117" t="s">
        <v>158</v>
      </c>
      <c r="G545" s="117" t="n">
        <v>10990</v>
      </c>
      <c r="H545" s="117" t="n">
        <v>4</v>
      </c>
      <c r="I545" s="393" t="n">
        <v>43385.47013888889</v>
      </c>
      <c r="J545" s="3" t="s">
        <v>156</v>
      </c>
      <c r="K545" s="171">
        <f>VLOOKUP(D545,Base!D:E,2,0)</f>
        <v/>
      </c>
    </row>
    <row customHeight="1" ht="15" r="546" s="183" spans="1:15">
      <c r="A546" s="37">
        <f>E546</f>
        <v/>
      </c>
      <c r="B546" s="117" t="s">
        <v>157</v>
      </c>
      <c r="C546" s="117" t="s">
        <v>105</v>
      </c>
      <c r="D546" s="117" t="s">
        <v>142</v>
      </c>
      <c r="E546" s="117" t="n">
        <v>678031</v>
      </c>
      <c r="F546" s="117" t="s">
        <v>158</v>
      </c>
      <c r="G546" s="117" t="n">
        <v>10990</v>
      </c>
      <c r="H546" s="117" t="n">
        <v>4</v>
      </c>
      <c r="I546" s="393" t="n">
        <v>43385.46875</v>
      </c>
      <c r="J546" s="3" t="s">
        <v>156</v>
      </c>
      <c r="K546" s="171">
        <f>VLOOKUP(D546,Base!D:E,2,0)</f>
        <v/>
      </c>
    </row>
    <row customHeight="1" ht="15" r="547" s="183" spans="1:15">
      <c r="A547" s="37">
        <f>E547</f>
        <v/>
      </c>
      <c r="B547" s="117" t="s">
        <v>157</v>
      </c>
      <c r="C547" s="117" t="s">
        <v>105</v>
      </c>
      <c r="D547" s="117" t="s">
        <v>143</v>
      </c>
      <c r="E547" s="117" t="n">
        <v>678031</v>
      </c>
      <c r="F547" s="117" t="s">
        <v>158</v>
      </c>
      <c r="G547" s="117" t="n">
        <v>10990</v>
      </c>
      <c r="H547" s="117" t="n">
        <v>4</v>
      </c>
      <c r="I547" s="393" t="n">
        <v>43385.47013888889</v>
      </c>
      <c r="J547" s="3" t="s">
        <v>156</v>
      </c>
      <c r="K547" s="171">
        <f>VLOOKUP(D547,Base!D:E,2,0)</f>
        <v/>
      </c>
    </row>
    <row customHeight="1" ht="15" r="548" s="183" spans="1:15">
      <c r="A548" s="37">
        <f>E548</f>
        <v/>
      </c>
      <c r="B548" s="117" t="s">
        <v>157</v>
      </c>
      <c r="C548" s="117" t="s">
        <v>105</v>
      </c>
      <c r="D548" s="117" t="s">
        <v>144</v>
      </c>
      <c r="E548" s="117" t="n">
        <v>678031</v>
      </c>
      <c r="F548" s="117" t="s">
        <v>158</v>
      </c>
      <c r="G548" s="117" t="n">
        <v>10990</v>
      </c>
      <c r="H548" s="117" t="n">
        <v>4</v>
      </c>
      <c r="I548" s="393" t="n">
        <v>43385.47013888889</v>
      </c>
      <c r="J548" s="3" t="s">
        <v>156</v>
      </c>
      <c r="K548" s="171">
        <f>VLOOKUP(D548,Base!D:E,2,0)</f>
        <v/>
      </c>
    </row>
    <row customHeight="1" ht="15" r="549" s="183" spans="1:15">
      <c r="A549" s="37">
        <f>E549</f>
        <v/>
      </c>
      <c r="B549" s="117" t="s">
        <v>157</v>
      </c>
      <c r="C549" s="117" t="s">
        <v>105</v>
      </c>
      <c r="D549" s="117" t="s">
        <v>145</v>
      </c>
      <c r="E549" s="117" t="n">
        <v>678031</v>
      </c>
      <c r="F549" s="117" t="s">
        <v>158</v>
      </c>
      <c r="G549" s="117" t="n">
        <v>10990</v>
      </c>
      <c r="H549" s="117" t="n">
        <v>4</v>
      </c>
      <c r="I549" s="393" t="n">
        <v>43385.47083333333</v>
      </c>
      <c r="J549" s="3" t="s">
        <v>156</v>
      </c>
      <c r="K549" s="171">
        <f>VLOOKUP(D549,Base!D:E,2,0)</f>
        <v/>
      </c>
    </row>
    <row customHeight="1" ht="15" r="550" s="183" spans="1:15">
      <c r="A550" s="37">
        <f>E550</f>
        <v/>
      </c>
      <c r="B550" s="117" t="s">
        <v>157</v>
      </c>
      <c r="C550" s="117" t="s">
        <v>105</v>
      </c>
      <c r="D550" s="117" t="s">
        <v>146</v>
      </c>
      <c r="E550" s="117" t="n">
        <v>678031</v>
      </c>
      <c r="F550" s="117" t="s">
        <v>158</v>
      </c>
      <c r="G550" s="117" t="n">
        <v>11990</v>
      </c>
      <c r="H550" s="117" t="n">
        <v>4</v>
      </c>
      <c r="I550" s="393" t="n">
        <v>43385.47013888889</v>
      </c>
      <c r="J550" s="3" t="s">
        <v>156</v>
      </c>
      <c r="K550" s="171">
        <f>VLOOKUP(D550,Base!D:E,2,0)</f>
        <v/>
      </c>
    </row>
    <row customHeight="1" ht="15" r="551" s="183" spans="1:15">
      <c r="A551" s="37">
        <f>E551</f>
        <v/>
      </c>
      <c r="B551" s="117" t="s">
        <v>157</v>
      </c>
      <c r="C551" s="117" t="s">
        <v>105</v>
      </c>
      <c r="D551" s="117" t="s">
        <v>147</v>
      </c>
      <c r="E551" s="117" t="n">
        <v>678031</v>
      </c>
      <c r="F551" s="117" t="s">
        <v>158</v>
      </c>
      <c r="G551" s="117" t="n">
        <v>10990</v>
      </c>
      <c r="H551" s="117" t="n">
        <v>1</v>
      </c>
      <c r="I551" s="393" t="n">
        <v>43385.47013888889</v>
      </c>
      <c r="J551" s="3" t="s">
        <v>156</v>
      </c>
      <c r="K551" s="171">
        <f>VLOOKUP(D551,Base!D:E,2,0)</f>
        <v/>
      </c>
    </row>
    <row customHeight="1" ht="15" r="552" s="183" spans="1:15">
      <c r="A552" s="37">
        <f>E552</f>
        <v/>
      </c>
      <c r="B552" s="117" t="s">
        <v>157</v>
      </c>
      <c r="C552" s="117" t="s">
        <v>36</v>
      </c>
      <c r="D552" s="117" t="s">
        <v>37</v>
      </c>
      <c r="E552" s="117" t="n">
        <v>711491</v>
      </c>
      <c r="F552" s="117" t="s">
        <v>159</v>
      </c>
      <c r="G552" s="117" t="n">
        <v>10990</v>
      </c>
      <c r="H552" s="117" t="n">
        <v>8</v>
      </c>
      <c r="I552" s="393" t="n">
        <v>43385.59930555556</v>
      </c>
      <c r="J552" s="3" t="s">
        <v>40</v>
      </c>
      <c r="K552" s="171">
        <f>VLOOKUP(D552,Base!D:E,2,0)</f>
        <v/>
      </c>
    </row>
    <row customHeight="1" ht="15" r="553" s="183" spans="1:15">
      <c r="A553" s="37">
        <f>E553</f>
        <v/>
      </c>
      <c r="B553" s="117" t="s">
        <v>157</v>
      </c>
      <c r="C553" s="117" t="s">
        <v>36</v>
      </c>
      <c r="D553" s="117" t="s">
        <v>42</v>
      </c>
      <c r="E553" s="117" t="n">
        <v>711491</v>
      </c>
      <c r="F553" s="117" t="s">
        <v>159</v>
      </c>
      <c r="G553" s="117" t="n">
        <v>10990</v>
      </c>
      <c r="H553" s="117" t="n">
        <v>8</v>
      </c>
      <c r="I553" s="393" t="n">
        <v>43385.60208333333</v>
      </c>
      <c r="J553" s="3" t="s">
        <v>40</v>
      </c>
      <c r="K553" s="171">
        <f>VLOOKUP(D553,Base!D:E,2,0)</f>
        <v/>
      </c>
    </row>
    <row customHeight="1" ht="15" r="554" s="183" spans="1:15">
      <c r="A554" s="37">
        <f>E554</f>
        <v/>
      </c>
      <c r="B554" s="117" t="s">
        <v>157</v>
      </c>
      <c r="C554" s="117" t="s">
        <v>44</v>
      </c>
      <c r="D554" s="117" t="s">
        <v>45</v>
      </c>
      <c r="E554" s="117" t="n">
        <v>711491</v>
      </c>
      <c r="F554" s="117" t="s">
        <v>159</v>
      </c>
      <c r="G554" s="117" t="n">
        <v>10990</v>
      </c>
      <c r="H554" s="117" t="n">
        <v>10</v>
      </c>
      <c r="I554" s="393" t="n">
        <v>43385.59930555556</v>
      </c>
      <c r="J554" s="3" t="s">
        <v>40</v>
      </c>
      <c r="K554" s="171">
        <f>VLOOKUP(D554,Base!D:E,2,0)</f>
        <v/>
      </c>
    </row>
    <row customHeight="1" ht="15" r="555" s="183" spans="1:15">
      <c r="A555" s="37">
        <f>E555</f>
        <v/>
      </c>
      <c r="B555" s="117" t="s">
        <v>157</v>
      </c>
      <c r="C555" s="117" t="s">
        <v>46</v>
      </c>
      <c r="D555" s="117" t="s">
        <v>47</v>
      </c>
      <c r="E555" s="117" t="n">
        <v>711491</v>
      </c>
      <c r="F555" s="117" t="s">
        <v>159</v>
      </c>
      <c r="G555" s="117" t="n">
        <v>10990</v>
      </c>
      <c r="H555" s="117" t="n">
        <v>7</v>
      </c>
      <c r="I555" s="393" t="n">
        <v>43385.60416666666</v>
      </c>
      <c r="J555" s="3" t="s">
        <v>40</v>
      </c>
      <c r="K555" s="171">
        <f>VLOOKUP(D555,Base!D:E,2,0)</f>
        <v/>
      </c>
    </row>
    <row customHeight="1" ht="15" r="556" s="183" spans="1:15">
      <c r="A556" s="37">
        <f>E556</f>
        <v/>
      </c>
      <c r="B556" s="117" t="s">
        <v>157</v>
      </c>
      <c r="C556" s="117" t="s">
        <v>46</v>
      </c>
      <c r="D556" s="117" t="s">
        <v>48</v>
      </c>
      <c r="E556" s="117" t="n">
        <v>711491</v>
      </c>
      <c r="F556" s="117" t="s">
        <v>159</v>
      </c>
      <c r="G556" s="117" t="n">
        <v>12990</v>
      </c>
      <c r="H556" s="117" t="n">
        <v>12</v>
      </c>
      <c r="I556" s="393" t="n">
        <v>43385.60416666666</v>
      </c>
      <c r="J556" s="3" t="s">
        <v>40</v>
      </c>
      <c r="K556" s="171">
        <f>VLOOKUP(D556,Base!D:E,2,0)</f>
        <v/>
      </c>
    </row>
    <row customHeight="1" ht="15" r="557" s="183" spans="1:15">
      <c r="A557" s="37">
        <f>E557</f>
        <v/>
      </c>
      <c r="B557" s="117" t="s">
        <v>157</v>
      </c>
      <c r="C557" s="117" t="s">
        <v>51</v>
      </c>
      <c r="D557" s="117" t="s">
        <v>52</v>
      </c>
      <c r="E557" s="117" t="n">
        <v>711491</v>
      </c>
      <c r="F557" s="117" t="s">
        <v>159</v>
      </c>
      <c r="G557" s="117" t="n">
        <v>9990</v>
      </c>
      <c r="H557" s="117" t="n">
        <v>6</v>
      </c>
      <c r="I557" s="393" t="n">
        <v>43385.59930555556</v>
      </c>
      <c r="J557" s="3" t="s">
        <v>40</v>
      </c>
      <c r="K557" s="171">
        <f>VLOOKUP(D557,Base!D:E,2,0)</f>
        <v/>
      </c>
    </row>
    <row customHeight="1" ht="15" r="558" s="183" spans="1:15">
      <c r="A558" s="37">
        <f>E558</f>
        <v/>
      </c>
      <c r="B558" s="117" t="s">
        <v>157</v>
      </c>
      <c r="C558" s="117" t="s">
        <v>51</v>
      </c>
      <c r="D558" s="117" t="s">
        <v>53</v>
      </c>
      <c r="E558" s="117" t="n">
        <v>711491</v>
      </c>
      <c r="F558" s="117" t="s">
        <v>159</v>
      </c>
      <c r="G558" s="117" t="n">
        <v>9990</v>
      </c>
      <c r="H558" s="117" t="n">
        <v>7</v>
      </c>
      <c r="I558" s="393" t="n">
        <v>43385.60555555556</v>
      </c>
      <c r="J558" s="3" t="s">
        <v>40</v>
      </c>
      <c r="K558" s="171">
        <f>VLOOKUP(D558,Base!D:E,2,0)</f>
        <v/>
      </c>
    </row>
    <row customHeight="1" ht="15" r="559" s="183" spans="1:15">
      <c r="A559" s="37">
        <f>E559</f>
        <v/>
      </c>
      <c r="B559" s="117" t="s">
        <v>157</v>
      </c>
      <c r="C559" s="117" t="s">
        <v>51</v>
      </c>
      <c r="D559" s="117" t="s">
        <v>54</v>
      </c>
      <c r="E559" s="117" t="n">
        <v>711491</v>
      </c>
      <c r="F559" s="117" t="s">
        <v>159</v>
      </c>
      <c r="G559" s="117" t="n">
        <v>9990</v>
      </c>
      <c r="H559" s="117" t="n">
        <v>6</v>
      </c>
      <c r="I559" s="393" t="n">
        <v>43385.59930555556</v>
      </c>
      <c r="J559" s="3" t="s">
        <v>40</v>
      </c>
      <c r="K559" s="171">
        <f>VLOOKUP(D559,Base!D:E,2,0)</f>
        <v/>
      </c>
    </row>
    <row customHeight="1" ht="15" r="560" s="183" spans="1:15">
      <c r="A560" s="37">
        <f>E560</f>
        <v/>
      </c>
      <c r="B560" s="117" t="s">
        <v>157</v>
      </c>
      <c r="C560" s="117" t="s">
        <v>51</v>
      </c>
      <c r="D560" s="117" t="s">
        <v>55</v>
      </c>
      <c r="E560" s="117" t="n">
        <v>711491</v>
      </c>
      <c r="F560" s="117" t="s">
        <v>159</v>
      </c>
      <c r="G560" s="117" t="n">
        <v>9990</v>
      </c>
      <c r="H560" s="117" t="n">
        <v>7</v>
      </c>
      <c r="I560" s="393" t="n">
        <v>43385.60486111111</v>
      </c>
      <c r="J560" s="3" t="s">
        <v>40</v>
      </c>
      <c r="K560" s="171">
        <f>VLOOKUP(D560,Base!D:E,2,0)</f>
        <v/>
      </c>
    </row>
    <row customHeight="1" ht="15" r="561" s="183" spans="1:15">
      <c r="A561" s="37">
        <f>E561</f>
        <v/>
      </c>
      <c r="B561" s="117" t="s">
        <v>157</v>
      </c>
      <c r="C561" s="117" t="s">
        <v>51</v>
      </c>
      <c r="D561" s="117" t="s">
        <v>56</v>
      </c>
      <c r="E561" s="117" t="n">
        <v>711491</v>
      </c>
      <c r="F561" s="117" t="s">
        <v>159</v>
      </c>
      <c r="G561" s="117" t="n">
        <v>9990</v>
      </c>
      <c r="H561" s="117" t="n">
        <v>6</v>
      </c>
      <c r="I561" s="393" t="n">
        <v>43385.60486111111</v>
      </c>
      <c r="J561" s="3" t="s">
        <v>40</v>
      </c>
      <c r="K561" s="171">
        <f>VLOOKUP(D561,Base!D:E,2,0)</f>
        <v/>
      </c>
    </row>
    <row customHeight="1" ht="15" r="562" s="183" spans="1:15">
      <c r="A562" s="37">
        <f>E562</f>
        <v/>
      </c>
      <c r="B562" s="117" t="s">
        <v>157</v>
      </c>
      <c r="C562" s="117" t="s">
        <v>51</v>
      </c>
      <c r="D562" s="117" t="s">
        <v>57</v>
      </c>
      <c r="E562" s="117" t="n">
        <v>711491</v>
      </c>
      <c r="F562" s="117" t="s">
        <v>159</v>
      </c>
      <c r="G562" s="117" t="n">
        <v>9990</v>
      </c>
      <c r="H562" s="117" t="n">
        <v>7</v>
      </c>
      <c r="I562" s="393" t="n">
        <v>43385.60555555556</v>
      </c>
      <c r="J562" s="3" t="s">
        <v>40</v>
      </c>
      <c r="K562" s="171">
        <f>VLOOKUP(D562,Base!D:E,2,0)</f>
        <v/>
      </c>
    </row>
    <row customHeight="1" ht="15" r="563" s="183" spans="1:15">
      <c r="A563" s="37">
        <f>E563</f>
        <v/>
      </c>
      <c r="B563" s="117" t="s">
        <v>157</v>
      </c>
      <c r="C563" s="117" t="s">
        <v>58</v>
      </c>
      <c r="D563" s="117" t="s">
        <v>59</v>
      </c>
      <c r="E563" s="117" t="n">
        <v>711491</v>
      </c>
      <c r="F563" s="117" t="s">
        <v>159</v>
      </c>
      <c r="G563" s="117" t="n">
        <v>7990</v>
      </c>
      <c r="H563" s="117" t="n">
        <v>11</v>
      </c>
      <c r="I563" s="393" t="n">
        <v>43385.60555555556</v>
      </c>
      <c r="J563" s="3" t="s">
        <v>40</v>
      </c>
      <c r="K563" s="171">
        <f>VLOOKUP(D563,Base!D:E,2,0)</f>
        <v/>
      </c>
    </row>
    <row customHeight="1" ht="15" r="564" s="183" spans="1:15">
      <c r="A564" s="37">
        <f>E564</f>
        <v/>
      </c>
      <c r="B564" s="117" t="s">
        <v>157</v>
      </c>
      <c r="C564" s="117" t="s">
        <v>58</v>
      </c>
      <c r="D564" s="117" t="s">
        <v>60</v>
      </c>
      <c r="E564" s="117" t="n">
        <v>711491</v>
      </c>
      <c r="F564" s="117" t="s">
        <v>159</v>
      </c>
      <c r="G564" s="117" t="n">
        <v>7990</v>
      </c>
      <c r="H564" s="117" t="n">
        <v>10</v>
      </c>
      <c r="I564" s="393" t="n">
        <v>43385.60486111111</v>
      </c>
      <c r="J564" s="3" t="s">
        <v>40</v>
      </c>
      <c r="K564" s="171">
        <f>VLOOKUP(D564,Base!D:E,2,0)</f>
        <v/>
      </c>
    </row>
    <row customHeight="1" ht="15" r="565" s="183" spans="1:15">
      <c r="A565" s="37">
        <f>E565</f>
        <v/>
      </c>
      <c r="B565" s="117" t="s">
        <v>157</v>
      </c>
      <c r="C565" s="117" t="s">
        <v>58</v>
      </c>
      <c r="D565" s="117" t="s">
        <v>61</v>
      </c>
      <c r="E565" s="117" t="n">
        <v>711491</v>
      </c>
      <c r="F565" s="117" t="s">
        <v>159</v>
      </c>
      <c r="G565" s="117" t="n">
        <v>7990</v>
      </c>
      <c r="H565" s="117" t="n">
        <v>6</v>
      </c>
      <c r="I565" s="393" t="n">
        <v>43385.60347222222</v>
      </c>
      <c r="J565" s="3" t="s">
        <v>40</v>
      </c>
      <c r="K565" s="171">
        <f>VLOOKUP(D565,Base!D:E,2,0)</f>
        <v/>
      </c>
    </row>
    <row customHeight="1" ht="15" r="566" s="183" spans="1:15">
      <c r="A566" s="37">
        <f>E566</f>
        <v/>
      </c>
      <c r="B566" s="117" t="s">
        <v>157</v>
      </c>
      <c r="C566" s="117" t="s">
        <v>58</v>
      </c>
      <c r="D566" s="117" t="s">
        <v>62</v>
      </c>
      <c r="E566" s="117" t="n">
        <v>711491</v>
      </c>
      <c r="F566" s="117" t="s">
        <v>159</v>
      </c>
      <c r="G566" s="117" t="n">
        <v>7990</v>
      </c>
      <c r="H566" s="117" t="n">
        <v>10</v>
      </c>
      <c r="I566" s="393" t="n">
        <v>43385.60625</v>
      </c>
      <c r="J566" s="3" t="s">
        <v>40</v>
      </c>
      <c r="K566" s="171">
        <f>VLOOKUP(D566,Base!D:E,2,0)</f>
        <v/>
      </c>
    </row>
    <row customHeight="1" ht="15" r="567" s="183" spans="1:15">
      <c r="A567" s="37">
        <f>E567</f>
        <v/>
      </c>
      <c r="B567" s="117" t="s">
        <v>157</v>
      </c>
      <c r="C567" s="117" t="s">
        <v>63</v>
      </c>
      <c r="D567" s="117" t="s">
        <v>64</v>
      </c>
      <c r="E567" s="117" t="n">
        <v>711491</v>
      </c>
      <c r="F567" s="117" t="s">
        <v>159</v>
      </c>
      <c r="G567" s="117" t="n">
        <v>10990</v>
      </c>
      <c r="H567" s="117" t="n">
        <v>11</v>
      </c>
      <c r="I567" s="393" t="n">
        <v>43385.60555555556</v>
      </c>
      <c r="J567" s="3" t="s">
        <v>40</v>
      </c>
      <c r="K567" s="171">
        <f>VLOOKUP(D567,Base!D:E,2,0)</f>
        <v/>
      </c>
    </row>
    <row customHeight="1" ht="15" r="568" s="183" spans="1:15">
      <c r="A568" s="37">
        <f>E568</f>
        <v/>
      </c>
      <c r="B568" s="117" t="s">
        <v>157</v>
      </c>
      <c r="C568" s="117" t="s">
        <v>63</v>
      </c>
      <c r="D568" s="117" t="s">
        <v>65</v>
      </c>
      <c r="E568" s="117" t="n">
        <v>711491</v>
      </c>
      <c r="F568" s="117" t="s">
        <v>159</v>
      </c>
      <c r="G568" s="117" t="n">
        <v>10990</v>
      </c>
      <c r="H568" s="117" t="n">
        <v>7</v>
      </c>
      <c r="I568" s="393" t="n">
        <v>43385.60277777778</v>
      </c>
      <c r="J568" s="3" t="s">
        <v>40</v>
      </c>
      <c r="K568" s="171">
        <f>VLOOKUP(D568,Base!D:E,2,0)</f>
        <v/>
      </c>
    </row>
    <row customHeight="1" ht="15" r="569" s="183" spans="1:15">
      <c r="A569" s="37">
        <f>E569</f>
        <v/>
      </c>
      <c r="B569" s="117" t="s">
        <v>157</v>
      </c>
      <c r="C569" s="117" t="s">
        <v>63</v>
      </c>
      <c r="D569" s="117" t="s">
        <v>66</v>
      </c>
      <c r="E569" s="117" t="n">
        <v>711491</v>
      </c>
      <c r="F569" s="117" t="s">
        <v>159</v>
      </c>
      <c r="G569" s="117" t="n">
        <v>10990</v>
      </c>
      <c r="H569" s="117" t="n">
        <v>7</v>
      </c>
      <c r="I569" s="393" t="n">
        <v>43385.60416666666</v>
      </c>
      <c r="J569" s="3" t="s">
        <v>40</v>
      </c>
      <c r="K569" s="171">
        <f>VLOOKUP(D569,Base!D:E,2,0)</f>
        <v/>
      </c>
    </row>
    <row customHeight="1" ht="15" r="570" s="183" spans="1:15">
      <c r="A570" s="37">
        <f>E570</f>
        <v/>
      </c>
      <c r="B570" s="117" t="s">
        <v>157</v>
      </c>
      <c r="C570" s="117" t="s">
        <v>63</v>
      </c>
      <c r="D570" s="117" t="s">
        <v>67</v>
      </c>
      <c r="E570" s="117" t="n">
        <v>711491</v>
      </c>
      <c r="F570" s="117" t="s">
        <v>159</v>
      </c>
      <c r="G570" s="117" t="n">
        <v>10990</v>
      </c>
      <c r="H570" s="117" t="n">
        <v>7</v>
      </c>
      <c r="I570" s="393" t="n">
        <v>43385.60625</v>
      </c>
      <c r="J570" s="3" t="s">
        <v>40</v>
      </c>
      <c r="K570" s="171">
        <f>VLOOKUP(D570,Base!D:E,2,0)</f>
        <v/>
      </c>
    </row>
    <row customHeight="1" ht="15" r="571" s="183" spans="1:15">
      <c r="A571" s="37">
        <f>E571</f>
        <v/>
      </c>
      <c r="B571" s="117" t="s">
        <v>157</v>
      </c>
      <c r="C571" s="117" t="s">
        <v>68</v>
      </c>
      <c r="D571" s="117" t="s">
        <v>69</v>
      </c>
      <c r="E571" s="117" t="n">
        <v>711491</v>
      </c>
      <c r="F571" s="117" t="s">
        <v>159</v>
      </c>
      <c r="G571" s="117" t="n">
        <v>10990</v>
      </c>
      <c r="H571" s="117" t="n">
        <v>11</v>
      </c>
      <c r="I571" s="393" t="n">
        <v>43385.60486111111</v>
      </c>
      <c r="J571" s="3" t="s">
        <v>40</v>
      </c>
      <c r="K571" s="171">
        <f>VLOOKUP(D571,Base!D:E,2,0)</f>
        <v/>
      </c>
    </row>
    <row customHeight="1" ht="15" r="572" s="183" spans="1:15">
      <c r="A572" s="37">
        <f>E572</f>
        <v/>
      </c>
      <c r="B572" s="117" t="s">
        <v>157</v>
      </c>
      <c r="C572" s="117" t="s">
        <v>68</v>
      </c>
      <c r="D572" s="117" t="s">
        <v>70</v>
      </c>
      <c r="E572" s="117" t="n">
        <v>711491</v>
      </c>
      <c r="F572" s="117" t="s">
        <v>159</v>
      </c>
      <c r="G572" s="117" t="n">
        <v>10990</v>
      </c>
      <c r="H572" s="117" t="n">
        <v>10</v>
      </c>
      <c r="I572" s="393" t="n">
        <v>43385.59930555556</v>
      </c>
      <c r="J572" s="3" t="s">
        <v>40</v>
      </c>
      <c r="K572" s="171">
        <f>VLOOKUP(D572,Base!D:E,2,0)</f>
        <v/>
      </c>
    </row>
    <row customHeight="1" ht="15" r="573" s="183" spans="1:15">
      <c r="A573" s="37">
        <f>E573</f>
        <v/>
      </c>
      <c r="B573" s="117" t="s">
        <v>157</v>
      </c>
      <c r="C573" s="117" t="s">
        <v>73</v>
      </c>
      <c r="D573" s="117" t="s">
        <v>74</v>
      </c>
      <c r="E573" s="117" t="n">
        <v>711491</v>
      </c>
      <c r="F573" s="117" t="s">
        <v>159</v>
      </c>
      <c r="G573" s="117" t="n">
        <v>10990</v>
      </c>
      <c r="H573" s="117" t="n">
        <v>10</v>
      </c>
      <c r="I573" s="393" t="n">
        <v>43385.59930555556</v>
      </c>
      <c r="J573" s="3" t="s">
        <v>40</v>
      </c>
      <c r="K573" s="171">
        <f>VLOOKUP(D573,Base!D:E,2,0)</f>
        <v/>
      </c>
    </row>
    <row customHeight="1" ht="15" r="574" s="183" spans="1:15">
      <c r="A574" s="37">
        <f>E574</f>
        <v/>
      </c>
      <c r="B574" s="117" t="s">
        <v>157</v>
      </c>
      <c r="C574" s="117" t="s">
        <v>75</v>
      </c>
      <c r="D574" s="117" t="s">
        <v>76</v>
      </c>
      <c r="E574" s="117" t="n">
        <v>711491</v>
      </c>
      <c r="F574" s="117" t="s">
        <v>159</v>
      </c>
      <c r="G574" s="117" t="n">
        <v>6490</v>
      </c>
      <c r="H574" s="117" t="n">
        <v>4</v>
      </c>
      <c r="I574" s="393" t="n">
        <v>43385.60416666666</v>
      </c>
      <c r="J574" s="3" t="s">
        <v>40</v>
      </c>
      <c r="K574" s="171">
        <f>VLOOKUP(D574,Base!D:E,2,0)</f>
        <v/>
      </c>
    </row>
    <row customHeight="1" ht="15" r="575" s="183" spans="1:15">
      <c r="A575" s="37">
        <f>E575</f>
        <v/>
      </c>
      <c r="B575" s="117" t="s">
        <v>157</v>
      </c>
      <c r="C575" s="117" t="s">
        <v>75</v>
      </c>
      <c r="D575" s="117" t="s">
        <v>77</v>
      </c>
      <c r="E575" s="117" t="n">
        <v>711491</v>
      </c>
      <c r="F575" s="117" t="s">
        <v>159</v>
      </c>
      <c r="G575" s="117" t="n">
        <v>6490</v>
      </c>
      <c r="H575" s="117" t="n">
        <v>5</v>
      </c>
      <c r="I575" s="393" t="n">
        <v>43385.60347222222</v>
      </c>
      <c r="J575" s="3" t="s">
        <v>40</v>
      </c>
      <c r="K575" s="171">
        <f>VLOOKUP(D575,Base!D:E,2,0)</f>
        <v/>
      </c>
    </row>
    <row customHeight="1" ht="15" r="576" s="183" spans="1:15">
      <c r="A576" s="37">
        <f>E576</f>
        <v/>
      </c>
      <c r="B576" s="117" t="s">
        <v>157</v>
      </c>
      <c r="C576" s="117" t="s">
        <v>75</v>
      </c>
      <c r="D576" s="117" t="s">
        <v>78</v>
      </c>
      <c r="E576" s="117" t="n">
        <v>711491</v>
      </c>
      <c r="F576" s="117" t="s">
        <v>159</v>
      </c>
      <c r="G576" s="117" t="n">
        <v>7490</v>
      </c>
      <c r="H576" s="117" t="n">
        <v>6</v>
      </c>
      <c r="I576" s="393" t="n">
        <v>43385.60555555556</v>
      </c>
      <c r="J576" s="3" t="s">
        <v>40</v>
      </c>
      <c r="K576" s="171">
        <f>VLOOKUP(D576,Base!D:E,2,0)</f>
        <v/>
      </c>
    </row>
    <row customHeight="1" ht="15" r="577" s="183" spans="1:15">
      <c r="A577" s="37">
        <f>E577</f>
        <v/>
      </c>
      <c r="B577" s="117" t="s">
        <v>157</v>
      </c>
      <c r="C577" s="117" t="s">
        <v>75</v>
      </c>
      <c r="D577" s="117" t="s">
        <v>79</v>
      </c>
      <c r="E577" s="117" t="n">
        <v>711491</v>
      </c>
      <c r="F577" s="117" t="s">
        <v>159</v>
      </c>
      <c r="G577" s="117" t="n">
        <v>6490</v>
      </c>
      <c r="H577" s="117" t="n">
        <v>4</v>
      </c>
      <c r="I577" s="393" t="n">
        <v>43385.60486111111</v>
      </c>
      <c r="J577" s="3" t="s">
        <v>40</v>
      </c>
      <c r="K577" s="171">
        <f>VLOOKUP(D577,Base!D:E,2,0)</f>
        <v/>
      </c>
    </row>
    <row customHeight="1" ht="15" r="578" s="183" spans="1:15">
      <c r="A578" s="37">
        <f>E578</f>
        <v/>
      </c>
      <c r="B578" s="117" t="s">
        <v>157</v>
      </c>
      <c r="C578" s="117" t="s">
        <v>75</v>
      </c>
      <c r="D578" s="117" t="s">
        <v>80</v>
      </c>
      <c r="E578" s="117" t="n">
        <v>711491</v>
      </c>
      <c r="F578" s="117" t="s">
        <v>159</v>
      </c>
      <c r="G578" s="117" t="n">
        <v>6490</v>
      </c>
      <c r="H578" s="117" t="n">
        <v>4</v>
      </c>
      <c r="I578" s="393" t="n">
        <v>43385.59930555556</v>
      </c>
      <c r="J578" s="3" t="s">
        <v>40</v>
      </c>
      <c r="K578" s="171">
        <f>VLOOKUP(D578,Base!D:E,2,0)</f>
        <v/>
      </c>
    </row>
    <row customHeight="1" ht="15" r="579" s="183" spans="1:15">
      <c r="A579" s="37">
        <f>E579</f>
        <v/>
      </c>
      <c r="B579" s="117" t="s">
        <v>157</v>
      </c>
      <c r="C579" s="117" t="s">
        <v>75</v>
      </c>
      <c r="D579" s="117" t="s">
        <v>81</v>
      </c>
      <c r="E579" s="117" t="n">
        <v>711491</v>
      </c>
      <c r="F579" s="117" t="s">
        <v>159</v>
      </c>
      <c r="G579" s="117" t="n">
        <v>6990</v>
      </c>
      <c r="H579" s="117" t="n">
        <v>4</v>
      </c>
      <c r="I579" s="393" t="n">
        <v>43385.60555555556</v>
      </c>
      <c r="J579" s="3" t="s">
        <v>40</v>
      </c>
      <c r="K579" s="171">
        <f>VLOOKUP(D579,Base!D:E,2,0)</f>
        <v/>
      </c>
    </row>
    <row customHeight="1" ht="15" r="580" s="183" spans="1:15">
      <c r="A580" s="37">
        <f>E580</f>
        <v/>
      </c>
      <c r="B580" s="117" t="s">
        <v>157</v>
      </c>
      <c r="C580" s="117" t="s">
        <v>75</v>
      </c>
      <c r="D580" s="117" t="s">
        <v>82</v>
      </c>
      <c r="E580" s="117" t="n">
        <v>711491</v>
      </c>
      <c r="F580" s="117" t="s">
        <v>159</v>
      </c>
      <c r="G580" s="117" t="n">
        <v>6990</v>
      </c>
      <c r="H580" s="117" t="n">
        <v>6</v>
      </c>
      <c r="I580" s="393" t="n">
        <v>43385.59930555556</v>
      </c>
      <c r="J580" s="3" t="s">
        <v>40</v>
      </c>
      <c r="K580" s="171">
        <f>VLOOKUP(D580,Base!D:E,2,0)</f>
        <v/>
      </c>
    </row>
    <row customHeight="1" ht="15" r="581" s="183" spans="1:15">
      <c r="A581" s="37">
        <f>E581</f>
        <v/>
      </c>
      <c r="B581" s="117" t="s">
        <v>157</v>
      </c>
      <c r="C581" s="117" t="s">
        <v>75</v>
      </c>
      <c r="D581" s="117" t="s">
        <v>83</v>
      </c>
      <c r="E581" s="117" t="n">
        <v>711491</v>
      </c>
      <c r="F581" s="117" t="s">
        <v>159</v>
      </c>
      <c r="G581" s="117" t="n">
        <v>6490</v>
      </c>
      <c r="H581" s="117" t="n">
        <v>4</v>
      </c>
      <c r="I581" s="393" t="n">
        <v>43385.59930555556</v>
      </c>
      <c r="J581" s="3" t="s">
        <v>40</v>
      </c>
      <c r="K581" s="171">
        <f>VLOOKUP(D581,Base!D:E,2,0)</f>
        <v/>
      </c>
    </row>
    <row customHeight="1" ht="15" r="582" s="183" spans="1:15">
      <c r="A582" s="37">
        <f>E582</f>
        <v/>
      </c>
      <c r="B582" s="117" t="s">
        <v>157</v>
      </c>
      <c r="C582" s="117" t="s">
        <v>75</v>
      </c>
      <c r="D582" s="117" t="s">
        <v>84</v>
      </c>
      <c r="E582" s="117" t="n">
        <v>711491</v>
      </c>
      <c r="F582" s="117" t="s">
        <v>159</v>
      </c>
      <c r="G582" s="117" t="n">
        <v>6490</v>
      </c>
      <c r="H582" s="117" t="n">
        <v>4</v>
      </c>
      <c r="I582" s="393" t="n">
        <v>43385.60208333333</v>
      </c>
      <c r="J582" s="3" t="s">
        <v>40</v>
      </c>
      <c r="K582" s="171">
        <f>VLOOKUP(D582,Base!D:E,2,0)</f>
        <v/>
      </c>
    </row>
    <row customHeight="1" ht="15" r="583" s="183" spans="1:15">
      <c r="A583" s="37">
        <f>E583</f>
        <v/>
      </c>
      <c r="B583" s="117" t="s">
        <v>157</v>
      </c>
      <c r="C583" s="117" t="s">
        <v>75</v>
      </c>
      <c r="D583" s="117" t="s">
        <v>85</v>
      </c>
      <c r="E583" s="117" t="n">
        <v>711491</v>
      </c>
      <c r="F583" s="117" t="s">
        <v>159</v>
      </c>
      <c r="G583" s="117" t="n">
        <v>6490</v>
      </c>
      <c r="H583" s="117" t="n">
        <v>4</v>
      </c>
      <c r="I583" s="393" t="n">
        <v>43385.59930555556</v>
      </c>
      <c r="J583" s="3" t="s">
        <v>40</v>
      </c>
      <c r="K583" s="171">
        <f>VLOOKUP(D583,Base!D:E,2,0)</f>
        <v/>
      </c>
    </row>
    <row customHeight="1" ht="15" r="584" s="183" spans="1:15">
      <c r="A584" s="37">
        <f>E584</f>
        <v/>
      </c>
      <c r="B584" s="117" t="s">
        <v>157</v>
      </c>
      <c r="C584" s="117" t="s">
        <v>86</v>
      </c>
      <c r="D584" s="117" t="s">
        <v>87</v>
      </c>
      <c r="E584" s="117" t="n">
        <v>711491</v>
      </c>
      <c r="F584" s="117" t="s">
        <v>159</v>
      </c>
      <c r="G584" s="117" t="n">
        <v>7990</v>
      </c>
      <c r="H584" s="117" t="n">
        <v>10</v>
      </c>
      <c r="I584" s="393" t="n">
        <v>43385.60486111111</v>
      </c>
      <c r="J584" s="3" t="s">
        <v>40</v>
      </c>
      <c r="K584" s="171">
        <f>VLOOKUP(D584,Base!D:E,2,0)</f>
        <v/>
      </c>
    </row>
    <row customHeight="1" ht="15" r="585" s="183" spans="1:15">
      <c r="A585" s="37">
        <f>E585</f>
        <v/>
      </c>
      <c r="B585" s="117" t="s">
        <v>157</v>
      </c>
      <c r="C585" s="117" t="s">
        <v>86</v>
      </c>
      <c r="D585" s="117" t="s">
        <v>88</v>
      </c>
      <c r="E585" s="117" t="n">
        <v>711491</v>
      </c>
      <c r="F585" s="117" t="s">
        <v>159</v>
      </c>
      <c r="G585" s="117" t="n">
        <v>5490</v>
      </c>
      <c r="H585" s="117" t="n">
        <v>6</v>
      </c>
      <c r="I585" s="393" t="n">
        <v>43385.60486111111</v>
      </c>
      <c r="J585" s="3" t="s">
        <v>40</v>
      </c>
      <c r="K585" s="171">
        <f>VLOOKUP(D585,Base!D:E,2,0)</f>
        <v/>
      </c>
    </row>
    <row customHeight="1" ht="15" r="586" s="183" spans="1:15">
      <c r="A586" s="37">
        <f>E586</f>
        <v/>
      </c>
      <c r="B586" s="117" t="s">
        <v>157</v>
      </c>
      <c r="C586" s="117" t="s">
        <v>86</v>
      </c>
      <c r="D586" s="117" t="s">
        <v>89</v>
      </c>
      <c r="E586" s="117" t="n">
        <v>711491</v>
      </c>
      <c r="F586" s="117" t="s">
        <v>159</v>
      </c>
      <c r="G586" s="117" t="n">
        <v>5490</v>
      </c>
      <c r="H586" s="117" t="n">
        <v>6</v>
      </c>
      <c r="I586" s="393" t="n">
        <v>43385.6</v>
      </c>
      <c r="J586" s="3" t="s">
        <v>40</v>
      </c>
      <c r="K586" s="171">
        <f>VLOOKUP(D586,Base!D:E,2,0)</f>
        <v/>
      </c>
    </row>
    <row customHeight="1" ht="15" r="587" s="183" spans="1:15">
      <c r="A587" s="37">
        <f>E587</f>
        <v/>
      </c>
      <c r="B587" s="117" t="s">
        <v>157</v>
      </c>
      <c r="C587" s="117" t="s">
        <v>86</v>
      </c>
      <c r="D587" s="117" t="s">
        <v>90</v>
      </c>
      <c r="E587" s="117" t="n">
        <v>711491</v>
      </c>
      <c r="F587" s="117" t="s">
        <v>159</v>
      </c>
      <c r="G587" s="117" t="n">
        <v>5490</v>
      </c>
      <c r="H587" s="117" t="n">
        <v>6</v>
      </c>
      <c r="I587" s="393" t="n">
        <v>43385.59930555556</v>
      </c>
      <c r="J587" s="3" t="s">
        <v>40</v>
      </c>
      <c r="K587" s="171">
        <f>VLOOKUP(D587,Base!D:E,2,0)</f>
        <v/>
      </c>
    </row>
    <row customHeight="1" ht="15" r="588" s="183" spans="1:15">
      <c r="A588" s="37">
        <f>E588</f>
        <v/>
      </c>
      <c r="B588" s="117" t="s">
        <v>157</v>
      </c>
      <c r="C588" s="117" t="s">
        <v>86</v>
      </c>
      <c r="D588" s="117" t="s">
        <v>91</v>
      </c>
      <c r="E588" s="117" t="n">
        <v>711491</v>
      </c>
      <c r="F588" s="117" t="s">
        <v>159</v>
      </c>
      <c r="G588" s="117" t="n">
        <v>5490</v>
      </c>
      <c r="H588" s="117" t="n">
        <v>6</v>
      </c>
      <c r="I588" s="393" t="n">
        <v>43385.60555555556</v>
      </c>
      <c r="J588" s="3" t="s">
        <v>40</v>
      </c>
      <c r="K588" s="171">
        <f>VLOOKUP(D588,Base!D:E,2,0)</f>
        <v/>
      </c>
    </row>
    <row customHeight="1" ht="15" r="589" s="183" spans="1:15">
      <c r="A589" s="37">
        <f>E589</f>
        <v/>
      </c>
      <c r="B589" s="117" t="s">
        <v>157</v>
      </c>
      <c r="C589" s="117" t="s">
        <v>86</v>
      </c>
      <c r="D589" s="117" t="s">
        <v>92</v>
      </c>
      <c r="E589" s="117" t="n">
        <v>711491</v>
      </c>
      <c r="F589" s="117" t="s">
        <v>159</v>
      </c>
      <c r="G589" s="117" t="n">
        <v>7990</v>
      </c>
      <c r="H589" s="117" t="n">
        <v>7</v>
      </c>
      <c r="I589" s="393" t="n">
        <v>43385.60486111111</v>
      </c>
      <c r="J589" s="3" t="s">
        <v>40</v>
      </c>
      <c r="K589" s="171">
        <f>VLOOKUP(D589,Base!D:E,2,0)</f>
        <v/>
      </c>
    </row>
    <row customHeight="1" ht="15" r="590" s="183" spans="1:15">
      <c r="A590" s="37">
        <f>E590</f>
        <v/>
      </c>
      <c r="B590" s="117" t="s">
        <v>157</v>
      </c>
      <c r="C590" s="117" t="s">
        <v>86</v>
      </c>
      <c r="D590" s="117" t="s">
        <v>93</v>
      </c>
      <c r="E590" s="117" t="n">
        <v>711491</v>
      </c>
      <c r="F590" s="117" t="s">
        <v>159</v>
      </c>
      <c r="G590" s="117" t="n">
        <v>5490</v>
      </c>
      <c r="H590" s="117" t="n">
        <v>6</v>
      </c>
      <c r="I590" s="393" t="n">
        <v>43385.59930555556</v>
      </c>
      <c r="J590" s="3" t="s">
        <v>40</v>
      </c>
      <c r="K590" s="171">
        <f>VLOOKUP(D590,Base!D:E,2,0)</f>
        <v/>
      </c>
    </row>
    <row customHeight="1" ht="15" r="591" s="183" spans="1:15">
      <c r="A591" s="37">
        <f>E591</f>
        <v/>
      </c>
      <c r="B591" s="117" t="s">
        <v>157</v>
      </c>
      <c r="C591" s="117" t="s">
        <v>86</v>
      </c>
      <c r="D591" s="117" t="s">
        <v>94</v>
      </c>
      <c r="E591" s="117" t="n">
        <v>711491</v>
      </c>
      <c r="F591" s="117" t="s">
        <v>159</v>
      </c>
      <c r="G591" s="117" t="n">
        <v>5490</v>
      </c>
      <c r="H591" s="117" t="n">
        <v>6</v>
      </c>
      <c r="I591" s="393" t="n">
        <v>43385.59930555556</v>
      </c>
      <c r="J591" s="3" t="s">
        <v>40</v>
      </c>
      <c r="K591" s="171">
        <f>VLOOKUP(D591,Base!D:E,2,0)</f>
        <v/>
      </c>
    </row>
    <row customHeight="1" ht="15" r="592" s="183" spans="1:15">
      <c r="A592" s="37">
        <f>E592</f>
        <v/>
      </c>
      <c r="B592" s="117" t="s">
        <v>157</v>
      </c>
      <c r="C592" s="117" t="s">
        <v>86</v>
      </c>
      <c r="D592" s="117" t="s">
        <v>95</v>
      </c>
      <c r="E592" s="117" t="n">
        <v>711491</v>
      </c>
      <c r="F592" s="117" t="s">
        <v>159</v>
      </c>
      <c r="G592" s="117" t="n">
        <v>5490</v>
      </c>
      <c r="H592" s="117" t="n">
        <v>6</v>
      </c>
      <c r="I592" s="393" t="n">
        <v>43385.6</v>
      </c>
      <c r="J592" s="3" t="s">
        <v>40</v>
      </c>
      <c r="K592" s="171">
        <f>VLOOKUP(D592,Base!D:E,2,0)</f>
        <v/>
      </c>
    </row>
    <row customHeight="1" ht="15" r="593" s="183" spans="1:15">
      <c r="A593" s="37">
        <f>E593</f>
        <v/>
      </c>
      <c r="B593" s="117" t="s">
        <v>157</v>
      </c>
      <c r="C593" s="117" t="s">
        <v>96</v>
      </c>
      <c r="D593" s="117" t="s">
        <v>97</v>
      </c>
      <c r="E593" s="117" t="n">
        <v>711491</v>
      </c>
      <c r="F593" s="117" t="s">
        <v>159</v>
      </c>
      <c r="G593" s="117" t="n">
        <v>5990</v>
      </c>
      <c r="H593" s="117" t="n">
        <v>5</v>
      </c>
      <c r="I593" s="393" t="n">
        <v>43385.60555555556</v>
      </c>
      <c r="J593" s="3" t="s">
        <v>40</v>
      </c>
      <c r="K593" s="171">
        <f>VLOOKUP(D593,Base!D:E,2,0)</f>
        <v/>
      </c>
    </row>
    <row customHeight="1" ht="15" r="594" s="183" spans="1:15">
      <c r="A594" s="37">
        <f>E594</f>
        <v/>
      </c>
      <c r="B594" s="117" t="s">
        <v>157</v>
      </c>
      <c r="C594" s="117" t="s">
        <v>96</v>
      </c>
      <c r="D594" s="117" t="s">
        <v>98</v>
      </c>
      <c r="E594" s="117" t="n">
        <v>711491</v>
      </c>
      <c r="F594" s="117" t="s">
        <v>159</v>
      </c>
      <c r="G594" s="117" t="n">
        <v>4990</v>
      </c>
      <c r="H594" s="117" t="n">
        <v>5</v>
      </c>
      <c r="I594" s="393" t="n">
        <v>43385.59930555556</v>
      </c>
      <c r="J594" s="3" t="s">
        <v>40</v>
      </c>
      <c r="K594" s="171">
        <f>VLOOKUP(D594,Base!D:E,2,0)</f>
        <v/>
      </c>
    </row>
    <row customHeight="1" ht="15" r="595" s="183" spans="1:15">
      <c r="A595" s="37">
        <f>E595</f>
        <v/>
      </c>
      <c r="B595" s="117" t="s">
        <v>157</v>
      </c>
      <c r="C595" s="117" t="s">
        <v>96</v>
      </c>
      <c r="D595" s="117" t="s">
        <v>99</v>
      </c>
      <c r="E595" s="117" t="n">
        <v>711491</v>
      </c>
      <c r="F595" s="117" t="s">
        <v>159</v>
      </c>
      <c r="G595" s="117" t="n">
        <v>5990</v>
      </c>
      <c r="H595" s="117" t="n">
        <v>7</v>
      </c>
      <c r="I595" s="393" t="n">
        <v>43385.60486111111</v>
      </c>
      <c r="J595" s="3" t="s">
        <v>40</v>
      </c>
      <c r="K595" s="171">
        <f>VLOOKUP(D595,Base!D:E,2,0)</f>
        <v/>
      </c>
    </row>
    <row customHeight="1" ht="15" r="596" s="183" spans="1:15">
      <c r="A596" s="37">
        <f>E596</f>
        <v/>
      </c>
      <c r="B596" s="117" t="s">
        <v>157</v>
      </c>
      <c r="C596" s="117" t="s">
        <v>96</v>
      </c>
      <c r="D596" s="117" t="s">
        <v>100</v>
      </c>
      <c r="E596" s="117" t="n">
        <v>711491</v>
      </c>
      <c r="F596" s="117" t="s">
        <v>159</v>
      </c>
      <c r="G596" s="117" t="n">
        <v>5990</v>
      </c>
      <c r="H596" s="117" t="n">
        <v>7</v>
      </c>
      <c r="I596" s="393" t="n">
        <v>43385.59930555556</v>
      </c>
      <c r="J596" s="3" t="s">
        <v>40</v>
      </c>
      <c r="K596" s="171">
        <f>VLOOKUP(D596,Base!D:E,2,0)</f>
        <v/>
      </c>
    </row>
    <row customHeight="1" ht="15" r="597" s="183" spans="1:15">
      <c r="A597" s="37">
        <f>E597</f>
        <v/>
      </c>
      <c r="B597" s="117" t="s">
        <v>157</v>
      </c>
      <c r="C597" s="117" t="s">
        <v>101</v>
      </c>
      <c r="D597" s="117" t="s">
        <v>102</v>
      </c>
      <c r="E597" s="117" t="n">
        <v>711491</v>
      </c>
      <c r="F597" s="117" t="s">
        <v>159</v>
      </c>
      <c r="G597" s="117" t="n">
        <v>4990</v>
      </c>
      <c r="H597" s="117" t="n">
        <v>6</v>
      </c>
      <c r="I597" s="393" t="n">
        <v>43385.59930555556</v>
      </c>
      <c r="J597" s="3" t="s">
        <v>40</v>
      </c>
      <c r="K597" s="171">
        <f>VLOOKUP(D597,Base!D:E,2,0)</f>
        <v/>
      </c>
    </row>
    <row customHeight="1" ht="15" r="598" s="183" spans="1:15">
      <c r="A598" s="37">
        <f>E598</f>
        <v/>
      </c>
      <c r="B598" s="117" t="s">
        <v>157</v>
      </c>
      <c r="C598" s="117" t="s">
        <v>101</v>
      </c>
      <c r="D598" s="117" t="s">
        <v>103</v>
      </c>
      <c r="E598" s="117" t="n">
        <v>711491</v>
      </c>
      <c r="F598" s="117" t="s">
        <v>159</v>
      </c>
      <c r="G598" s="117" t="n">
        <v>13990</v>
      </c>
      <c r="H598" s="117" t="n">
        <v>7</v>
      </c>
      <c r="I598" s="393" t="n">
        <v>43385.60486111111</v>
      </c>
      <c r="J598" s="3" t="s">
        <v>40</v>
      </c>
      <c r="K598" s="171">
        <f>VLOOKUP(D598,Base!D:E,2,0)</f>
        <v/>
      </c>
    </row>
    <row customHeight="1" ht="15" r="599" s="183" spans="1:15">
      <c r="A599" s="37">
        <f>E599</f>
        <v/>
      </c>
      <c r="B599" s="117" t="s">
        <v>157</v>
      </c>
      <c r="C599" s="117" t="s">
        <v>101</v>
      </c>
      <c r="D599" s="117" t="s">
        <v>104</v>
      </c>
      <c r="E599" s="117" t="n">
        <v>711491</v>
      </c>
      <c r="F599" s="117" t="s">
        <v>159</v>
      </c>
      <c r="G599" s="117" t="n">
        <v>4990</v>
      </c>
      <c r="H599" s="117" t="n">
        <v>6</v>
      </c>
      <c r="I599" s="393" t="n">
        <v>43385.6</v>
      </c>
      <c r="J599" s="3" t="s">
        <v>40</v>
      </c>
      <c r="K599" s="171">
        <f>VLOOKUP(D599,Base!D:E,2,0)</f>
        <v/>
      </c>
    </row>
    <row customHeight="1" ht="15" r="600" s="183" spans="1:15">
      <c r="A600" s="37">
        <f>E600</f>
        <v/>
      </c>
      <c r="B600" s="117" t="s">
        <v>157</v>
      </c>
      <c r="C600" s="117" t="s">
        <v>105</v>
      </c>
      <c r="D600" s="117" t="s">
        <v>106</v>
      </c>
      <c r="E600" s="117" t="n">
        <v>711491</v>
      </c>
      <c r="F600" s="117" t="s">
        <v>159</v>
      </c>
      <c r="G600" s="117" t="n">
        <v>4890</v>
      </c>
      <c r="H600" s="117" t="n">
        <v>4</v>
      </c>
      <c r="I600" s="393" t="n">
        <v>43385.6</v>
      </c>
      <c r="J600" s="3" t="s">
        <v>40</v>
      </c>
      <c r="K600" s="171">
        <f>VLOOKUP(D600,Base!D:E,2,0)</f>
        <v/>
      </c>
    </row>
    <row customHeight="1" ht="15" r="601" s="183" spans="1:15">
      <c r="A601" s="37">
        <f>E601</f>
        <v/>
      </c>
      <c r="B601" s="117" t="s">
        <v>157</v>
      </c>
      <c r="C601" s="117" t="s">
        <v>105</v>
      </c>
      <c r="D601" s="117" t="s">
        <v>107</v>
      </c>
      <c r="E601" s="117" t="n">
        <v>711491</v>
      </c>
      <c r="F601" s="117" t="s">
        <v>159</v>
      </c>
      <c r="G601" s="117" t="n">
        <v>4490</v>
      </c>
      <c r="H601" s="117" t="n">
        <v>2</v>
      </c>
      <c r="I601" s="393" t="n">
        <v>43385.59930555556</v>
      </c>
      <c r="J601" s="3" t="s">
        <v>40</v>
      </c>
      <c r="K601" s="171">
        <f>VLOOKUP(D601,Base!D:E,2,0)</f>
        <v/>
      </c>
    </row>
    <row customHeight="1" ht="15" r="602" s="183" spans="1:15">
      <c r="A602" s="37">
        <f>E602</f>
        <v/>
      </c>
      <c r="B602" s="117" t="s">
        <v>157</v>
      </c>
      <c r="C602" s="117" t="s">
        <v>105</v>
      </c>
      <c r="D602" s="117" t="s">
        <v>108</v>
      </c>
      <c r="E602" s="117" t="n">
        <v>711491</v>
      </c>
      <c r="F602" s="117" t="s">
        <v>159</v>
      </c>
      <c r="G602" s="117" t="n">
        <v>4490</v>
      </c>
      <c r="H602" s="117" t="n">
        <v>2</v>
      </c>
      <c r="I602" s="393" t="n">
        <v>43385.60069444445</v>
      </c>
      <c r="J602" s="3" t="s">
        <v>40</v>
      </c>
      <c r="K602" s="171">
        <f>VLOOKUP(D602,Base!D:E,2,0)</f>
        <v/>
      </c>
    </row>
    <row customHeight="1" ht="15" r="603" s="183" spans="1:15">
      <c r="A603" s="37">
        <f>E603</f>
        <v/>
      </c>
      <c r="B603" s="117" t="s">
        <v>157</v>
      </c>
      <c r="C603" s="117" t="s">
        <v>105</v>
      </c>
      <c r="D603" s="117" t="s">
        <v>109</v>
      </c>
      <c r="E603" s="117" t="n">
        <v>711491</v>
      </c>
      <c r="F603" s="117" t="s">
        <v>159</v>
      </c>
      <c r="G603" s="117" t="n">
        <v>4890</v>
      </c>
      <c r="H603" s="117" t="n">
        <v>4</v>
      </c>
      <c r="I603" s="393" t="n">
        <v>43385.59930555556</v>
      </c>
      <c r="J603" s="3" t="s">
        <v>40</v>
      </c>
      <c r="K603" s="171">
        <f>VLOOKUP(D603,Base!D:E,2,0)</f>
        <v/>
      </c>
    </row>
    <row customHeight="1" ht="15" r="604" s="183" spans="1:15">
      <c r="A604" s="37">
        <f>E604</f>
        <v/>
      </c>
      <c r="B604" s="117" t="s">
        <v>157</v>
      </c>
      <c r="C604" s="117" t="s">
        <v>105</v>
      </c>
      <c r="D604" s="117" t="s">
        <v>110</v>
      </c>
      <c r="E604" s="117" t="n">
        <v>711491</v>
      </c>
      <c r="F604" s="117" t="s">
        <v>159</v>
      </c>
      <c r="G604" s="117" t="n">
        <v>4490</v>
      </c>
      <c r="H604" s="117" t="n">
        <v>2</v>
      </c>
      <c r="I604" s="393" t="n">
        <v>43385.6</v>
      </c>
      <c r="J604" s="3" t="s">
        <v>40</v>
      </c>
      <c r="K604" s="171">
        <f>VLOOKUP(D604,Base!D:E,2,0)</f>
        <v/>
      </c>
    </row>
    <row customHeight="1" ht="15" r="605" s="183" spans="1:15">
      <c r="A605" s="37">
        <f>E605</f>
        <v/>
      </c>
      <c r="B605" s="117" t="s">
        <v>157</v>
      </c>
      <c r="C605" s="117" t="s">
        <v>105</v>
      </c>
      <c r="D605" s="117" t="s">
        <v>111</v>
      </c>
      <c r="E605" s="117" t="n">
        <v>711491</v>
      </c>
      <c r="F605" s="117" t="s">
        <v>159</v>
      </c>
      <c r="G605" s="117" t="n">
        <v>4490</v>
      </c>
      <c r="H605" s="117" t="n">
        <v>2</v>
      </c>
      <c r="I605" s="393" t="n">
        <v>43385.59930555556</v>
      </c>
      <c r="J605" s="3" t="s">
        <v>40</v>
      </c>
      <c r="K605" s="171">
        <f>VLOOKUP(D605,Base!D:E,2,0)</f>
        <v/>
      </c>
    </row>
    <row customHeight="1" ht="15" r="606" s="183" spans="1:15">
      <c r="A606" s="37">
        <f>E606</f>
        <v/>
      </c>
      <c r="B606" s="117" t="s">
        <v>157</v>
      </c>
      <c r="C606" s="117" t="s">
        <v>105</v>
      </c>
      <c r="D606" s="117" t="s">
        <v>112</v>
      </c>
      <c r="E606" s="117" t="n">
        <v>711491</v>
      </c>
      <c r="F606" s="117" t="s">
        <v>159</v>
      </c>
      <c r="G606" s="117" t="n">
        <v>3990</v>
      </c>
      <c r="H606" s="117" t="n">
        <v>2</v>
      </c>
      <c r="I606" s="393" t="n">
        <v>43385.59930555556</v>
      </c>
      <c r="J606" s="3" t="s">
        <v>40</v>
      </c>
      <c r="K606" s="171">
        <f>VLOOKUP(D606,Base!D:E,2,0)</f>
        <v/>
      </c>
    </row>
    <row customHeight="1" ht="15" r="607" s="183" spans="1:15">
      <c r="A607" s="37">
        <f>E607</f>
        <v/>
      </c>
      <c r="B607" s="117" t="s">
        <v>157</v>
      </c>
      <c r="C607" s="117" t="s">
        <v>105</v>
      </c>
      <c r="D607" s="117" t="s">
        <v>113</v>
      </c>
      <c r="E607" s="117" t="n">
        <v>711491</v>
      </c>
      <c r="F607" s="117" t="s">
        <v>159</v>
      </c>
      <c r="G607" s="117" t="n">
        <v>3990</v>
      </c>
      <c r="H607" s="117" t="n">
        <v>2</v>
      </c>
      <c r="I607" s="393" t="n">
        <v>43385.60208333333</v>
      </c>
      <c r="J607" s="3" t="s">
        <v>40</v>
      </c>
      <c r="K607" s="171">
        <f>VLOOKUP(D607,Base!D:E,2,0)</f>
        <v/>
      </c>
    </row>
    <row customHeight="1" ht="15" r="608" s="183" spans="1:15">
      <c r="A608" s="37">
        <f>E608</f>
        <v/>
      </c>
      <c r="B608" s="117" t="s">
        <v>157</v>
      </c>
      <c r="C608" s="117" t="s">
        <v>105</v>
      </c>
      <c r="D608" s="117" t="s">
        <v>114</v>
      </c>
      <c r="E608" s="117" t="n">
        <v>711491</v>
      </c>
      <c r="F608" s="117" t="s">
        <v>159</v>
      </c>
      <c r="G608" s="117" t="n">
        <v>4490</v>
      </c>
      <c r="H608" s="117" t="n">
        <v>2</v>
      </c>
      <c r="I608" s="393" t="n">
        <v>43385.60208333333</v>
      </c>
      <c r="J608" s="3" t="s">
        <v>40</v>
      </c>
      <c r="K608" s="171">
        <f>VLOOKUP(D608,Base!D:E,2,0)</f>
        <v/>
      </c>
    </row>
    <row customHeight="1" ht="15" r="609" s="183" spans="1:15">
      <c r="A609" s="37">
        <f>E609</f>
        <v/>
      </c>
      <c r="B609" s="117" t="s">
        <v>157</v>
      </c>
      <c r="C609" s="117" t="s">
        <v>105</v>
      </c>
      <c r="D609" s="117" t="s">
        <v>115</v>
      </c>
      <c r="E609" s="117" t="n">
        <v>711491</v>
      </c>
      <c r="F609" s="117" t="s">
        <v>159</v>
      </c>
      <c r="G609" s="117" t="n">
        <v>4490</v>
      </c>
      <c r="H609" s="117" t="n">
        <v>2</v>
      </c>
      <c r="I609" s="393" t="n">
        <v>43385.59930555556</v>
      </c>
      <c r="J609" s="3" t="s">
        <v>40</v>
      </c>
      <c r="K609" s="171">
        <f>VLOOKUP(D609,Base!D:E,2,0)</f>
        <v/>
      </c>
    </row>
    <row customHeight="1" ht="15" r="610" s="183" spans="1:15">
      <c r="A610" s="37">
        <f>E610</f>
        <v/>
      </c>
      <c r="B610" s="117" t="s">
        <v>157</v>
      </c>
      <c r="C610" s="117" t="s">
        <v>105</v>
      </c>
      <c r="D610" s="117" t="s">
        <v>116</v>
      </c>
      <c r="E610" s="117" t="n">
        <v>711491</v>
      </c>
      <c r="F610" s="117" t="s">
        <v>159</v>
      </c>
      <c r="G610" s="117" t="n">
        <v>3990</v>
      </c>
      <c r="H610" s="117" t="n">
        <v>2</v>
      </c>
      <c r="I610" s="393" t="n">
        <v>43385.59861111111</v>
      </c>
      <c r="J610" s="3" t="s">
        <v>40</v>
      </c>
      <c r="K610" s="171">
        <f>VLOOKUP(D610,Base!D:E,2,0)</f>
        <v/>
      </c>
    </row>
    <row customHeight="1" ht="15" r="611" s="183" spans="1:15">
      <c r="A611" s="37">
        <f>E611</f>
        <v/>
      </c>
      <c r="B611" s="117" t="s">
        <v>157</v>
      </c>
      <c r="C611" s="117" t="s">
        <v>105</v>
      </c>
      <c r="D611" s="117" t="s">
        <v>117</v>
      </c>
      <c r="E611" s="117" t="n">
        <v>711491</v>
      </c>
      <c r="F611" s="117" t="s">
        <v>159</v>
      </c>
      <c r="G611" s="117" t="n">
        <v>4490</v>
      </c>
      <c r="H611" s="117" t="n">
        <v>2</v>
      </c>
      <c r="I611" s="393" t="n">
        <v>43385.59930555556</v>
      </c>
      <c r="J611" s="3" t="s">
        <v>40</v>
      </c>
      <c r="K611" s="171">
        <f>VLOOKUP(D611,Base!D:E,2,0)</f>
        <v/>
      </c>
    </row>
    <row customHeight="1" ht="15" r="612" s="183" spans="1:15">
      <c r="A612" s="37">
        <f>E612</f>
        <v/>
      </c>
      <c r="B612" s="117" t="s">
        <v>157</v>
      </c>
      <c r="C612" s="117" t="s">
        <v>105</v>
      </c>
      <c r="D612" s="117" t="s">
        <v>118</v>
      </c>
      <c r="E612" s="117" t="n">
        <v>711491</v>
      </c>
      <c r="F612" s="117" t="s">
        <v>159</v>
      </c>
      <c r="G612" s="117" t="n">
        <v>4490</v>
      </c>
      <c r="H612" s="117" t="n">
        <v>2</v>
      </c>
      <c r="I612" s="393" t="n">
        <v>43385.59930555556</v>
      </c>
      <c r="J612" s="3" t="s">
        <v>40</v>
      </c>
      <c r="K612" s="171">
        <f>VLOOKUP(D612,Base!D:E,2,0)</f>
        <v/>
      </c>
    </row>
    <row customHeight="1" ht="15" r="613" s="183" spans="1:15">
      <c r="A613" s="37">
        <f>E613</f>
        <v/>
      </c>
      <c r="B613" s="117" t="s">
        <v>157</v>
      </c>
      <c r="C613" s="117" t="s">
        <v>105</v>
      </c>
      <c r="D613" s="117" t="s">
        <v>119</v>
      </c>
      <c r="E613" s="117" t="n">
        <v>711491</v>
      </c>
      <c r="F613" s="117" t="s">
        <v>159</v>
      </c>
      <c r="G613" s="117" t="n">
        <v>3990</v>
      </c>
      <c r="H613" s="117" t="n">
        <v>2</v>
      </c>
      <c r="I613" s="393" t="n">
        <v>43385.60208333333</v>
      </c>
      <c r="J613" s="3" t="s">
        <v>40</v>
      </c>
      <c r="K613" s="171">
        <f>VLOOKUP(D613,Base!D:E,2,0)</f>
        <v/>
      </c>
    </row>
    <row customHeight="1" ht="15" r="614" s="183" spans="1:15">
      <c r="A614" s="37">
        <f>E614</f>
        <v/>
      </c>
      <c r="B614" s="117" t="s">
        <v>157</v>
      </c>
      <c r="C614" s="117" t="s">
        <v>105</v>
      </c>
      <c r="D614" s="117" t="s">
        <v>120</v>
      </c>
      <c r="E614" s="117" t="n">
        <v>711491</v>
      </c>
      <c r="F614" s="117" t="s">
        <v>159</v>
      </c>
      <c r="G614" s="117" t="n">
        <v>4890</v>
      </c>
      <c r="H614" s="117" t="n">
        <v>4</v>
      </c>
      <c r="I614" s="393" t="n">
        <v>43385.59930555556</v>
      </c>
      <c r="J614" s="3" t="s">
        <v>40</v>
      </c>
      <c r="K614" s="171">
        <f>VLOOKUP(D614,Base!D:E,2,0)</f>
        <v/>
      </c>
    </row>
    <row customHeight="1" ht="15" r="615" s="183" spans="1:15">
      <c r="A615" s="37">
        <f>E615</f>
        <v/>
      </c>
      <c r="B615" s="117" t="s">
        <v>157</v>
      </c>
      <c r="C615" s="117" t="s">
        <v>105</v>
      </c>
      <c r="D615" s="117" t="s">
        <v>121</v>
      </c>
      <c r="E615" s="117" t="n">
        <v>711491</v>
      </c>
      <c r="F615" s="117" t="s">
        <v>159</v>
      </c>
      <c r="G615" s="117" t="n">
        <v>3990</v>
      </c>
      <c r="H615" s="117" t="n">
        <v>2</v>
      </c>
      <c r="I615" s="393" t="n">
        <v>43385.60069444445</v>
      </c>
      <c r="J615" s="3" t="s">
        <v>40</v>
      </c>
      <c r="K615" s="171">
        <f>VLOOKUP(D615,Base!D:E,2,0)</f>
        <v/>
      </c>
    </row>
    <row customHeight="1" ht="15" r="616" s="183" spans="1:15">
      <c r="A616" s="37">
        <f>E616</f>
        <v/>
      </c>
      <c r="B616" s="117" t="s">
        <v>157</v>
      </c>
      <c r="C616" s="117" t="s">
        <v>105</v>
      </c>
      <c r="D616" s="117" t="s">
        <v>122</v>
      </c>
      <c r="E616" s="117" t="n">
        <v>711491</v>
      </c>
      <c r="F616" s="117" t="s">
        <v>159</v>
      </c>
      <c r="G616" s="117" t="n">
        <v>3990</v>
      </c>
      <c r="H616" s="117" t="n">
        <v>2</v>
      </c>
      <c r="I616" s="393" t="n">
        <v>43385.60347222222</v>
      </c>
      <c r="J616" s="3" t="s">
        <v>40</v>
      </c>
      <c r="K616" s="171">
        <f>VLOOKUP(D616,Base!D:E,2,0)</f>
        <v/>
      </c>
    </row>
    <row customHeight="1" ht="15" r="617" s="183" spans="1:15">
      <c r="A617" s="37">
        <f>E617</f>
        <v/>
      </c>
      <c r="B617" s="117" t="s">
        <v>157</v>
      </c>
      <c r="C617" s="117" t="s">
        <v>105</v>
      </c>
      <c r="D617" s="117" t="s">
        <v>123</v>
      </c>
      <c r="E617" s="117" t="n">
        <v>711491</v>
      </c>
      <c r="F617" s="117" t="s">
        <v>159</v>
      </c>
      <c r="G617" s="117" t="n">
        <v>4490</v>
      </c>
      <c r="H617" s="117" t="n">
        <v>2</v>
      </c>
      <c r="I617" s="393" t="n">
        <v>43385.60416666666</v>
      </c>
      <c r="J617" s="3" t="s">
        <v>40</v>
      </c>
      <c r="K617" s="171">
        <f>VLOOKUP(D617,Base!D:E,2,0)</f>
        <v/>
      </c>
    </row>
    <row customHeight="1" ht="15" r="618" s="183" spans="1:15">
      <c r="A618" s="37">
        <f>E618</f>
        <v/>
      </c>
      <c r="B618" s="117" t="s">
        <v>157</v>
      </c>
      <c r="C618" s="117" t="s">
        <v>105</v>
      </c>
      <c r="D618" s="117" t="s">
        <v>124</v>
      </c>
      <c r="E618" s="117" t="n">
        <v>711491</v>
      </c>
      <c r="F618" s="117" t="s">
        <v>159</v>
      </c>
      <c r="G618" s="117" t="n">
        <v>4490</v>
      </c>
      <c r="H618" s="117" t="n">
        <v>2</v>
      </c>
      <c r="I618" s="393" t="n">
        <v>43385.59930555556</v>
      </c>
      <c r="J618" s="3" t="s">
        <v>40</v>
      </c>
      <c r="K618" s="171">
        <f>VLOOKUP(D618,Base!D:E,2,0)</f>
        <v/>
      </c>
    </row>
    <row customHeight="1" ht="15" r="619" s="183" spans="1:15">
      <c r="A619" s="37">
        <f>E619</f>
        <v/>
      </c>
      <c r="B619" s="117" t="s">
        <v>157</v>
      </c>
      <c r="C619" s="117" t="s">
        <v>105</v>
      </c>
      <c r="D619" s="117" t="s">
        <v>125</v>
      </c>
      <c r="E619" s="117" t="n">
        <v>711491</v>
      </c>
      <c r="F619" s="117" t="s">
        <v>159</v>
      </c>
      <c r="G619" s="117" t="n">
        <v>3990</v>
      </c>
      <c r="H619" s="117" t="n">
        <v>2</v>
      </c>
      <c r="I619" s="393" t="n">
        <v>43385.60138888889</v>
      </c>
      <c r="J619" s="3" t="s">
        <v>40</v>
      </c>
      <c r="K619" s="171">
        <f>VLOOKUP(D619,Base!D:E,2,0)</f>
        <v/>
      </c>
    </row>
    <row customHeight="1" ht="15" r="620" s="183" spans="1:15">
      <c r="A620" s="37">
        <f>E620</f>
        <v/>
      </c>
      <c r="B620" s="117" t="s">
        <v>157</v>
      </c>
      <c r="C620" s="117" t="s">
        <v>105</v>
      </c>
      <c r="D620" s="117" t="s">
        <v>126</v>
      </c>
      <c r="E620" s="117" t="n">
        <v>711491</v>
      </c>
      <c r="F620" s="117" t="s">
        <v>159</v>
      </c>
      <c r="G620" s="117" t="n">
        <v>3990</v>
      </c>
      <c r="H620" s="117" t="n">
        <v>2</v>
      </c>
      <c r="I620" s="393" t="n">
        <v>43385.59930555556</v>
      </c>
      <c r="J620" s="3" t="s">
        <v>40</v>
      </c>
      <c r="K620" s="171">
        <f>VLOOKUP(D620,Base!D:E,2,0)</f>
        <v/>
      </c>
    </row>
    <row customHeight="1" ht="15" r="621" s="183" spans="1:15">
      <c r="A621" s="37">
        <f>E621</f>
        <v/>
      </c>
      <c r="B621" s="117" t="s">
        <v>157</v>
      </c>
      <c r="C621" s="117" t="s">
        <v>105</v>
      </c>
      <c r="D621" s="117" t="s">
        <v>127</v>
      </c>
      <c r="E621" s="117" t="n">
        <v>711491</v>
      </c>
      <c r="F621" s="117" t="s">
        <v>159</v>
      </c>
      <c r="G621" s="117" t="n">
        <v>4990</v>
      </c>
      <c r="H621" s="117" t="n">
        <v>4</v>
      </c>
      <c r="I621" s="393" t="n">
        <v>43385.59930555556</v>
      </c>
      <c r="J621" s="3" t="s">
        <v>40</v>
      </c>
      <c r="K621" s="171">
        <f>VLOOKUP(D621,Base!D:E,2,0)</f>
        <v/>
      </c>
    </row>
    <row customHeight="1" ht="15" r="622" s="183" spans="1:15">
      <c r="A622" s="37">
        <f>E622</f>
        <v/>
      </c>
      <c r="B622" s="117" t="s">
        <v>157</v>
      </c>
      <c r="C622" s="117" t="s">
        <v>105</v>
      </c>
      <c r="D622" s="117" t="s">
        <v>128</v>
      </c>
      <c r="E622" s="117" t="n">
        <v>711491</v>
      </c>
      <c r="F622" s="117" t="s">
        <v>159</v>
      </c>
      <c r="G622" s="117" t="n">
        <v>3990</v>
      </c>
      <c r="H622" s="117" t="n">
        <v>2</v>
      </c>
      <c r="I622" s="393" t="n">
        <v>43385.6</v>
      </c>
      <c r="J622" s="3" t="s">
        <v>40</v>
      </c>
      <c r="K622" s="171">
        <f>VLOOKUP(D622,Base!D:E,2,0)</f>
        <v/>
      </c>
    </row>
    <row customHeight="1" ht="15" r="623" s="183" spans="1:15">
      <c r="A623" s="37">
        <f>E623</f>
        <v/>
      </c>
      <c r="B623" s="117" t="s">
        <v>157</v>
      </c>
      <c r="C623" s="117" t="s">
        <v>105</v>
      </c>
      <c r="D623" s="117" t="s">
        <v>129</v>
      </c>
      <c r="E623" s="117" t="n">
        <v>711491</v>
      </c>
      <c r="F623" s="117" t="s">
        <v>159</v>
      </c>
      <c r="G623" s="117" t="n">
        <v>4890</v>
      </c>
      <c r="H623" s="117" t="n">
        <v>4</v>
      </c>
      <c r="I623" s="393" t="n">
        <v>43385.60277777778</v>
      </c>
      <c r="J623" s="3" t="s">
        <v>40</v>
      </c>
      <c r="K623" s="171">
        <f>VLOOKUP(D623,Base!D:E,2,0)</f>
        <v/>
      </c>
    </row>
    <row customHeight="1" ht="15" r="624" s="183" spans="1:15">
      <c r="A624" s="37">
        <f>E624</f>
        <v/>
      </c>
      <c r="B624" s="117" t="s">
        <v>157</v>
      </c>
      <c r="C624" s="117" t="s">
        <v>105</v>
      </c>
      <c r="D624" s="117" t="s">
        <v>130</v>
      </c>
      <c r="E624" s="117" t="n">
        <v>711491</v>
      </c>
      <c r="F624" s="117" t="s">
        <v>159</v>
      </c>
      <c r="G624" s="117" t="n">
        <v>4490</v>
      </c>
      <c r="H624" s="117" t="n">
        <v>4</v>
      </c>
      <c r="I624" s="393" t="n">
        <v>43385.59930555556</v>
      </c>
      <c r="J624" s="3" t="s">
        <v>40</v>
      </c>
      <c r="K624" s="171">
        <f>VLOOKUP(D624,Base!D:E,2,0)</f>
        <v/>
      </c>
    </row>
    <row customHeight="1" ht="15" r="625" s="183" spans="1:15">
      <c r="A625" s="37">
        <f>E625</f>
        <v/>
      </c>
      <c r="B625" s="117" t="s">
        <v>157</v>
      </c>
      <c r="C625" s="117" t="s">
        <v>105</v>
      </c>
      <c r="D625" s="117" t="s">
        <v>131</v>
      </c>
      <c r="E625" s="117" t="n">
        <v>711491</v>
      </c>
      <c r="F625" s="117" t="s">
        <v>159</v>
      </c>
      <c r="G625" s="117" t="n">
        <v>4490</v>
      </c>
      <c r="H625" s="117" t="n">
        <v>2</v>
      </c>
      <c r="I625" s="393" t="n">
        <v>43385.59930555556</v>
      </c>
      <c r="J625" s="3" t="s">
        <v>40</v>
      </c>
      <c r="K625" s="171">
        <f>VLOOKUP(D625,Base!D:E,2,0)</f>
        <v/>
      </c>
    </row>
    <row customHeight="1" ht="15" r="626" s="183" spans="1:15">
      <c r="A626" s="37">
        <f>E626</f>
        <v/>
      </c>
      <c r="B626" s="117" t="s">
        <v>157</v>
      </c>
      <c r="C626" s="117" t="s">
        <v>105</v>
      </c>
      <c r="D626" s="117" t="s">
        <v>132</v>
      </c>
      <c r="E626" s="117" t="n">
        <v>711491</v>
      </c>
      <c r="F626" s="117" t="s">
        <v>159</v>
      </c>
      <c r="G626" s="117" t="n">
        <v>4890</v>
      </c>
      <c r="H626" s="117" t="n">
        <v>4</v>
      </c>
      <c r="I626" s="393" t="n">
        <v>43385.6</v>
      </c>
      <c r="J626" s="3" t="s">
        <v>40</v>
      </c>
      <c r="K626" s="171">
        <f>VLOOKUP(D626,Base!D:E,2,0)</f>
        <v/>
      </c>
    </row>
    <row customHeight="1" ht="15" r="627" s="183" spans="1:15">
      <c r="A627" s="37">
        <f>E627</f>
        <v/>
      </c>
      <c r="B627" s="117" t="s">
        <v>157</v>
      </c>
      <c r="C627" s="117" t="s">
        <v>105</v>
      </c>
      <c r="D627" s="117" t="s">
        <v>133</v>
      </c>
      <c r="E627" s="117" t="n">
        <v>711491</v>
      </c>
      <c r="F627" s="117" t="s">
        <v>159</v>
      </c>
      <c r="G627" s="117" t="n">
        <v>3990</v>
      </c>
      <c r="H627" s="117" t="n">
        <v>2</v>
      </c>
      <c r="I627" s="393" t="n">
        <v>43385.60138888889</v>
      </c>
      <c r="J627" s="3" t="s">
        <v>40</v>
      </c>
      <c r="K627" s="171">
        <f>VLOOKUP(D627,Base!D:E,2,0)</f>
        <v/>
      </c>
    </row>
    <row customHeight="1" ht="15" r="628" s="183" spans="1:15">
      <c r="A628" s="37">
        <f>E628</f>
        <v/>
      </c>
      <c r="B628" s="117" t="s">
        <v>157</v>
      </c>
      <c r="C628" s="117" t="s">
        <v>105</v>
      </c>
      <c r="D628" s="117" t="s">
        <v>134</v>
      </c>
      <c r="E628" s="117" t="n">
        <v>711491</v>
      </c>
      <c r="F628" s="117" t="s">
        <v>159</v>
      </c>
      <c r="G628" s="117" t="n">
        <v>3990</v>
      </c>
      <c r="H628" s="117" t="n">
        <v>2</v>
      </c>
      <c r="I628" s="393" t="n">
        <v>43385.59930555556</v>
      </c>
      <c r="J628" s="3" t="s">
        <v>40</v>
      </c>
      <c r="K628" s="171">
        <f>VLOOKUP(D628,Base!D:E,2,0)</f>
        <v/>
      </c>
    </row>
    <row customHeight="1" ht="15" r="629" s="183" spans="1:15">
      <c r="A629" s="37">
        <f>E629</f>
        <v/>
      </c>
      <c r="B629" s="117" t="s">
        <v>157</v>
      </c>
      <c r="C629" s="117" t="s">
        <v>105</v>
      </c>
      <c r="D629" s="117" t="s">
        <v>135</v>
      </c>
      <c r="E629" s="117" t="n">
        <v>711491</v>
      </c>
      <c r="F629" s="117" t="s">
        <v>159</v>
      </c>
      <c r="G629" s="117" t="n">
        <v>4490</v>
      </c>
      <c r="H629" s="117" t="n">
        <v>2</v>
      </c>
      <c r="I629" s="393" t="n">
        <v>43385.59930555556</v>
      </c>
      <c r="J629" s="3" t="s">
        <v>40</v>
      </c>
      <c r="K629" s="171">
        <f>VLOOKUP(D629,Base!D:E,2,0)</f>
        <v/>
      </c>
    </row>
    <row customHeight="1" ht="15" r="630" s="183" spans="1:15">
      <c r="A630" s="37">
        <f>E630</f>
        <v/>
      </c>
      <c r="B630" s="117" t="s">
        <v>157</v>
      </c>
      <c r="C630" s="117" t="s">
        <v>105</v>
      </c>
      <c r="D630" s="117" t="s">
        <v>136</v>
      </c>
      <c r="E630" s="117" t="n">
        <v>711491</v>
      </c>
      <c r="F630" s="117" t="s">
        <v>159</v>
      </c>
      <c r="G630" s="117" t="n">
        <v>4490</v>
      </c>
      <c r="H630" s="117" t="n">
        <v>2</v>
      </c>
      <c r="I630" s="393" t="n">
        <v>43385.6</v>
      </c>
      <c r="J630" s="3" t="s">
        <v>40</v>
      </c>
      <c r="K630" s="171">
        <f>VLOOKUP(D630,Base!D:E,2,0)</f>
        <v/>
      </c>
    </row>
    <row customHeight="1" ht="15" r="631" s="183" spans="1:15">
      <c r="A631" s="37">
        <f>E631</f>
        <v/>
      </c>
      <c r="B631" s="117" t="s">
        <v>157</v>
      </c>
      <c r="C631" s="117" t="s">
        <v>105</v>
      </c>
      <c r="D631" s="117" t="s">
        <v>137</v>
      </c>
      <c r="E631" s="117" t="n">
        <v>711491</v>
      </c>
      <c r="F631" s="117" t="s">
        <v>159</v>
      </c>
      <c r="G631" s="117" t="n">
        <v>4490</v>
      </c>
      <c r="H631" s="117" t="n">
        <v>2</v>
      </c>
      <c r="I631" s="393" t="n">
        <v>43385.59930555556</v>
      </c>
      <c r="J631" s="3" t="s">
        <v>40</v>
      </c>
      <c r="K631" s="171">
        <f>VLOOKUP(D631,Base!D:E,2,0)</f>
        <v/>
      </c>
    </row>
    <row customHeight="1" ht="15" r="632" s="183" spans="1:15">
      <c r="A632" s="37">
        <f>E632</f>
        <v/>
      </c>
      <c r="B632" s="117" t="s">
        <v>157</v>
      </c>
      <c r="C632" s="117" t="s">
        <v>105</v>
      </c>
      <c r="D632" s="117" t="s">
        <v>138</v>
      </c>
      <c r="E632" s="117" t="n">
        <v>711491</v>
      </c>
      <c r="F632" s="117" t="s">
        <v>159</v>
      </c>
      <c r="G632" s="117" t="n">
        <v>4490</v>
      </c>
      <c r="H632" s="117" t="n">
        <v>2</v>
      </c>
      <c r="I632" s="393" t="n">
        <v>43385.60277777778</v>
      </c>
      <c r="J632" s="3" t="s">
        <v>40</v>
      </c>
      <c r="K632" s="171">
        <f>VLOOKUP(D632,Base!D:E,2,0)</f>
        <v/>
      </c>
    </row>
    <row customHeight="1" ht="15" r="633" s="183" spans="1:15">
      <c r="A633" s="37">
        <f>E633</f>
        <v/>
      </c>
      <c r="B633" s="117" t="s">
        <v>157</v>
      </c>
      <c r="C633" s="117" t="s">
        <v>105</v>
      </c>
      <c r="D633" s="117" t="s">
        <v>139</v>
      </c>
      <c r="E633" s="117" t="n">
        <v>711491</v>
      </c>
      <c r="F633" s="117" t="s">
        <v>159</v>
      </c>
      <c r="G633" s="117" t="n">
        <v>4490</v>
      </c>
      <c r="H633" s="117" t="n">
        <v>2</v>
      </c>
      <c r="I633" s="393" t="n">
        <v>43385.59930555556</v>
      </c>
      <c r="J633" s="3" t="s">
        <v>40</v>
      </c>
      <c r="K633" s="171">
        <f>VLOOKUP(D633,Base!D:E,2,0)</f>
        <v/>
      </c>
    </row>
    <row customHeight="1" ht="15" r="634" s="183" spans="1:15">
      <c r="A634" s="37">
        <f>E634</f>
        <v/>
      </c>
      <c r="B634" s="117" t="s">
        <v>157</v>
      </c>
      <c r="C634" s="117" t="s">
        <v>105</v>
      </c>
      <c r="D634" s="117" t="s">
        <v>140</v>
      </c>
      <c r="E634" s="117" t="n">
        <v>711491</v>
      </c>
      <c r="F634" s="117" t="s">
        <v>159</v>
      </c>
      <c r="G634" s="117" t="n">
        <v>4490</v>
      </c>
      <c r="H634" s="117" t="n">
        <v>2</v>
      </c>
      <c r="I634" s="393" t="n">
        <v>43385.59930555556</v>
      </c>
      <c r="J634" s="3" t="s">
        <v>40</v>
      </c>
      <c r="K634" s="171">
        <f>VLOOKUP(D634,Base!D:E,2,0)</f>
        <v/>
      </c>
    </row>
    <row customHeight="1" ht="15" r="635" s="183" spans="1:15">
      <c r="A635" s="37">
        <f>E635</f>
        <v/>
      </c>
      <c r="B635" s="117" t="s">
        <v>157</v>
      </c>
      <c r="C635" s="117" t="s">
        <v>105</v>
      </c>
      <c r="D635" s="117" t="s">
        <v>141</v>
      </c>
      <c r="E635" s="117" t="n">
        <v>711491</v>
      </c>
      <c r="F635" s="117" t="s">
        <v>159</v>
      </c>
      <c r="G635" s="117" t="n">
        <v>4490</v>
      </c>
      <c r="H635" s="117" t="n">
        <v>2</v>
      </c>
      <c r="I635" s="393" t="n">
        <v>43385.60277777778</v>
      </c>
      <c r="J635" s="3" t="s">
        <v>40</v>
      </c>
      <c r="K635" s="171">
        <f>VLOOKUP(D635,Base!D:E,2,0)</f>
        <v/>
      </c>
    </row>
    <row customHeight="1" ht="15" r="636" s="183" spans="1:15">
      <c r="A636" s="37">
        <f>E636</f>
        <v/>
      </c>
      <c r="B636" s="117" t="s">
        <v>157</v>
      </c>
      <c r="C636" s="117" t="s">
        <v>105</v>
      </c>
      <c r="D636" s="117" t="s">
        <v>142</v>
      </c>
      <c r="E636" s="117" t="n">
        <v>711491</v>
      </c>
      <c r="F636" s="117" t="s">
        <v>159</v>
      </c>
      <c r="G636" s="117" t="n">
        <v>4490</v>
      </c>
      <c r="H636" s="117" t="n">
        <v>2</v>
      </c>
      <c r="I636" s="393" t="n">
        <v>43385.60069444445</v>
      </c>
      <c r="J636" s="3" t="s">
        <v>40</v>
      </c>
      <c r="K636" s="171">
        <f>VLOOKUP(D636,Base!D:E,2,0)</f>
        <v/>
      </c>
    </row>
    <row customHeight="1" ht="15" r="637" s="183" spans="1:15">
      <c r="A637" s="37">
        <f>E637</f>
        <v/>
      </c>
      <c r="B637" s="117" t="s">
        <v>157</v>
      </c>
      <c r="C637" s="117" t="s">
        <v>105</v>
      </c>
      <c r="D637" s="117" t="s">
        <v>143</v>
      </c>
      <c r="E637" s="117" t="n">
        <v>711491</v>
      </c>
      <c r="F637" s="117" t="s">
        <v>159</v>
      </c>
      <c r="G637" s="117" t="n">
        <v>3990</v>
      </c>
      <c r="H637" s="117" t="n">
        <v>2</v>
      </c>
      <c r="I637" s="393" t="n">
        <v>43385.59861111111</v>
      </c>
      <c r="J637" s="3" t="s">
        <v>40</v>
      </c>
      <c r="K637" s="171">
        <f>VLOOKUP(D637,Base!D:E,2,0)</f>
        <v/>
      </c>
    </row>
    <row customHeight="1" ht="15" r="638" s="183" spans="1:15">
      <c r="A638" s="37">
        <f>E638</f>
        <v/>
      </c>
      <c r="B638" s="117" t="s">
        <v>157</v>
      </c>
      <c r="C638" s="117" t="s">
        <v>105</v>
      </c>
      <c r="D638" s="117" t="s">
        <v>144</v>
      </c>
      <c r="E638" s="117" t="n">
        <v>711491</v>
      </c>
      <c r="F638" s="117" t="s">
        <v>159</v>
      </c>
      <c r="G638" s="117" t="n">
        <v>4490</v>
      </c>
      <c r="H638" s="117" t="n">
        <v>2</v>
      </c>
      <c r="I638" s="393" t="n">
        <v>43385.59930555556</v>
      </c>
      <c r="J638" s="3" t="s">
        <v>40</v>
      </c>
      <c r="K638" s="171">
        <f>VLOOKUP(D638,Base!D:E,2,0)</f>
        <v/>
      </c>
    </row>
    <row customHeight="1" ht="15" r="639" s="183" spans="1:15">
      <c r="A639" s="37">
        <f>E639</f>
        <v/>
      </c>
      <c r="B639" s="117" t="s">
        <v>157</v>
      </c>
      <c r="C639" s="117" t="s">
        <v>105</v>
      </c>
      <c r="D639" s="117" t="s">
        <v>145</v>
      </c>
      <c r="E639" s="117" t="n">
        <v>711491</v>
      </c>
      <c r="F639" s="117" t="s">
        <v>159</v>
      </c>
      <c r="G639" s="117" t="n">
        <v>3990</v>
      </c>
      <c r="H639" s="117" t="n">
        <v>2</v>
      </c>
      <c r="I639" s="393" t="n">
        <v>43385.60138888889</v>
      </c>
      <c r="J639" s="3" t="s">
        <v>40</v>
      </c>
      <c r="K639" s="171">
        <f>VLOOKUP(D639,Base!D:E,2,0)</f>
        <v/>
      </c>
    </row>
    <row customHeight="1" ht="15" r="640" s="183" spans="1:15">
      <c r="A640" s="37">
        <f>E640</f>
        <v/>
      </c>
      <c r="B640" s="117" t="s">
        <v>157</v>
      </c>
      <c r="C640" s="117" t="s">
        <v>105</v>
      </c>
      <c r="D640" s="117" t="s">
        <v>146</v>
      </c>
      <c r="E640" s="117" t="n">
        <v>711491</v>
      </c>
      <c r="F640" s="117" t="s">
        <v>159</v>
      </c>
      <c r="G640" s="117" t="n">
        <v>4890</v>
      </c>
      <c r="H640" s="117" t="n">
        <v>4</v>
      </c>
      <c r="I640" s="393" t="n">
        <v>43385.59930555556</v>
      </c>
      <c r="J640" s="3" t="s">
        <v>40</v>
      </c>
      <c r="K640" s="171">
        <f>VLOOKUP(D640,Base!D:E,2,0)</f>
        <v/>
      </c>
    </row>
    <row customHeight="1" ht="15" r="641" s="183" spans="1:15">
      <c r="A641" s="37">
        <f>E641</f>
        <v/>
      </c>
      <c r="B641" s="117" t="s">
        <v>157</v>
      </c>
      <c r="C641" s="117" t="s">
        <v>105</v>
      </c>
      <c r="D641" s="117" t="s">
        <v>147</v>
      </c>
      <c r="E641" s="117" t="n">
        <v>711491</v>
      </c>
      <c r="F641" s="117" t="s">
        <v>159</v>
      </c>
      <c r="G641" s="117" t="n">
        <v>3990</v>
      </c>
      <c r="H641" s="117" t="n">
        <v>2</v>
      </c>
      <c r="I641" s="393" t="n">
        <v>43385.59930555556</v>
      </c>
      <c r="J641" s="3" t="s">
        <v>40</v>
      </c>
      <c r="K641" s="171">
        <f>VLOOKUP(D641,Base!D:E,2,0)</f>
        <v/>
      </c>
    </row>
    <row customHeight="1" ht="15" r="642" s="183" spans="1:15">
      <c r="A642" s="37">
        <f>E642</f>
        <v/>
      </c>
      <c r="B642" s="117" t="s">
        <v>157</v>
      </c>
      <c r="C642" s="117" t="s">
        <v>36</v>
      </c>
      <c r="D642" s="117" t="s">
        <v>37</v>
      </c>
      <c r="E642" s="117" t="n">
        <v>515793</v>
      </c>
      <c r="F642" s="117" t="s">
        <v>160</v>
      </c>
      <c r="G642" s="117" t="n">
        <v>39990</v>
      </c>
      <c r="H642" s="117" t="n">
        <v>8</v>
      </c>
      <c r="I642" s="393" t="n">
        <v>43385.59861111111</v>
      </c>
      <c r="J642" s="3" t="s">
        <v>154</v>
      </c>
      <c r="K642" s="171">
        <f>VLOOKUP(D642,Base!D:E,2,0)</f>
        <v/>
      </c>
    </row>
    <row customHeight="1" ht="15" r="643" s="183" spans="1:15">
      <c r="A643" s="37">
        <f>E643</f>
        <v/>
      </c>
      <c r="B643" s="117" t="s">
        <v>157</v>
      </c>
      <c r="C643" s="117" t="s">
        <v>36</v>
      </c>
      <c r="D643" s="117" t="s">
        <v>42</v>
      </c>
      <c r="E643" s="117" t="n">
        <v>515793</v>
      </c>
      <c r="F643" s="117" t="s">
        <v>160</v>
      </c>
      <c r="G643" s="117" t="n">
        <v>39990</v>
      </c>
      <c r="H643" s="117" t="n">
        <v>8</v>
      </c>
      <c r="I643" s="393" t="n">
        <v>43385.60347222222</v>
      </c>
      <c r="J643" s="3" t="s">
        <v>154</v>
      </c>
      <c r="K643" s="171">
        <f>VLOOKUP(D643,Base!D:E,2,0)</f>
        <v/>
      </c>
    </row>
    <row customHeight="1" ht="15" r="644" s="183" spans="1:15">
      <c r="A644" s="37">
        <f>E644</f>
        <v/>
      </c>
      <c r="B644" s="117" t="s">
        <v>157</v>
      </c>
      <c r="C644" s="117" t="s">
        <v>44</v>
      </c>
      <c r="D644" s="117" t="s">
        <v>45</v>
      </c>
      <c r="E644" s="117" t="n">
        <v>515793</v>
      </c>
      <c r="F644" s="117" t="s">
        <v>160</v>
      </c>
      <c r="G644" s="117" t="n">
        <v>39990</v>
      </c>
      <c r="H644" s="117" t="n">
        <v>10</v>
      </c>
      <c r="I644" s="393" t="n">
        <v>43385.59930555556</v>
      </c>
      <c r="J644" s="3" t="s">
        <v>154</v>
      </c>
      <c r="K644" s="171">
        <f>VLOOKUP(D644,Base!D:E,2,0)</f>
        <v/>
      </c>
    </row>
    <row customHeight="1" ht="15" r="645" s="183" spans="1:15">
      <c r="A645" s="37">
        <f>E645</f>
        <v/>
      </c>
      <c r="B645" s="117" t="s">
        <v>157</v>
      </c>
      <c r="C645" s="117" t="s">
        <v>46</v>
      </c>
      <c r="D645" s="117" t="s">
        <v>47</v>
      </c>
      <c r="E645" s="117" t="n">
        <v>515793</v>
      </c>
      <c r="F645" s="117" t="s">
        <v>160</v>
      </c>
      <c r="G645" s="117" t="n">
        <v>29990</v>
      </c>
      <c r="H645" s="117" t="n">
        <v>7</v>
      </c>
      <c r="I645" s="393" t="n">
        <v>43385.60208333333</v>
      </c>
      <c r="J645" s="3" t="s">
        <v>154</v>
      </c>
      <c r="K645" s="171">
        <f>VLOOKUP(D645,Base!D:E,2,0)</f>
        <v/>
      </c>
    </row>
    <row customHeight="1" ht="15" r="646" s="183" spans="1:15">
      <c r="A646" s="37">
        <f>E646</f>
        <v/>
      </c>
      <c r="B646" s="117" t="s">
        <v>157</v>
      </c>
      <c r="C646" s="117" t="s">
        <v>46</v>
      </c>
      <c r="D646" s="117" t="s">
        <v>48</v>
      </c>
      <c r="E646" s="117" t="n">
        <v>515793</v>
      </c>
      <c r="F646" s="117" t="s">
        <v>160</v>
      </c>
      <c r="G646" s="117" t="n">
        <v>34990</v>
      </c>
      <c r="H646" s="117" t="n">
        <v>12</v>
      </c>
      <c r="I646" s="393" t="n">
        <v>43385.60416666666</v>
      </c>
      <c r="J646" s="3" t="s">
        <v>154</v>
      </c>
      <c r="K646" s="171">
        <f>VLOOKUP(D646,Base!D:E,2,0)</f>
        <v/>
      </c>
    </row>
    <row customHeight="1" ht="15" r="647" s="183" spans="1:15">
      <c r="A647" s="37">
        <f>E647</f>
        <v/>
      </c>
      <c r="B647" s="117" t="s">
        <v>157</v>
      </c>
      <c r="C647" s="117" t="s">
        <v>51</v>
      </c>
      <c r="D647" s="117" t="s">
        <v>52</v>
      </c>
      <c r="E647" s="117" t="n">
        <v>515793</v>
      </c>
      <c r="F647" s="117" t="s">
        <v>160</v>
      </c>
      <c r="G647" s="117" t="n">
        <v>19990</v>
      </c>
      <c r="H647" s="117" t="n">
        <v>6</v>
      </c>
      <c r="I647" s="393" t="n">
        <v>43385.59930555556</v>
      </c>
      <c r="J647" s="3" t="s">
        <v>154</v>
      </c>
      <c r="K647" s="171">
        <f>VLOOKUP(D647,Base!D:E,2,0)</f>
        <v/>
      </c>
    </row>
    <row customHeight="1" ht="15" r="648" s="183" spans="1:15">
      <c r="A648" s="37">
        <f>E648</f>
        <v/>
      </c>
      <c r="B648" s="117" t="s">
        <v>157</v>
      </c>
      <c r="C648" s="117" t="s">
        <v>51</v>
      </c>
      <c r="D648" s="117" t="s">
        <v>53</v>
      </c>
      <c r="E648" s="117" t="n">
        <v>515793</v>
      </c>
      <c r="F648" s="117" t="s">
        <v>160</v>
      </c>
      <c r="G648" s="117" t="n">
        <v>19990</v>
      </c>
      <c r="H648" s="117" t="n">
        <v>7</v>
      </c>
      <c r="I648" s="393" t="n">
        <v>43385.60416666666</v>
      </c>
      <c r="J648" s="3" t="s">
        <v>154</v>
      </c>
      <c r="K648" s="171">
        <f>VLOOKUP(D648,Base!D:E,2,0)</f>
        <v/>
      </c>
    </row>
    <row customHeight="1" ht="15" r="649" s="183" spans="1:15">
      <c r="A649" s="37">
        <f>E649</f>
        <v/>
      </c>
      <c r="B649" s="117" t="s">
        <v>157</v>
      </c>
      <c r="C649" s="117" t="s">
        <v>51</v>
      </c>
      <c r="D649" s="117" t="s">
        <v>54</v>
      </c>
      <c r="E649" s="117" t="n">
        <v>515793</v>
      </c>
      <c r="F649" s="117" t="s">
        <v>160</v>
      </c>
      <c r="G649" s="117" t="n">
        <v>19990</v>
      </c>
      <c r="H649" s="117" t="n">
        <v>6</v>
      </c>
      <c r="I649" s="393" t="n">
        <v>43385.59930555556</v>
      </c>
      <c r="J649" s="3" t="s">
        <v>154</v>
      </c>
      <c r="K649" s="171">
        <f>VLOOKUP(D649,Base!D:E,2,0)</f>
        <v/>
      </c>
    </row>
    <row customHeight="1" ht="15" r="650" s="183" spans="1:15">
      <c r="A650" s="37">
        <f>E650</f>
        <v/>
      </c>
      <c r="B650" s="117" t="s">
        <v>157</v>
      </c>
      <c r="C650" s="117" t="s">
        <v>51</v>
      </c>
      <c r="D650" s="117" t="s">
        <v>55</v>
      </c>
      <c r="E650" s="117" t="n">
        <v>515793</v>
      </c>
      <c r="F650" s="117" t="s">
        <v>160</v>
      </c>
      <c r="G650" s="117" t="n">
        <v>19990</v>
      </c>
      <c r="H650" s="117" t="n">
        <v>7</v>
      </c>
      <c r="I650" s="393" t="n">
        <v>43385.60555555556</v>
      </c>
      <c r="J650" s="3" t="s">
        <v>154</v>
      </c>
      <c r="K650" s="171">
        <f>VLOOKUP(D650,Base!D:E,2,0)</f>
        <v/>
      </c>
    </row>
    <row customHeight="1" ht="15" r="651" s="183" spans="1:15">
      <c r="A651" s="37">
        <f>E651</f>
        <v/>
      </c>
      <c r="B651" s="117" t="s">
        <v>157</v>
      </c>
      <c r="C651" s="117" t="s">
        <v>51</v>
      </c>
      <c r="D651" s="117" t="s">
        <v>56</v>
      </c>
      <c r="E651" s="117" t="n">
        <v>515793</v>
      </c>
      <c r="F651" s="117" t="s">
        <v>160</v>
      </c>
      <c r="G651" s="117" t="n">
        <v>21990</v>
      </c>
      <c r="H651" s="117" t="n">
        <v>6</v>
      </c>
      <c r="I651" s="393" t="n">
        <v>43385.60347222222</v>
      </c>
      <c r="J651" s="3" t="s">
        <v>154</v>
      </c>
      <c r="K651" s="171">
        <f>VLOOKUP(D651,Base!D:E,2,0)</f>
        <v/>
      </c>
    </row>
    <row customHeight="1" ht="15" r="652" s="183" spans="1:15">
      <c r="A652" s="37">
        <f>E652</f>
        <v/>
      </c>
      <c r="B652" s="117" t="s">
        <v>157</v>
      </c>
      <c r="C652" s="117" t="s">
        <v>51</v>
      </c>
      <c r="D652" s="117" t="s">
        <v>57</v>
      </c>
      <c r="E652" s="117" t="n">
        <v>515793</v>
      </c>
      <c r="F652" s="117" t="s">
        <v>160</v>
      </c>
      <c r="G652" s="117" t="n">
        <v>19990</v>
      </c>
      <c r="H652" s="117" t="n">
        <v>7</v>
      </c>
      <c r="I652" s="393" t="n">
        <v>43385.60347222222</v>
      </c>
      <c r="J652" s="3" t="s">
        <v>154</v>
      </c>
      <c r="K652" s="171">
        <f>VLOOKUP(D652,Base!D:E,2,0)</f>
        <v/>
      </c>
    </row>
    <row customHeight="1" ht="15" r="653" s="183" spans="1:15">
      <c r="A653" s="37">
        <f>E653</f>
        <v/>
      </c>
      <c r="B653" s="117" t="s">
        <v>157</v>
      </c>
      <c r="C653" s="117" t="s">
        <v>58</v>
      </c>
      <c r="D653" s="117" t="s">
        <v>59</v>
      </c>
      <c r="E653" s="117" t="n">
        <v>515793</v>
      </c>
      <c r="F653" s="117" t="s">
        <v>160</v>
      </c>
      <c r="G653" s="117" t="n">
        <v>15990</v>
      </c>
      <c r="H653" s="117" t="n">
        <v>11</v>
      </c>
      <c r="I653" s="393" t="n">
        <v>43385.60625</v>
      </c>
      <c r="J653" s="3" t="s">
        <v>154</v>
      </c>
      <c r="K653" s="171">
        <f>VLOOKUP(D653,Base!D:E,2,0)</f>
        <v/>
      </c>
    </row>
    <row customHeight="1" ht="15" r="654" s="183" spans="1:15">
      <c r="A654" s="37">
        <f>E654</f>
        <v/>
      </c>
      <c r="B654" s="117" t="s">
        <v>157</v>
      </c>
      <c r="C654" s="117" t="s">
        <v>58</v>
      </c>
      <c r="D654" s="117" t="s">
        <v>60</v>
      </c>
      <c r="E654" s="117" t="n">
        <v>515793</v>
      </c>
      <c r="F654" s="117" t="s">
        <v>160</v>
      </c>
      <c r="G654" s="117" t="n">
        <v>15990</v>
      </c>
      <c r="H654" s="117" t="n">
        <v>18</v>
      </c>
      <c r="I654" s="393" t="n">
        <v>43385.60486111111</v>
      </c>
      <c r="J654" s="3" t="s">
        <v>154</v>
      </c>
      <c r="K654" s="171">
        <f>VLOOKUP(D654,Base!D:E,2,0)</f>
        <v/>
      </c>
    </row>
    <row customHeight="1" ht="15" r="655" s="183" spans="1:15">
      <c r="A655" s="37">
        <f>E655</f>
        <v/>
      </c>
      <c r="B655" s="117" t="s">
        <v>157</v>
      </c>
      <c r="C655" s="117" t="s">
        <v>58</v>
      </c>
      <c r="D655" s="117" t="s">
        <v>61</v>
      </c>
      <c r="E655" s="117" t="n">
        <v>515793</v>
      </c>
      <c r="F655" s="117" t="s">
        <v>160</v>
      </c>
      <c r="G655" s="117" t="n">
        <v>15990</v>
      </c>
      <c r="H655" s="117" t="n">
        <v>6</v>
      </c>
      <c r="I655" s="393" t="n">
        <v>43385.60347222222</v>
      </c>
      <c r="J655" s="3" t="s">
        <v>154</v>
      </c>
      <c r="K655" s="171">
        <f>VLOOKUP(D655,Base!D:E,2,0)</f>
        <v/>
      </c>
    </row>
    <row customHeight="1" ht="15" r="656" s="183" spans="1:15">
      <c r="A656" s="37">
        <f>E656</f>
        <v/>
      </c>
      <c r="B656" s="117" t="s">
        <v>157</v>
      </c>
      <c r="C656" s="117" t="s">
        <v>58</v>
      </c>
      <c r="D656" s="117" t="s">
        <v>62</v>
      </c>
      <c r="E656" s="117" t="n">
        <v>515793</v>
      </c>
      <c r="F656" s="117" t="s">
        <v>160</v>
      </c>
      <c r="G656" s="117" t="n">
        <v>15990</v>
      </c>
      <c r="H656" s="117" t="n">
        <v>10</v>
      </c>
      <c r="I656" s="393" t="n">
        <v>43385.60625</v>
      </c>
      <c r="J656" s="3" t="s">
        <v>154</v>
      </c>
      <c r="K656" s="171">
        <f>VLOOKUP(D656,Base!D:E,2,0)</f>
        <v/>
      </c>
    </row>
    <row customHeight="1" ht="15" r="657" s="183" spans="1:15">
      <c r="A657" s="37">
        <f>E657</f>
        <v/>
      </c>
      <c r="B657" s="117" t="s">
        <v>157</v>
      </c>
      <c r="C657" s="117" t="s">
        <v>63</v>
      </c>
      <c r="D657" s="117" t="s">
        <v>64</v>
      </c>
      <c r="E657" s="117" t="n">
        <v>515793</v>
      </c>
      <c r="F657" s="117" t="s">
        <v>160</v>
      </c>
      <c r="G657" s="117" t="n">
        <v>29990</v>
      </c>
      <c r="H657" s="117" t="n">
        <v>11</v>
      </c>
      <c r="I657" s="393" t="n">
        <v>43385.60555555556</v>
      </c>
      <c r="J657" s="3" t="s">
        <v>154</v>
      </c>
      <c r="K657" s="171">
        <f>VLOOKUP(D657,Base!D:E,2,0)</f>
        <v/>
      </c>
    </row>
    <row customHeight="1" ht="15" r="658" s="183" spans="1:15">
      <c r="A658" s="37">
        <f>E658</f>
        <v/>
      </c>
      <c r="B658" s="117" t="s">
        <v>157</v>
      </c>
      <c r="C658" s="117" t="s">
        <v>63</v>
      </c>
      <c r="D658" s="117" t="s">
        <v>65</v>
      </c>
      <c r="E658" s="117" t="n">
        <v>515793</v>
      </c>
      <c r="F658" s="117" t="s">
        <v>160</v>
      </c>
      <c r="G658" s="117" t="n">
        <v>29990</v>
      </c>
      <c r="H658" s="117" t="n">
        <v>7</v>
      </c>
      <c r="I658" s="393" t="n">
        <v>43385.60486111111</v>
      </c>
      <c r="J658" s="3" t="s">
        <v>154</v>
      </c>
      <c r="K658" s="171">
        <f>VLOOKUP(D658,Base!D:E,2,0)</f>
        <v/>
      </c>
    </row>
    <row customHeight="1" ht="15" r="659" s="183" spans="1:15">
      <c r="A659" s="37">
        <f>E659</f>
        <v/>
      </c>
      <c r="B659" s="117" t="s">
        <v>157</v>
      </c>
      <c r="C659" s="117" t="s">
        <v>63</v>
      </c>
      <c r="D659" s="117" t="s">
        <v>66</v>
      </c>
      <c r="E659" s="117" t="n">
        <v>515793</v>
      </c>
      <c r="F659" s="117" t="s">
        <v>160</v>
      </c>
      <c r="G659" s="117" t="n">
        <v>29990</v>
      </c>
      <c r="H659" s="117" t="n">
        <v>7</v>
      </c>
      <c r="I659" s="393" t="n">
        <v>43385.60277777778</v>
      </c>
      <c r="J659" s="3" t="s">
        <v>154</v>
      </c>
      <c r="K659" s="171">
        <f>VLOOKUP(D659,Base!D:E,2,0)</f>
        <v/>
      </c>
    </row>
    <row customHeight="1" ht="15" r="660" s="183" spans="1:15">
      <c r="A660" s="37">
        <f>E660</f>
        <v/>
      </c>
      <c r="B660" s="117" t="s">
        <v>157</v>
      </c>
      <c r="C660" s="117" t="s">
        <v>63</v>
      </c>
      <c r="D660" s="117" t="s">
        <v>67</v>
      </c>
      <c r="E660" s="117" t="n">
        <v>515793</v>
      </c>
      <c r="F660" s="117" t="s">
        <v>160</v>
      </c>
      <c r="G660" s="117" t="n">
        <v>29990</v>
      </c>
      <c r="H660" s="117" t="n">
        <v>7</v>
      </c>
      <c r="I660" s="393" t="n">
        <v>43385.60625</v>
      </c>
      <c r="J660" s="3" t="s">
        <v>154</v>
      </c>
      <c r="K660" s="171">
        <f>VLOOKUP(D660,Base!D:E,2,0)</f>
        <v/>
      </c>
    </row>
    <row customHeight="1" ht="15" r="661" s="183" spans="1:15">
      <c r="A661" s="37">
        <f>E661</f>
        <v/>
      </c>
      <c r="B661" s="117" t="s">
        <v>157</v>
      </c>
      <c r="C661" s="117" t="s">
        <v>68</v>
      </c>
      <c r="D661" s="117" t="s">
        <v>69</v>
      </c>
      <c r="E661" s="117" t="n">
        <v>515793</v>
      </c>
      <c r="F661" s="117" t="s">
        <v>160</v>
      </c>
      <c r="G661" s="117" t="n">
        <v>29990</v>
      </c>
      <c r="H661" s="117" t="n">
        <v>11</v>
      </c>
      <c r="I661" s="393" t="n">
        <v>43385.60486111111</v>
      </c>
      <c r="J661" s="3" t="s">
        <v>154</v>
      </c>
      <c r="K661" s="171">
        <f>VLOOKUP(D661,Base!D:E,2,0)</f>
        <v/>
      </c>
    </row>
    <row customHeight="1" ht="15" r="662" s="183" spans="1:15">
      <c r="A662" s="37">
        <f>E662</f>
        <v/>
      </c>
      <c r="B662" s="117" t="s">
        <v>157</v>
      </c>
      <c r="C662" s="117" t="s">
        <v>68</v>
      </c>
      <c r="D662" s="117" t="s">
        <v>70</v>
      </c>
      <c r="E662" s="117" t="n">
        <v>515793</v>
      </c>
      <c r="F662" s="117" t="s">
        <v>160</v>
      </c>
      <c r="G662" s="117" t="n">
        <v>29990</v>
      </c>
      <c r="H662" s="117" t="n">
        <v>10</v>
      </c>
      <c r="I662" s="393" t="n">
        <v>43385.59930555556</v>
      </c>
      <c r="J662" s="3" t="s">
        <v>154</v>
      </c>
      <c r="K662" s="171">
        <f>VLOOKUP(D662,Base!D:E,2,0)</f>
        <v/>
      </c>
    </row>
    <row customHeight="1" ht="15" r="663" s="183" spans="1:15">
      <c r="A663" s="37">
        <f>E663</f>
        <v/>
      </c>
      <c r="B663" s="117" t="s">
        <v>157</v>
      </c>
      <c r="C663" s="120" t="s">
        <v>73</v>
      </c>
      <c r="D663" s="120" t="s">
        <v>74</v>
      </c>
      <c r="E663" s="117" t="n">
        <v>515793</v>
      </c>
      <c r="F663" s="117" t="s">
        <v>160</v>
      </c>
      <c r="G663" s="117" t="n">
        <v>39990</v>
      </c>
      <c r="H663" s="117" t="n">
        <v>10</v>
      </c>
      <c r="I663" s="393" t="n">
        <v>43385.59930555556</v>
      </c>
      <c r="J663" s="3" t="s">
        <v>154</v>
      </c>
      <c r="K663" s="171">
        <f>VLOOKUP(D663,Base!D:E,2,0)</f>
        <v/>
      </c>
    </row>
    <row customHeight="1" ht="15" r="664" s="183" spans="1:15">
      <c r="A664" s="37">
        <f>E664</f>
        <v/>
      </c>
      <c r="B664" s="117" t="s">
        <v>157</v>
      </c>
      <c r="C664" s="117" t="s">
        <v>75</v>
      </c>
      <c r="D664" s="117" t="s">
        <v>76</v>
      </c>
      <c r="E664" s="117" t="n">
        <v>515793</v>
      </c>
      <c r="F664" s="117" t="s">
        <v>160</v>
      </c>
      <c r="G664" s="117" t="n">
        <v>10990</v>
      </c>
      <c r="H664" s="117" t="n">
        <v>4</v>
      </c>
      <c r="I664" s="393" t="n">
        <v>43385.60555555556</v>
      </c>
      <c r="J664" s="3" t="s">
        <v>154</v>
      </c>
      <c r="K664" s="171">
        <f>VLOOKUP(D664,Base!D:E,2,0)</f>
        <v/>
      </c>
    </row>
    <row customHeight="1" ht="15" r="665" s="183" spans="1:15">
      <c r="A665" s="37">
        <f>E665</f>
        <v/>
      </c>
      <c r="B665" s="117" t="s">
        <v>157</v>
      </c>
      <c r="C665" s="117" t="s">
        <v>75</v>
      </c>
      <c r="D665" s="117" t="s">
        <v>77</v>
      </c>
      <c r="E665" s="117" t="n">
        <v>515793</v>
      </c>
      <c r="F665" s="117" t="s">
        <v>160</v>
      </c>
      <c r="G665" s="117" t="n">
        <v>10990</v>
      </c>
      <c r="H665" s="117" t="n">
        <v>6</v>
      </c>
      <c r="I665" s="393" t="n">
        <v>43385.60486111111</v>
      </c>
      <c r="J665" s="3" t="s">
        <v>154</v>
      </c>
      <c r="K665" s="171">
        <f>VLOOKUP(D665,Base!D:E,2,0)</f>
        <v/>
      </c>
    </row>
    <row customHeight="1" ht="15" r="666" s="183" spans="1:15">
      <c r="A666" s="37">
        <f>E666</f>
        <v/>
      </c>
      <c r="B666" s="117" t="s">
        <v>157</v>
      </c>
      <c r="C666" s="117" t="s">
        <v>75</v>
      </c>
      <c r="D666" s="117" t="s">
        <v>78</v>
      </c>
      <c r="E666" s="117" t="n">
        <v>515793</v>
      </c>
      <c r="F666" s="117" t="s">
        <v>160</v>
      </c>
      <c r="G666" s="117" t="n">
        <v>11890</v>
      </c>
      <c r="H666" s="117" t="n">
        <v>11</v>
      </c>
      <c r="I666" s="393" t="n">
        <v>43385.60347222222</v>
      </c>
      <c r="J666" s="3" t="s">
        <v>154</v>
      </c>
      <c r="K666" s="171">
        <f>VLOOKUP(D666,Base!D:E,2,0)</f>
        <v/>
      </c>
    </row>
    <row customHeight="1" ht="15" r="667" s="183" spans="1:15">
      <c r="A667" s="37">
        <f>E667</f>
        <v/>
      </c>
      <c r="B667" s="117" t="s">
        <v>157</v>
      </c>
      <c r="C667" s="117" t="s">
        <v>75</v>
      </c>
      <c r="D667" s="117" t="s">
        <v>79</v>
      </c>
      <c r="E667" s="117" t="n">
        <v>515793</v>
      </c>
      <c r="F667" s="117" t="s">
        <v>160</v>
      </c>
      <c r="G667" s="117" t="n">
        <v>10990</v>
      </c>
      <c r="H667" s="117" t="n">
        <v>5</v>
      </c>
      <c r="I667" s="393" t="n">
        <v>43385.60555555556</v>
      </c>
      <c r="J667" s="3" t="s">
        <v>154</v>
      </c>
      <c r="K667" s="171">
        <f>VLOOKUP(D667,Base!D:E,2,0)</f>
        <v/>
      </c>
    </row>
    <row customHeight="1" ht="15" r="668" s="183" spans="1:15">
      <c r="A668" s="37">
        <f>E668</f>
        <v/>
      </c>
      <c r="B668" s="117" t="s">
        <v>157</v>
      </c>
      <c r="C668" s="117" t="s">
        <v>75</v>
      </c>
      <c r="D668" s="117" t="s">
        <v>80</v>
      </c>
      <c r="E668" s="117" t="n">
        <v>515793</v>
      </c>
      <c r="F668" s="117" t="s">
        <v>160</v>
      </c>
      <c r="G668" s="117" t="n">
        <v>10990</v>
      </c>
      <c r="H668" s="117" t="n">
        <v>4</v>
      </c>
      <c r="I668" s="393" t="n">
        <v>43385.59930555556</v>
      </c>
      <c r="J668" s="3" t="s">
        <v>154</v>
      </c>
      <c r="K668" s="171">
        <f>VLOOKUP(D668,Base!D:E,2,0)</f>
        <v/>
      </c>
    </row>
    <row customHeight="1" ht="15" r="669" s="183" spans="1:15">
      <c r="A669" s="37">
        <f>E669</f>
        <v/>
      </c>
      <c r="B669" s="117" t="s">
        <v>157</v>
      </c>
      <c r="C669" s="117" t="s">
        <v>75</v>
      </c>
      <c r="D669" s="117" t="s">
        <v>81</v>
      </c>
      <c r="E669" s="117" t="n">
        <v>515793</v>
      </c>
      <c r="F669" s="117" t="s">
        <v>160</v>
      </c>
      <c r="G669" s="117" t="n">
        <v>12990</v>
      </c>
      <c r="H669" s="117" t="n">
        <v>5</v>
      </c>
      <c r="I669" s="393" t="n">
        <v>43385.60416666666</v>
      </c>
      <c r="J669" s="3" t="s">
        <v>154</v>
      </c>
      <c r="K669" s="171">
        <f>VLOOKUP(D669,Base!D:E,2,0)</f>
        <v/>
      </c>
    </row>
    <row customHeight="1" ht="15" r="670" s="183" spans="1:15">
      <c r="A670" s="37">
        <f>E670</f>
        <v/>
      </c>
      <c r="B670" s="117" t="s">
        <v>157</v>
      </c>
      <c r="C670" s="117" t="s">
        <v>75</v>
      </c>
      <c r="D670" s="117" t="s">
        <v>82</v>
      </c>
      <c r="E670" s="117" t="n">
        <v>515793</v>
      </c>
      <c r="F670" s="117" t="s">
        <v>160</v>
      </c>
      <c r="G670" s="117" t="n">
        <v>12990</v>
      </c>
      <c r="H670" s="117" t="n">
        <v>11</v>
      </c>
      <c r="I670" s="393" t="n">
        <v>43385.59930555556</v>
      </c>
      <c r="J670" s="3" t="s">
        <v>154</v>
      </c>
      <c r="K670" s="171">
        <f>VLOOKUP(D670,Base!D:E,2,0)</f>
        <v/>
      </c>
    </row>
    <row customHeight="1" ht="15" r="671" s="183" spans="1:15">
      <c r="A671" s="37">
        <f>E671</f>
        <v/>
      </c>
      <c r="B671" s="117" t="s">
        <v>157</v>
      </c>
      <c r="C671" s="117" t="s">
        <v>75</v>
      </c>
      <c r="D671" s="117" t="s">
        <v>83</v>
      </c>
      <c r="E671" s="117" t="n">
        <v>515793</v>
      </c>
      <c r="F671" s="117" t="s">
        <v>160</v>
      </c>
      <c r="G671" s="117" t="n">
        <v>10990</v>
      </c>
      <c r="H671" s="117" t="n">
        <v>4</v>
      </c>
      <c r="I671" s="393" t="n">
        <v>43385.59930555556</v>
      </c>
      <c r="J671" s="3" t="s">
        <v>154</v>
      </c>
      <c r="K671" s="171">
        <f>VLOOKUP(D671,Base!D:E,2,0)</f>
        <v/>
      </c>
    </row>
    <row customHeight="1" ht="15" r="672" s="183" spans="1:15">
      <c r="A672" s="37">
        <f>E672</f>
        <v/>
      </c>
      <c r="B672" s="117" t="s">
        <v>157</v>
      </c>
      <c r="C672" s="117" t="s">
        <v>75</v>
      </c>
      <c r="D672" s="117" t="s">
        <v>84</v>
      </c>
      <c r="E672" s="117" t="n">
        <v>515793</v>
      </c>
      <c r="F672" s="117" t="s">
        <v>160</v>
      </c>
      <c r="G672" s="117" t="n">
        <v>10990</v>
      </c>
      <c r="H672" s="117" t="n">
        <v>4</v>
      </c>
      <c r="I672" s="393" t="n">
        <v>43385.60347222222</v>
      </c>
      <c r="J672" s="3" t="s">
        <v>154</v>
      </c>
      <c r="K672" s="171">
        <f>VLOOKUP(D672,Base!D:E,2,0)</f>
        <v/>
      </c>
    </row>
    <row customHeight="1" ht="15" r="673" s="183" spans="1:15">
      <c r="A673" s="37">
        <f>E673</f>
        <v/>
      </c>
      <c r="B673" s="117" t="s">
        <v>157</v>
      </c>
      <c r="C673" s="117" t="s">
        <v>75</v>
      </c>
      <c r="D673" s="117" t="s">
        <v>85</v>
      </c>
      <c r="E673" s="117" t="n">
        <v>515793</v>
      </c>
      <c r="F673" s="117" t="s">
        <v>160</v>
      </c>
      <c r="G673" s="117" t="n">
        <v>10990</v>
      </c>
      <c r="H673" s="117" t="n">
        <v>4</v>
      </c>
      <c r="I673" s="393" t="n">
        <v>43385.59930555556</v>
      </c>
      <c r="J673" s="3" t="s">
        <v>154</v>
      </c>
      <c r="K673" s="171">
        <f>VLOOKUP(D673,Base!D:E,2,0)</f>
        <v/>
      </c>
    </row>
    <row customHeight="1" ht="15" r="674" s="183" spans="1:15">
      <c r="A674" s="37">
        <f>E674</f>
        <v/>
      </c>
      <c r="B674" s="117" t="s">
        <v>157</v>
      </c>
      <c r="C674" s="117" t="s">
        <v>86</v>
      </c>
      <c r="D674" s="117" t="s">
        <v>87</v>
      </c>
      <c r="E674" s="117" t="n">
        <v>515793</v>
      </c>
      <c r="F674" s="117" t="s">
        <v>160</v>
      </c>
      <c r="G674" s="117" t="n">
        <v>16990</v>
      </c>
      <c r="H674" s="117" t="n">
        <v>10</v>
      </c>
      <c r="I674" s="393" t="n">
        <v>43385.60416666666</v>
      </c>
      <c r="J674" s="3" t="s">
        <v>154</v>
      </c>
      <c r="K674" s="171">
        <f>VLOOKUP(D674,Base!D:E,2,0)</f>
        <v/>
      </c>
    </row>
    <row customHeight="1" ht="15" r="675" s="183" spans="1:15">
      <c r="A675" s="37">
        <f>E675</f>
        <v/>
      </c>
      <c r="B675" s="117" t="s">
        <v>157</v>
      </c>
      <c r="C675" s="117" t="s">
        <v>86</v>
      </c>
      <c r="D675" s="117" t="s">
        <v>88</v>
      </c>
      <c r="E675" s="117" t="n">
        <v>515793</v>
      </c>
      <c r="F675" s="117" t="s">
        <v>160</v>
      </c>
      <c r="G675" s="117" t="n">
        <v>15990</v>
      </c>
      <c r="H675" s="117" t="n">
        <v>6</v>
      </c>
      <c r="I675" s="393" t="n">
        <v>43385.60555555556</v>
      </c>
      <c r="J675" s="3" t="s">
        <v>154</v>
      </c>
      <c r="K675" s="171">
        <f>VLOOKUP(D675,Base!D:E,2,0)</f>
        <v/>
      </c>
    </row>
    <row customHeight="1" ht="15" r="676" s="183" spans="1:15">
      <c r="A676" s="37">
        <f>E676</f>
        <v/>
      </c>
      <c r="B676" s="117" t="s">
        <v>157</v>
      </c>
      <c r="C676" s="117" t="s">
        <v>86</v>
      </c>
      <c r="D676" s="117" t="s">
        <v>89</v>
      </c>
      <c r="E676" s="117" t="n">
        <v>515793</v>
      </c>
      <c r="F676" s="117" t="s">
        <v>160</v>
      </c>
      <c r="G676" s="117" t="n">
        <v>15990</v>
      </c>
      <c r="H676" s="117" t="n">
        <v>6</v>
      </c>
      <c r="I676" s="393" t="n">
        <v>43385.60208333333</v>
      </c>
      <c r="J676" s="3" t="s">
        <v>154</v>
      </c>
      <c r="K676" s="171">
        <f>VLOOKUP(D676,Base!D:E,2,0)</f>
        <v/>
      </c>
    </row>
    <row customHeight="1" ht="15" r="677" s="183" spans="1:15">
      <c r="A677" s="37">
        <f>E677</f>
        <v/>
      </c>
      <c r="B677" s="117" t="s">
        <v>157</v>
      </c>
      <c r="C677" s="117" t="s">
        <v>86</v>
      </c>
      <c r="D677" s="117" t="s">
        <v>90</v>
      </c>
      <c r="E677" s="117" t="n">
        <v>515793</v>
      </c>
      <c r="F677" s="117" t="s">
        <v>160</v>
      </c>
      <c r="G677" s="117" t="n">
        <v>15990</v>
      </c>
      <c r="H677" s="117" t="n">
        <v>6</v>
      </c>
      <c r="I677" s="393" t="n">
        <v>43385.59930555556</v>
      </c>
      <c r="J677" s="3" t="s">
        <v>154</v>
      </c>
      <c r="K677" s="171">
        <f>VLOOKUP(D677,Base!D:E,2,0)</f>
        <v/>
      </c>
    </row>
    <row customHeight="1" ht="15" r="678" s="183" spans="1:15">
      <c r="A678" s="37">
        <f>E678</f>
        <v/>
      </c>
      <c r="B678" s="117" t="s">
        <v>157</v>
      </c>
      <c r="C678" s="117" t="s">
        <v>86</v>
      </c>
      <c r="D678" s="117" t="s">
        <v>91</v>
      </c>
      <c r="E678" s="117" t="n">
        <v>515793</v>
      </c>
      <c r="F678" s="117" t="s">
        <v>160</v>
      </c>
      <c r="G678" s="117" t="n">
        <v>15990</v>
      </c>
      <c r="H678" s="117" t="n">
        <v>6</v>
      </c>
      <c r="I678" s="393" t="n">
        <v>43385.60625</v>
      </c>
      <c r="J678" s="3" t="s">
        <v>154</v>
      </c>
      <c r="K678" s="171">
        <f>VLOOKUP(D678,Base!D:E,2,0)</f>
        <v/>
      </c>
    </row>
    <row customHeight="1" ht="15" r="679" s="183" spans="1:15">
      <c r="A679" s="37">
        <f>E679</f>
        <v/>
      </c>
      <c r="B679" s="117" t="s">
        <v>157</v>
      </c>
      <c r="C679" s="117" t="s">
        <v>86</v>
      </c>
      <c r="D679" s="117" t="s">
        <v>92</v>
      </c>
      <c r="E679" s="117" t="n">
        <v>515793</v>
      </c>
      <c r="F679" s="117" t="s">
        <v>160</v>
      </c>
      <c r="G679" s="117" t="n">
        <v>16990</v>
      </c>
      <c r="H679" s="117" t="n">
        <v>7</v>
      </c>
      <c r="I679" s="393" t="n">
        <v>43385.60555555556</v>
      </c>
      <c r="J679" s="3" t="s">
        <v>154</v>
      </c>
      <c r="K679" s="171">
        <f>VLOOKUP(D679,Base!D:E,2,0)</f>
        <v/>
      </c>
    </row>
    <row customHeight="1" ht="15" r="680" s="183" spans="1:15">
      <c r="A680" s="37">
        <f>E680</f>
        <v/>
      </c>
      <c r="B680" s="117" t="s">
        <v>157</v>
      </c>
      <c r="C680" s="117" t="s">
        <v>86</v>
      </c>
      <c r="D680" s="117" t="s">
        <v>93</v>
      </c>
      <c r="E680" s="117" t="n">
        <v>515793</v>
      </c>
      <c r="F680" s="117" t="s">
        <v>160</v>
      </c>
      <c r="G680" s="117" t="n">
        <v>15990</v>
      </c>
      <c r="H680" s="117" t="n">
        <v>6</v>
      </c>
      <c r="I680" s="393" t="n">
        <v>43385.59930555556</v>
      </c>
      <c r="J680" s="3" t="s">
        <v>154</v>
      </c>
      <c r="K680" s="171">
        <f>VLOOKUP(D680,Base!D:E,2,0)</f>
        <v/>
      </c>
    </row>
    <row customHeight="1" ht="15" r="681" s="183" spans="1:15">
      <c r="A681" s="37">
        <f>E681</f>
        <v/>
      </c>
      <c r="B681" s="117" t="s">
        <v>157</v>
      </c>
      <c r="C681" s="117" t="s">
        <v>86</v>
      </c>
      <c r="D681" s="117" t="s">
        <v>94</v>
      </c>
      <c r="E681" s="117" t="n">
        <v>515793</v>
      </c>
      <c r="F681" s="117" t="s">
        <v>160</v>
      </c>
      <c r="G681" s="117" t="n">
        <v>15990</v>
      </c>
      <c r="H681" s="117" t="n">
        <v>6</v>
      </c>
      <c r="I681" s="393" t="n">
        <v>43385.59930555556</v>
      </c>
      <c r="J681" s="3" t="s">
        <v>154</v>
      </c>
      <c r="K681" s="171">
        <f>VLOOKUP(D681,Base!D:E,2,0)</f>
        <v/>
      </c>
    </row>
    <row customHeight="1" ht="15" r="682" s="183" spans="1:15">
      <c r="A682" s="37">
        <f>E682</f>
        <v/>
      </c>
      <c r="B682" s="117" t="s">
        <v>157</v>
      </c>
      <c r="C682" s="117" t="s">
        <v>86</v>
      </c>
      <c r="D682" s="117" t="s">
        <v>95</v>
      </c>
      <c r="E682" s="117" t="n">
        <v>515793</v>
      </c>
      <c r="F682" s="117" t="s">
        <v>160</v>
      </c>
      <c r="G682" s="117" t="n">
        <v>15990</v>
      </c>
      <c r="H682" s="117" t="n">
        <v>6</v>
      </c>
      <c r="I682" s="393" t="n">
        <v>43385.60277777778</v>
      </c>
      <c r="J682" s="3" t="s">
        <v>154</v>
      </c>
      <c r="K682" s="171">
        <f>VLOOKUP(D682,Base!D:E,2,0)</f>
        <v/>
      </c>
    </row>
    <row customHeight="1" ht="15" r="683" s="183" spans="1:15">
      <c r="A683" s="37">
        <f>E683</f>
        <v/>
      </c>
      <c r="B683" s="117" t="s">
        <v>157</v>
      </c>
      <c r="C683" s="117" t="s">
        <v>96</v>
      </c>
      <c r="D683" s="117" t="s">
        <v>97</v>
      </c>
      <c r="E683" s="117" t="n">
        <v>515793</v>
      </c>
      <c r="F683" s="117" t="s">
        <v>160</v>
      </c>
      <c r="G683" s="117" t="n">
        <v>12990</v>
      </c>
      <c r="H683" s="117" t="n">
        <v>5</v>
      </c>
      <c r="I683" s="393" t="n">
        <v>43385.60347222222</v>
      </c>
      <c r="J683" s="3" t="s">
        <v>154</v>
      </c>
      <c r="K683" s="171">
        <f>VLOOKUP(D683,Base!D:E,2,0)</f>
        <v/>
      </c>
    </row>
    <row customHeight="1" ht="15" r="684" s="183" spans="1:15">
      <c r="A684" s="37">
        <f>E684</f>
        <v/>
      </c>
      <c r="B684" s="117" t="s">
        <v>157</v>
      </c>
      <c r="C684" s="117" t="s">
        <v>96</v>
      </c>
      <c r="D684" s="117" t="s">
        <v>98</v>
      </c>
      <c r="E684" s="117" t="n">
        <v>515793</v>
      </c>
      <c r="F684" s="117" t="s">
        <v>160</v>
      </c>
      <c r="G684" s="117" t="n">
        <v>10990</v>
      </c>
      <c r="H684" s="117" t="n">
        <v>5</v>
      </c>
      <c r="I684" s="393" t="n">
        <v>43385.59930555556</v>
      </c>
      <c r="J684" s="3" t="s">
        <v>154</v>
      </c>
      <c r="K684" s="171">
        <f>VLOOKUP(D684,Base!D:E,2,0)</f>
        <v/>
      </c>
    </row>
    <row customHeight="1" ht="15" r="685" s="183" spans="1:15">
      <c r="A685" s="37">
        <f>E685</f>
        <v/>
      </c>
      <c r="B685" s="117" t="s">
        <v>157</v>
      </c>
      <c r="C685" s="117" t="s">
        <v>96</v>
      </c>
      <c r="D685" s="117" t="s">
        <v>99</v>
      </c>
      <c r="E685" s="117" t="n">
        <v>515793</v>
      </c>
      <c r="F685" s="117" t="s">
        <v>160</v>
      </c>
      <c r="G685" s="117" t="n">
        <v>12990</v>
      </c>
      <c r="H685" s="117" t="n">
        <v>7</v>
      </c>
      <c r="I685" s="393" t="n">
        <v>43385.60486111111</v>
      </c>
      <c r="J685" s="3" t="s">
        <v>154</v>
      </c>
      <c r="K685" s="171">
        <f>VLOOKUP(D685,Base!D:E,2,0)</f>
        <v/>
      </c>
    </row>
    <row customHeight="1" ht="15" r="686" s="183" spans="1:15">
      <c r="A686" s="37">
        <f>E686</f>
        <v/>
      </c>
      <c r="B686" s="117" t="s">
        <v>157</v>
      </c>
      <c r="C686" s="117" t="s">
        <v>96</v>
      </c>
      <c r="D686" s="117" t="s">
        <v>100</v>
      </c>
      <c r="E686" s="117" t="n">
        <v>515793</v>
      </c>
      <c r="F686" s="117" t="s">
        <v>160</v>
      </c>
      <c r="G686" s="117" t="n">
        <v>12990</v>
      </c>
      <c r="H686" s="117" t="n">
        <v>7</v>
      </c>
      <c r="I686" s="393" t="n">
        <v>43385.59930555556</v>
      </c>
      <c r="J686" s="3" t="s">
        <v>154</v>
      </c>
      <c r="K686" s="171">
        <f>VLOOKUP(D686,Base!D:E,2,0)</f>
        <v/>
      </c>
    </row>
    <row customHeight="1" ht="15" r="687" s="183" spans="1:15">
      <c r="A687" s="37">
        <f>E687</f>
        <v/>
      </c>
      <c r="B687" s="117" t="s">
        <v>157</v>
      </c>
      <c r="C687" s="117" t="s">
        <v>101</v>
      </c>
      <c r="D687" s="117" t="s">
        <v>102</v>
      </c>
      <c r="E687" s="117" t="n">
        <v>515793</v>
      </c>
      <c r="F687" s="117" t="s">
        <v>160</v>
      </c>
      <c r="G687" s="117" t="n">
        <v>13990</v>
      </c>
      <c r="H687" s="117" t="n">
        <v>6</v>
      </c>
      <c r="I687" s="393" t="n">
        <v>43385.60138888889</v>
      </c>
      <c r="J687" s="3" t="s">
        <v>154</v>
      </c>
      <c r="K687" s="171">
        <f>VLOOKUP(D687,Base!D:E,2,0)</f>
        <v/>
      </c>
    </row>
    <row customHeight="1" ht="15" r="688" s="183" spans="1:15">
      <c r="A688" s="37">
        <f>E688</f>
        <v/>
      </c>
      <c r="B688" s="117" t="s">
        <v>157</v>
      </c>
      <c r="C688" s="117" t="s">
        <v>101</v>
      </c>
      <c r="D688" s="117" t="s">
        <v>103</v>
      </c>
      <c r="E688" s="117" t="n">
        <v>515793</v>
      </c>
      <c r="F688" s="117" t="s">
        <v>160</v>
      </c>
      <c r="G688" s="117" t="n">
        <v>15990</v>
      </c>
      <c r="H688" s="117" t="n">
        <v>7</v>
      </c>
      <c r="I688" s="393" t="n">
        <v>43385.60347222222</v>
      </c>
      <c r="J688" s="3" t="s">
        <v>154</v>
      </c>
      <c r="K688" s="171">
        <f>VLOOKUP(D688,Base!D:E,2,0)</f>
        <v/>
      </c>
    </row>
    <row customHeight="1" ht="15" r="689" s="183" spans="1:15">
      <c r="A689" s="37">
        <f>E689</f>
        <v/>
      </c>
      <c r="B689" s="117" t="s">
        <v>157</v>
      </c>
      <c r="C689" s="117" t="s">
        <v>101</v>
      </c>
      <c r="D689" s="117" t="s">
        <v>104</v>
      </c>
      <c r="E689" s="117" t="n">
        <v>515793</v>
      </c>
      <c r="F689" s="117" t="s">
        <v>160</v>
      </c>
      <c r="G689" s="117" t="n">
        <v>13990</v>
      </c>
      <c r="H689" s="117" t="n">
        <v>6</v>
      </c>
      <c r="I689" s="393" t="n">
        <v>43385.59930555556</v>
      </c>
      <c r="J689" s="3" t="s">
        <v>154</v>
      </c>
      <c r="K689" s="171">
        <f>VLOOKUP(D689,Base!D:E,2,0)</f>
        <v/>
      </c>
    </row>
    <row customHeight="1" ht="15" r="690" s="183" spans="1:15">
      <c r="A690" s="37">
        <f>E690</f>
        <v/>
      </c>
      <c r="B690" s="117" t="s">
        <v>157</v>
      </c>
      <c r="C690" s="117" t="s">
        <v>105</v>
      </c>
      <c r="D690" s="117" t="s">
        <v>106</v>
      </c>
      <c r="E690" s="117" t="n">
        <v>515793</v>
      </c>
      <c r="F690" s="117" t="s">
        <v>160</v>
      </c>
      <c r="G690" s="117" t="n">
        <v>11990</v>
      </c>
      <c r="H690" s="117" t="n">
        <v>5</v>
      </c>
      <c r="I690" s="393" t="n">
        <v>43385.59930555556</v>
      </c>
      <c r="J690" s="3" t="s">
        <v>154</v>
      </c>
      <c r="K690" s="171">
        <f>VLOOKUP(D690,Base!D:E,2,0)</f>
        <v/>
      </c>
    </row>
    <row customHeight="1" ht="15" r="691" s="183" spans="1:15">
      <c r="A691" s="37">
        <f>E691</f>
        <v/>
      </c>
      <c r="B691" s="117" t="s">
        <v>157</v>
      </c>
      <c r="C691" s="117" t="s">
        <v>105</v>
      </c>
      <c r="D691" s="117" t="s">
        <v>107</v>
      </c>
      <c r="E691" s="117" t="n">
        <v>515793</v>
      </c>
      <c r="F691" s="117" t="s">
        <v>160</v>
      </c>
      <c r="G691" s="117" t="n">
        <v>10990</v>
      </c>
      <c r="H691" s="117" t="n">
        <v>4</v>
      </c>
      <c r="I691" s="393" t="n">
        <v>43385.59930555556</v>
      </c>
      <c r="J691" s="3" t="s">
        <v>154</v>
      </c>
      <c r="K691" s="171">
        <f>VLOOKUP(D691,Base!D:E,2,0)</f>
        <v/>
      </c>
    </row>
    <row customHeight="1" ht="15" r="692" s="183" spans="1:15">
      <c r="A692" s="37">
        <f>E692</f>
        <v/>
      </c>
      <c r="B692" s="117" t="s">
        <v>157</v>
      </c>
      <c r="C692" s="117" t="s">
        <v>105</v>
      </c>
      <c r="D692" s="117" t="s">
        <v>108</v>
      </c>
      <c r="E692" s="117" t="n">
        <v>515793</v>
      </c>
      <c r="F692" s="117" t="s">
        <v>160</v>
      </c>
      <c r="G692" s="117" t="n">
        <v>10990</v>
      </c>
      <c r="H692" s="117" t="n">
        <v>5</v>
      </c>
      <c r="I692" s="393" t="n">
        <v>43385.60208333333</v>
      </c>
      <c r="J692" s="3" t="s">
        <v>154</v>
      </c>
      <c r="K692" s="171">
        <f>VLOOKUP(D692,Base!D:E,2,0)</f>
        <v/>
      </c>
    </row>
    <row customHeight="1" ht="15" r="693" s="183" spans="1:15">
      <c r="A693" s="37">
        <f>E693</f>
        <v/>
      </c>
      <c r="B693" s="117" t="s">
        <v>157</v>
      </c>
      <c r="C693" s="117" t="s">
        <v>105</v>
      </c>
      <c r="D693" s="117" t="s">
        <v>109</v>
      </c>
      <c r="E693" s="117" t="n">
        <v>515793</v>
      </c>
      <c r="F693" s="117" t="s">
        <v>160</v>
      </c>
      <c r="G693" s="117" t="n">
        <v>11990</v>
      </c>
      <c r="H693" s="117" t="n">
        <v>5</v>
      </c>
      <c r="I693" s="393" t="n">
        <v>43385.59861111111</v>
      </c>
      <c r="J693" s="3" t="s">
        <v>154</v>
      </c>
      <c r="K693" s="171">
        <f>VLOOKUP(D693,Base!D:E,2,0)</f>
        <v/>
      </c>
    </row>
    <row customHeight="1" ht="15" r="694" s="183" spans="1:15">
      <c r="A694" s="37">
        <f>E694</f>
        <v/>
      </c>
      <c r="B694" s="117" t="s">
        <v>157</v>
      </c>
      <c r="C694" s="117" t="s">
        <v>105</v>
      </c>
      <c r="D694" s="117" t="s">
        <v>110</v>
      </c>
      <c r="E694" s="117" t="n">
        <v>515793</v>
      </c>
      <c r="F694" s="117" t="s">
        <v>160</v>
      </c>
      <c r="G694" s="117" t="n">
        <v>10990</v>
      </c>
      <c r="H694" s="117" t="n">
        <v>5</v>
      </c>
      <c r="I694" s="393" t="n">
        <v>43385.59930555556</v>
      </c>
      <c r="J694" s="3" t="s">
        <v>154</v>
      </c>
      <c r="K694" s="171">
        <f>VLOOKUP(D694,Base!D:E,2,0)</f>
        <v/>
      </c>
    </row>
    <row customHeight="1" ht="15" r="695" s="183" spans="1:15">
      <c r="A695" s="37">
        <f>E695</f>
        <v/>
      </c>
      <c r="B695" s="117" t="s">
        <v>157</v>
      </c>
      <c r="C695" s="117" t="s">
        <v>105</v>
      </c>
      <c r="D695" s="117" t="s">
        <v>111</v>
      </c>
      <c r="E695" s="117" t="n">
        <v>515793</v>
      </c>
      <c r="F695" s="117" t="s">
        <v>160</v>
      </c>
      <c r="G695" s="117" t="n">
        <v>10990</v>
      </c>
      <c r="H695" s="117" t="n">
        <v>4</v>
      </c>
      <c r="I695" s="393" t="n">
        <v>43385.59861111111</v>
      </c>
      <c r="J695" s="3" t="s">
        <v>154</v>
      </c>
      <c r="K695" s="171">
        <f>VLOOKUP(D695,Base!D:E,2,0)</f>
        <v/>
      </c>
    </row>
    <row customHeight="1" ht="15" r="696" s="183" spans="1:15">
      <c r="A696" s="37">
        <f>E696</f>
        <v/>
      </c>
      <c r="B696" s="117" t="s">
        <v>157</v>
      </c>
      <c r="C696" s="117" t="s">
        <v>105</v>
      </c>
      <c r="D696" s="117" t="s">
        <v>112</v>
      </c>
      <c r="E696" s="117" t="n">
        <v>515793</v>
      </c>
      <c r="F696" s="117" t="s">
        <v>160</v>
      </c>
      <c r="G696" s="117" t="n">
        <v>10990</v>
      </c>
      <c r="H696" s="117" t="n">
        <v>4</v>
      </c>
      <c r="I696" s="393" t="n">
        <v>43385.59930555556</v>
      </c>
      <c r="J696" s="3" t="s">
        <v>154</v>
      </c>
      <c r="K696" s="171">
        <f>VLOOKUP(D696,Base!D:E,2,0)</f>
        <v/>
      </c>
    </row>
    <row customHeight="1" ht="15" r="697" s="183" spans="1:15">
      <c r="A697" s="37">
        <f>E697</f>
        <v/>
      </c>
      <c r="B697" s="117" t="s">
        <v>157</v>
      </c>
      <c r="C697" s="117" t="s">
        <v>105</v>
      </c>
      <c r="D697" s="117" t="s">
        <v>113</v>
      </c>
      <c r="E697" s="117" t="n">
        <v>515793</v>
      </c>
      <c r="F697" s="117" t="s">
        <v>160</v>
      </c>
      <c r="G697" s="117" t="n">
        <v>10990</v>
      </c>
      <c r="H697" s="117" t="n">
        <v>5</v>
      </c>
      <c r="I697" s="393" t="n">
        <v>43385.59930555556</v>
      </c>
      <c r="J697" s="3" t="s">
        <v>154</v>
      </c>
      <c r="K697" s="171">
        <f>VLOOKUP(D697,Base!D:E,2,0)</f>
        <v/>
      </c>
    </row>
    <row customHeight="1" ht="15" r="698" s="183" spans="1:15">
      <c r="A698" s="37">
        <f>E698</f>
        <v/>
      </c>
      <c r="B698" s="117" t="s">
        <v>157</v>
      </c>
      <c r="C698" s="117" t="s">
        <v>105</v>
      </c>
      <c r="D698" s="117" t="s">
        <v>114</v>
      </c>
      <c r="E698" s="117" t="n">
        <v>515793</v>
      </c>
      <c r="F698" s="117" t="s">
        <v>160</v>
      </c>
      <c r="G698" s="117" t="n">
        <v>10990</v>
      </c>
      <c r="H698" s="117" t="n">
        <v>4</v>
      </c>
      <c r="I698" s="393" t="n">
        <v>43385.60347222222</v>
      </c>
      <c r="J698" s="3" t="s">
        <v>154</v>
      </c>
      <c r="K698" s="171">
        <f>VLOOKUP(D698,Base!D:E,2,0)</f>
        <v/>
      </c>
    </row>
    <row customHeight="1" ht="15" r="699" s="183" spans="1:15">
      <c r="A699" s="37">
        <f>E699</f>
        <v/>
      </c>
      <c r="B699" s="117" t="s">
        <v>157</v>
      </c>
      <c r="C699" s="117" t="s">
        <v>105</v>
      </c>
      <c r="D699" s="117" t="s">
        <v>115</v>
      </c>
      <c r="E699" s="117" t="n">
        <v>515793</v>
      </c>
      <c r="F699" s="117" t="s">
        <v>160</v>
      </c>
      <c r="G699" s="117" t="n">
        <v>10990</v>
      </c>
      <c r="H699" s="117" t="n">
        <v>4</v>
      </c>
      <c r="I699" s="393" t="n">
        <v>43385.59930555556</v>
      </c>
      <c r="J699" s="3" t="s">
        <v>154</v>
      </c>
      <c r="K699" s="171">
        <f>VLOOKUP(D699,Base!D:E,2,0)</f>
        <v/>
      </c>
    </row>
    <row customHeight="1" ht="15" r="700" s="183" spans="1:15">
      <c r="A700" s="37">
        <f>E700</f>
        <v/>
      </c>
      <c r="B700" s="117" t="s">
        <v>157</v>
      </c>
      <c r="C700" s="117" t="s">
        <v>105</v>
      </c>
      <c r="D700" s="117" t="s">
        <v>116</v>
      </c>
      <c r="E700" s="117" t="n">
        <v>515793</v>
      </c>
      <c r="F700" s="117" t="s">
        <v>160</v>
      </c>
      <c r="G700" s="117" t="n">
        <v>10990</v>
      </c>
      <c r="H700" s="117" t="n">
        <v>4</v>
      </c>
      <c r="I700" s="393" t="n">
        <v>43385.59861111111</v>
      </c>
      <c r="J700" s="3" t="s">
        <v>154</v>
      </c>
      <c r="K700" s="171">
        <f>VLOOKUP(D700,Base!D:E,2,0)</f>
        <v/>
      </c>
    </row>
    <row customHeight="1" ht="15" r="701" s="183" spans="1:15">
      <c r="A701" s="37">
        <f>E701</f>
        <v/>
      </c>
      <c r="B701" s="117" t="s">
        <v>157</v>
      </c>
      <c r="C701" s="117" t="s">
        <v>105</v>
      </c>
      <c r="D701" s="117" t="s">
        <v>117</v>
      </c>
      <c r="E701" s="117" t="n">
        <v>515793</v>
      </c>
      <c r="F701" s="117" t="s">
        <v>160</v>
      </c>
      <c r="G701" s="117" t="n">
        <v>10990</v>
      </c>
      <c r="H701" s="117" t="n">
        <v>5</v>
      </c>
      <c r="I701" s="393" t="n">
        <v>43385.59930555556</v>
      </c>
      <c r="J701" s="3" t="s">
        <v>154</v>
      </c>
      <c r="K701" s="171">
        <f>VLOOKUP(D701,Base!D:E,2,0)</f>
        <v/>
      </c>
    </row>
    <row customHeight="1" ht="15" r="702" s="183" spans="1:15">
      <c r="A702" s="37">
        <f>E702</f>
        <v/>
      </c>
      <c r="B702" s="117" t="s">
        <v>157</v>
      </c>
      <c r="C702" s="117" t="s">
        <v>105</v>
      </c>
      <c r="D702" s="117" t="s">
        <v>118</v>
      </c>
      <c r="E702" s="117" t="n">
        <v>515793</v>
      </c>
      <c r="F702" s="117" t="s">
        <v>160</v>
      </c>
      <c r="G702" s="117" t="n">
        <v>10990</v>
      </c>
      <c r="H702" s="117" t="n">
        <v>5</v>
      </c>
      <c r="I702" s="393" t="n">
        <v>43385.59930555556</v>
      </c>
      <c r="J702" s="3" t="s">
        <v>154</v>
      </c>
      <c r="K702" s="171">
        <f>VLOOKUP(D702,Base!D:E,2,0)</f>
        <v/>
      </c>
    </row>
    <row customHeight="1" ht="15" r="703" s="183" spans="1:15">
      <c r="A703" s="37">
        <f>E703</f>
        <v/>
      </c>
      <c r="B703" s="117" t="s">
        <v>157</v>
      </c>
      <c r="C703" s="117" t="s">
        <v>105</v>
      </c>
      <c r="D703" s="117" t="s">
        <v>119</v>
      </c>
      <c r="E703" s="117" t="n">
        <v>515793</v>
      </c>
      <c r="F703" s="117" t="s">
        <v>160</v>
      </c>
      <c r="G703" s="117" t="n">
        <v>10990</v>
      </c>
      <c r="H703" s="117" t="n">
        <v>4</v>
      </c>
      <c r="I703" s="393" t="n">
        <v>43385.60208333333</v>
      </c>
      <c r="J703" s="3" t="s">
        <v>154</v>
      </c>
      <c r="K703" s="171">
        <f>VLOOKUP(D703,Base!D:E,2,0)</f>
        <v/>
      </c>
    </row>
    <row customHeight="1" ht="15" r="704" s="183" spans="1:15">
      <c r="A704" s="37">
        <f>E704</f>
        <v/>
      </c>
      <c r="B704" s="117" t="s">
        <v>157</v>
      </c>
      <c r="C704" s="117" t="s">
        <v>105</v>
      </c>
      <c r="D704" s="117" t="s">
        <v>120</v>
      </c>
      <c r="E704" s="117" t="n">
        <v>515793</v>
      </c>
      <c r="F704" s="117" t="s">
        <v>160</v>
      </c>
      <c r="G704" s="117" t="n">
        <v>11990</v>
      </c>
      <c r="H704" s="117" t="n">
        <v>5</v>
      </c>
      <c r="I704" s="393" t="n">
        <v>43385.59930555556</v>
      </c>
      <c r="J704" s="3" t="s">
        <v>154</v>
      </c>
      <c r="K704" s="171">
        <f>VLOOKUP(D704,Base!D:E,2,0)</f>
        <v/>
      </c>
    </row>
    <row customHeight="1" ht="15" r="705" s="183" spans="1:15">
      <c r="A705" s="37">
        <f>E705</f>
        <v/>
      </c>
      <c r="B705" s="117" t="s">
        <v>157</v>
      </c>
      <c r="C705" s="117" t="s">
        <v>105</v>
      </c>
      <c r="D705" s="117" t="s">
        <v>121</v>
      </c>
      <c r="E705" s="117" t="n">
        <v>515793</v>
      </c>
      <c r="F705" s="117" t="s">
        <v>160</v>
      </c>
      <c r="G705" s="117" t="n">
        <v>10990</v>
      </c>
      <c r="H705" s="117" t="n">
        <v>4</v>
      </c>
      <c r="I705" s="393" t="n">
        <v>43385.60069444445</v>
      </c>
      <c r="J705" s="3" t="s">
        <v>154</v>
      </c>
      <c r="K705" s="171">
        <f>VLOOKUP(D705,Base!D:E,2,0)</f>
        <v/>
      </c>
    </row>
    <row customHeight="1" ht="15" r="706" s="183" spans="1:15">
      <c r="A706" s="37">
        <f>E706</f>
        <v/>
      </c>
      <c r="B706" s="117" t="s">
        <v>157</v>
      </c>
      <c r="C706" s="117" t="s">
        <v>105</v>
      </c>
      <c r="D706" s="117" t="s">
        <v>122</v>
      </c>
      <c r="E706" s="117" t="n">
        <v>515793</v>
      </c>
      <c r="F706" s="117" t="s">
        <v>160</v>
      </c>
      <c r="G706" s="117" t="n">
        <v>10990</v>
      </c>
      <c r="H706" s="117" t="n">
        <v>4</v>
      </c>
      <c r="I706" s="393" t="n">
        <v>43385.60555555556</v>
      </c>
      <c r="J706" s="3" t="s">
        <v>154</v>
      </c>
      <c r="K706" s="171">
        <f>VLOOKUP(D706,Base!D:E,2,0)</f>
        <v/>
      </c>
    </row>
    <row customHeight="1" ht="15" r="707" s="183" spans="1:15">
      <c r="A707" s="37">
        <f>E707</f>
        <v/>
      </c>
      <c r="B707" s="117" t="s">
        <v>157</v>
      </c>
      <c r="C707" s="117" t="s">
        <v>105</v>
      </c>
      <c r="D707" s="117" t="s">
        <v>123</v>
      </c>
      <c r="E707" s="117" t="n">
        <v>515793</v>
      </c>
      <c r="F707" s="117" t="s">
        <v>160</v>
      </c>
      <c r="G707" s="117" t="n">
        <v>10990</v>
      </c>
      <c r="H707" s="117" t="n">
        <v>4</v>
      </c>
      <c r="I707" s="393" t="n">
        <v>43385.60347222222</v>
      </c>
      <c r="J707" s="3" t="s">
        <v>154</v>
      </c>
      <c r="K707" s="171">
        <f>VLOOKUP(D707,Base!D:E,2,0)</f>
        <v/>
      </c>
    </row>
    <row customHeight="1" ht="15" r="708" s="183" spans="1:15">
      <c r="A708" s="37">
        <f>E708</f>
        <v/>
      </c>
      <c r="B708" s="117" t="s">
        <v>157</v>
      </c>
      <c r="C708" s="117" t="s">
        <v>105</v>
      </c>
      <c r="D708" s="117" t="s">
        <v>124</v>
      </c>
      <c r="E708" s="117" t="n">
        <v>515793</v>
      </c>
      <c r="F708" s="117" t="s">
        <v>160</v>
      </c>
      <c r="G708" s="117" t="n">
        <v>10990</v>
      </c>
      <c r="H708" s="117" t="n">
        <v>4</v>
      </c>
      <c r="I708" s="393" t="n">
        <v>43385.59930555556</v>
      </c>
      <c r="J708" s="3" t="s">
        <v>154</v>
      </c>
      <c r="K708" s="171">
        <f>VLOOKUP(D708,Base!D:E,2,0)</f>
        <v/>
      </c>
    </row>
    <row customHeight="1" ht="15" r="709" s="183" spans="1:15">
      <c r="A709" s="37">
        <f>E709</f>
        <v/>
      </c>
      <c r="B709" s="117" t="s">
        <v>157</v>
      </c>
      <c r="C709" s="117" t="s">
        <v>105</v>
      </c>
      <c r="D709" s="117" t="s">
        <v>125</v>
      </c>
      <c r="E709" s="117" t="n">
        <v>515793</v>
      </c>
      <c r="F709" s="117" t="s">
        <v>160</v>
      </c>
      <c r="G709" s="117" t="n">
        <v>10990</v>
      </c>
      <c r="H709" s="117" t="n">
        <v>4</v>
      </c>
      <c r="I709" s="393" t="n">
        <v>43385.60277777778</v>
      </c>
      <c r="J709" s="3" t="s">
        <v>154</v>
      </c>
      <c r="K709" s="171">
        <f>VLOOKUP(D709,Base!D:E,2,0)</f>
        <v/>
      </c>
    </row>
    <row customHeight="1" ht="15" r="710" s="183" spans="1:15">
      <c r="A710" s="37">
        <f>E710</f>
        <v/>
      </c>
      <c r="B710" s="117" t="s">
        <v>157</v>
      </c>
      <c r="C710" s="117" t="s">
        <v>105</v>
      </c>
      <c r="D710" s="117" t="s">
        <v>126</v>
      </c>
      <c r="E710" s="117" t="n">
        <v>515793</v>
      </c>
      <c r="F710" s="117" t="s">
        <v>160</v>
      </c>
      <c r="G710" s="117" t="n">
        <v>10990</v>
      </c>
      <c r="H710" s="117" t="n">
        <v>4</v>
      </c>
      <c r="I710" s="393" t="n">
        <v>43385.59930555556</v>
      </c>
      <c r="J710" s="3" t="s">
        <v>154</v>
      </c>
      <c r="K710" s="171">
        <f>VLOOKUP(D710,Base!D:E,2,0)</f>
        <v/>
      </c>
    </row>
    <row customHeight="1" ht="15" r="711" s="183" spans="1:15">
      <c r="A711" s="37">
        <f>E711</f>
        <v/>
      </c>
      <c r="B711" s="117" t="s">
        <v>157</v>
      </c>
      <c r="C711" s="117" t="s">
        <v>105</v>
      </c>
      <c r="D711" s="117" t="s">
        <v>127</v>
      </c>
      <c r="E711" s="117" t="n">
        <v>515793</v>
      </c>
      <c r="F711" s="117" t="s">
        <v>160</v>
      </c>
      <c r="G711" s="117" t="n">
        <v>12490</v>
      </c>
      <c r="H711" s="117" t="n">
        <v>5</v>
      </c>
      <c r="I711" s="393" t="n">
        <v>43385.59930555556</v>
      </c>
      <c r="J711" s="3" t="s">
        <v>154</v>
      </c>
      <c r="K711" s="171">
        <f>VLOOKUP(D711,Base!D:E,2,0)</f>
        <v/>
      </c>
    </row>
    <row customHeight="1" ht="15" r="712" s="183" spans="1:15">
      <c r="A712" s="37">
        <f>E712</f>
        <v/>
      </c>
      <c r="B712" s="117" t="s">
        <v>157</v>
      </c>
      <c r="C712" s="117" t="s">
        <v>105</v>
      </c>
      <c r="D712" s="117" t="s">
        <v>128</v>
      </c>
      <c r="E712" s="117" t="n">
        <v>515793</v>
      </c>
      <c r="F712" s="117" t="s">
        <v>160</v>
      </c>
      <c r="G712" s="117" t="n">
        <v>10990</v>
      </c>
      <c r="H712" s="117" t="n">
        <v>4</v>
      </c>
      <c r="I712" s="393" t="n">
        <v>43385.60069444445</v>
      </c>
      <c r="J712" s="3" t="s">
        <v>154</v>
      </c>
      <c r="K712" s="171">
        <f>VLOOKUP(D712,Base!D:E,2,0)</f>
        <v/>
      </c>
    </row>
    <row customHeight="1" ht="15" r="713" s="183" spans="1:15">
      <c r="A713" s="37">
        <f>E713</f>
        <v/>
      </c>
      <c r="B713" s="117" t="s">
        <v>157</v>
      </c>
      <c r="C713" s="117" t="s">
        <v>105</v>
      </c>
      <c r="D713" s="117" t="s">
        <v>129</v>
      </c>
      <c r="E713" s="117" t="n">
        <v>515793</v>
      </c>
      <c r="F713" s="117" t="s">
        <v>160</v>
      </c>
      <c r="G713" s="117" t="n">
        <v>11990</v>
      </c>
      <c r="H713" s="117" t="n">
        <v>5</v>
      </c>
      <c r="I713" s="393" t="n">
        <v>43385.60416666666</v>
      </c>
      <c r="J713" s="3" t="s">
        <v>154</v>
      </c>
      <c r="K713" s="171">
        <f>VLOOKUP(D713,Base!D:E,2,0)</f>
        <v/>
      </c>
    </row>
    <row customHeight="1" ht="15" r="714" s="183" spans="1:15">
      <c r="A714" s="37">
        <f>E714</f>
        <v/>
      </c>
      <c r="B714" s="117" t="s">
        <v>157</v>
      </c>
      <c r="C714" s="117" t="s">
        <v>105</v>
      </c>
      <c r="D714" s="117" t="s">
        <v>130</v>
      </c>
      <c r="E714" s="117" t="n">
        <v>515793</v>
      </c>
      <c r="F714" s="117" t="s">
        <v>160</v>
      </c>
      <c r="G714" s="117" t="n">
        <v>12490</v>
      </c>
      <c r="H714" s="117" t="n">
        <v>5</v>
      </c>
      <c r="I714" s="393" t="n">
        <v>43385.60555555556</v>
      </c>
      <c r="J714" s="3" t="s">
        <v>154</v>
      </c>
      <c r="K714" s="171">
        <f>VLOOKUP(D714,Base!D:E,2,0)</f>
        <v/>
      </c>
    </row>
    <row customHeight="1" ht="15" r="715" s="183" spans="1:15">
      <c r="A715" s="37">
        <f>E715</f>
        <v/>
      </c>
      <c r="B715" s="117" t="s">
        <v>157</v>
      </c>
      <c r="C715" s="117" t="s">
        <v>105</v>
      </c>
      <c r="D715" s="117" t="s">
        <v>131</v>
      </c>
      <c r="E715" s="117" t="n">
        <v>515793</v>
      </c>
      <c r="F715" s="117" t="s">
        <v>160</v>
      </c>
      <c r="G715" s="117" t="n">
        <v>10990</v>
      </c>
      <c r="H715" s="117" t="n">
        <v>4</v>
      </c>
      <c r="I715" s="393" t="n">
        <v>43385.59930555556</v>
      </c>
      <c r="J715" s="3" t="s">
        <v>154</v>
      </c>
      <c r="K715" s="171">
        <f>VLOOKUP(D715,Base!D:E,2,0)</f>
        <v/>
      </c>
    </row>
    <row customHeight="1" ht="15" r="716" s="183" spans="1:15">
      <c r="A716" s="37">
        <f>E716</f>
        <v/>
      </c>
      <c r="B716" s="117" t="s">
        <v>157</v>
      </c>
      <c r="C716" s="117" t="s">
        <v>105</v>
      </c>
      <c r="D716" s="117" t="s">
        <v>132</v>
      </c>
      <c r="E716" s="117" t="n">
        <v>515793</v>
      </c>
      <c r="F716" s="117" t="s">
        <v>160</v>
      </c>
      <c r="G716" s="117" t="n">
        <v>11990</v>
      </c>
      <c r="H716" s="117" t="n">
        <v>5</v>
      </c>
      <c r="I716" s="393" t="n">
        <v>43385.6</v>
      </c>
      <c r="J716" s="3" t="s">
        <v>154</v>
      </c>
      <c r="K716" s="171">
        <f>VLOOKUP(D716,Base!D:E,2,0)</f>
        <v/>
      </c>
    </row>
    <row customHeight="1" ht="15" r="717" s="183" spans="1:15">
      <c r="A717" s="37">
        <f>E717</f>
        <v/>
      </c>
      <c r="B717" s="117" t="s">
        <v>157</v>
      </c>
      <c r="C717" s="117" t="s">
        <v>105</v>
      </c>
      <c r="D717" s="117" t="s">
        <v>133</v>
      </c>
      <c r="E717" s="117" t="n">
        <v>515793</v>
      </c>
      <c r="F717" s="117" t="s">
        <v>160</v>
      </c>
      <c r="G717" s="117" t="n">
        <v>10990</v>
      </c>
      <c r="H717" s="117" t="n">
        <v>5</v>
      </c>
      <c r="I717" s="393" t="n">
        <v>43385.60208333333</v>
      </c>
      <c r="J717" s="3" t="s">
        <v>154</v>
      </c>
      <c r="K717" s="171">
        <f>VLOOKUP(D717,Base!D:E,2,0)</f>
        <v/>
      </c>
    </row>
    <row customHeight="1" ht="15" r="718" s="183" spans="1:15">
      <c r="A718" s="37">
        <f>E718</f>
        <v/>
      </c>
      <c r="B718" s="117" t="s">
        <v>157</v>
      </c>
      <c r="C718" s="117" t="s">
        <v>105</v>
      </c>
      <c r="D718" s="117" t="s">
        <v>134</v>
      </c>
      <c r="E718" s="117" t="n">
        <v>515793</v>
      </c>
      <c r="F718" s="117" t="s">
        <v>160</v>
      </c>
      <c r="G718" s="117" t="n">
        <v>10990</v>
      </c>
      <c r="H718" s="117" t="n">
        <v>4</v>
      </c>
      <c r="I718" s="393" t="n">
        <v>43385.59930555556</v>
      </c>
      <c r="J718" s="3" t="s">
        <v>154</v>
      </c>
      <c r="K718" s="171">
        <f>VLOOKUP(D718,Base!D:E,2,0)</f>
        <v/>
      </c>
    </row>
    <row customHeight="1" ht="15" r="719" s="183" spans="1:15">
      <c r="A719" s="37">
        <f>E719</f>
        <v/>
      </c>
      <c r="B719" s="117" t="s">
        <v>157</v>
      </c>
      <c r="C719" s="117" t="s">
        <v>105</v>
      </c>
      <c r="D719" s="117" t="s">
        <v>135</v>
      </c>
      <c r="E719" s="117" t="n">
        <v>515793</v>
      </c>
      <c r="F719" s="117" t="s">
        <v>160</v>
      </c>
      <c r="G719" s="117" t="n">
        <v>10990</v>
      </c>
      <c r="H719" s="117" t="n">
        <v>4</v>
      </c>
      <c r="I719" s="393" t="n">
        <v>43385.59930555556</v>
      </c>
      <c r="J719" s="3" t="s">
        <v>154</v>
      </c>
      <c r="K719" s="171">
        <f>VLOOKUP(D719,Base!D:E,2,0)</f>
        <v/>
      </c>
    </row>
    <row customHeight="1" ht="15" r="720" s="183" spans="1:15">
      <c r="A720" s="37">
        <f>E720</f>
        <v/>
      </c>
      <c r="B720" s="117" t="s">
        <v>157</v>
      </c>
      <c r="C720" s="117" t="s">
        <v>105</v>
      </c>
      <c r="D720" s="117" t="s">
        <v>136</v>
      </c>
      <c r="E720" s="117" t="n">
        <v>515793</v>
      </c>
      <c r="F720" s="117" t="s">
        <v>160</v>
      </c>
      <c r="G720" s="117" t="n">
        <v>10990</v>
      </c>
      <c r="H720" s="117" t="n">
        <v>4</v>
      </c>
      <c r="I720" s="393" t="n">
        <v>43385.60208333333</v>
      </c>
      <c r="J720" s="3" t="s">
        <v>154</v>
      </c>
      <c r="K720" s="171">
        <f>VLOOKUP(D720,Base!D:E,2,0)</f>
        <v/>
      </c>
    </row>
    <row customHeight="1" ht="15" r="721" s="183" spans="1:15">
      <c r="A721" s="37">
        <f>E721</f>
        <v/>
      </c>
      <c r="B721" s="117" t="s">
        <v>157</v>
      </c>
      <c r="C721" s="117" t="s">
        <v>105</v>
      </c>
      <c r="D721" s="117" t="s">
        <v>137</v>
      </c>
      <c r="E721" s="117" t="n">
        <v>515793</v>
      </c>
      <c r="F721" s="117" t="s">
        <v>160</v>
      </c>
      <c r="G721" s="117" t="n">
        <v>10990</v>
      </c>
      <c r="H721" s="117" t="n">
        <v>4</v>
      </c>
      <c r="I721" s="393" t="n">
        <v>43385.59930555556</v>
      </c>
      <c r="J721" s="3" t="s">
        <v>154</v>
      </c>
      <c r="K721" s="171">
        <f>VLOOKUP(D721,Base!D:E,2,0)</f>
        <v/>
      </c>
    </row>
    <row customHeight="1" ht="15" r="722" s="183" spans="1:15">
      <c r="A722" s="37">
        <f>E722</f>
        <v/>
      </c>
      <c r="B722" s="117" t="s">
        <v>157</v>
      </c>
      <c r="C722" s="117" t="s">
        <v>105</v>
      </c>
      <c r="D722" s="117" t="s">
        <v>138</v>
      </c>
      <c r="E722" s="117" t="n">
        <v>515793</v>
      </c>
      <c r="F722" s="117" t="s">
        <v>160</v>
      </c>
      <c r="G722" s="117" t="n">
        <v>10990</v>
      </c>
      <c r="H722" s="117" t="n">
        <v>4</v>
      </c>
      <c r="I722" s="393" t="n">
        <v>43385.6</v>
      </c>
      <c r="J722" s="3" t="s">
        <v>154</v>
      </c>
      <c r="K722" s="171">
        <f>VLOOKUP(D722,Base!D:E,2,0)</f>
        <v/>
      </c>
    </row>
    <row customHeight="1" ht="15" r="723" s="183" spans="1:15">
      <c r="A723" s="37">
        <f>E723</f>
        <v/>
      </c>
      <c r="B723" s="117" t="s">
        <v>157</v>
      </c>
      <c r="C723" s="117" t="s">
        <v>105</v>
      </c>
      <c r="D723" s="117" t="s">
        <v>139</v>
      </c>
      <c r="E723" s="117" t="n">
        <v>515793</v>
      </c>
      <c r="F723" s="117" t="s">
        <v>160</v>
      </c>
      <c r="G723" s="117" t="n">
        <v>10990</v>
      </c>
      <c r="H723" s="117" t="n">
        <v>5</v>
      </c>
      <c r="I723" s="393" t="n">
        <v>43385.59930555556</v>
      </c>
      <c r="J723" s="3" t="s">
        <v>154</v>
      </c>
      <c r="K723" s="171">
        <f>VLOOKUP(D723,Base!D:E,2,0)</f>
        <v/>
      </c>
    </row>
    <row customHeight="1" ht="15" r="724" s="183" spans="1:15">
      <c r="A724" s="37">
        <f>E724</f>
        <v/>
      </c>
      <c r="B724" s="117" t="s">
        <v>157</v>
      </c>
      <c r="C724" s="117" t="s">
        <v>105</v>
      </c>
      <c r="D724" s="117" t="s">
        <v>140</v>
      </c>
      <c r="E724" s="117" t="n">
        <v>515793</v>
      </c>
      <c r="F724" s="117" t="s">
        <v>160</v>
      </c>
      <c r="G724" s="117" t="n">
        <v>10990</v>
      </c>
      <c r="H724" s="117" t="n">
        <v>5</v>
      </c>
      <c r="I724" s="393" t="n">
        <v>43385.60069444445</v>
      </c>
      <c r="J724" s="3" t="s">
        <v>154</v>
      </c>
      <c r="K724" s="171">
        <f>VLOOKUP(D724,Base!D:E,2,0)</f>
        <v/>
      </c>
    </row>
    <row customHeight="1" ht="15" r="725" s="183" spans="1:15">
      <c r="A725" s="37">
        <f>E725</f>
        <v/>
      </c>
      <c r="B725" s="117" t="s">
        <v>157</v>
      </c>
      <c r="C725" s="117" t="s">
        <v>105</v>
      </c>
      <c r="D725" s="117" t="s">
        <v>141</v>
      </c>
      <c r="E725" s="117" t="n">
        <v>515793</v>
      </c>
      <c r="F725" s="117" t="s">
        <v>160</v>
      </c>
      <c r="G725" s="117" t="n">
        <v>10990</v>
      </c>
      <c r="H725" s="117" t="n">
        <v>4</v>
      </c>
      <c r="I725" s="393" t="n">
        <v>43385.60277777778</v>
      </c>
      <c r="J725" s="3" t="s">
        <v>154</v>
      </c>
      <c r="K725" s="171">
        <f>VLOOKUP(D725,Base!D:E,2,0)</f>
        <v/>
      </c>
    </row>
    <row customHeight="1" ht="15" r="726" s="183" spans="1:15">
      <c r="A726" s="37">
        <f>E726</f>
        <v/>
      </c>
      <c r="B726" s="117" t="s">
        <v>157</v>
      </c>
      <c r="C726" s="117" t="s">
        <v>105</v>
      </c>
      <c r="D726" s="117" t="s">
        <v>142</v>
      </c>
      <c r="E726" s="117" t="n">
        <v>515793</v>
      </c>
      <c r="F726" s="117" t="s">
        <v>160</v>
      </c>
      <c r="G726" s="117" t="n">
        <v>10990</v>
      </c>
      <c r="H726" s="117" t="n">
        <v>5</v>
      </c>
      <c r="I726" s="393" t="n">
        <v>43385.60138888889</v>
      </c>
      <c r="J726" s="3" t="s">
        <v>154</v>
      </c>
      <c r="K726" s="171">
        <f>VLOOKUP(D726,Base!D:E,2,0)</f>
        <v/>
      </c>
    </row>
    <row customHeight="1" ht="15" r="727" s="183" spans="1:15">
      <c r="A727" s="37">
        <f>E727</f>
        <v/>
      </c>
      <c r="B727" s="117" t="s">
        <v>157</v>
      </c>
      <c r="C727" s="117" t="s">
        <v>105</v>
      </c>
      <c r="D727" s="117" t="s">
        <v>143</v>
      </c>
      <c r="E727" s="117" t="n">
        <v>515793</v>
      </c>
      <c r="F727" s="117" t="s">
        <v>160</v>
      </c>
      <c r="G727" s="117" t="n">
        <v>10990</v>
      </c>
      <c r="H727" s="117" t="n">
        <v>4</v>
      </c>
      <c r="I727" s="393" t="n">
        <v>43385.59930555556</v>
      </c>
      <c r="J727" s="3" t="s">
        <v>154</v>
      </c>
      <c r="K727" s="171">
        <f>VLOOKUP(D727,Base!D:E,2,0)</f>
        <v/>
      </c>
    </row>
    <row customHeight="1" ht="15" r="728" s="183" spans="1:15">
      <c r="A728" s="37">
        <f>E728</f>
        <v/>
      </c>
      <c r="B728" s="117" t="s">
        <v>157</v>
      </c>
      <c r="C728" s="117" t="s">
        <v>105</v>
      </c>
      <c r="D728" s="117" t="s">
        <v>144</v>
      </c>
      <c r="E728" s="117" t="n">
        <v>515793</v>
      </c>
      <c r="F728" s="117" t="s">
        <v>160</v>
      </c>
      <c r="G728" s="117" t="n">
        <v>10990</v>
      </c>
      <c r="H728" s="117" t="n">
        <v>5</v>
      </c>
      <c r="I728" s="393" t="n">
        <v>43385.59930555556</v>
      </c>
      <c r="J728" s="3" t="s">
        <v>154</v>
      </c>
      <c r="K728" s="171">
        <f>VLOOKUP(D728,Base!D:E,2,0)</f>
        <v/>
      </c>
    </row>
    <row customHeight="1" ht="15" r="729" s="183" spans="1:15">
      <c r="A729" s="37">
        <f>E729</f>
        <v/>
      </c>
      <c r="B729" s="117" t="s">
        <v>157</v>
      </c>
      <c r="C729" s="117" t="s">
        <v>105</v>
      </c>
      <c r="D729" s="117" t="s">
        <v>145</v>
      </c>
      <c r="E729" s="117" t="n">
        <v>515793</v>
      </c>
      <c r="F729" s="117" t="s">
        <v>160</v>
      </c>
      <c r="G729" s="117" t="n">
        <v>10990</v>
      </c>
      <c r="H729" s="117" t="n">
        <v>4</v>
      </c>
      <c r="I729" s="393" t="n">
        <v>43385.60347222222</v>
      </c>
      <c r="J729" s="3" t="s">
        <v>154</v>
      </c>
      <c r="K729" s="171">
        <f>VLOOKUP(D729,Base!D:E,2,0)</f>
        <v/>
      </c>
    </row>
    <row customHeight="1" ht="15" r="730" s="183" spans="1:15">
      <c r="A730" s="37">
        <f>E730</f>
        <v/>
      </c>
      <c r="B730" s="117" t="s">
        <v>157</v>
      </c>
      <c r="C730" s="117" t="s">
        <v>105</v>
      </c>
      <c r="D730" s="117" t="s">
        <v>146</v>
      </c>
      <c r="E730" s="117" t="n">
        <v>515793</v>
      </c>
      <c r="F730" s="117" t="s">
        <v>160</v>
      </c>
      <c r="G730" s="117" t="n">
        <v>11990</v>
      </c>
      <c r="H730" s="117" t="n">
        <v>5</v>
      </c>
      <c r="I730" s="393" t="n">
        <v>43385.59930555556</v>
      </c>
      <c r="J730" s="3" t="s">
        <v>154</v>
      </c>
      <c r="K730" s="171">
        <f>VLOOKUP(D730,Base!D:E,2,0)</f>
        <v/>
      </c>
    </row>
    <row customHeight="1" ht="15" r="731" s="183" spans="1:15">
      <c r="A731" s="37">
        <f>E731</f>
        <v/>
      </c>
      <c r="B731" s="117" t="s">
        <v>157</v>
      </c>
      <c r="C731" s="117" t="s">
        <v>105</v>
      </c>
      <c r="D731" s="117" t="s">
        <v>147</v>
      </c>
      <c r="E731" s="117" t="n">
        <v>515793</v>
      </c>
      <c r="F731" s="117" t="s">
        <v>160</v>
      </c>
      <c r="G731" s="117" t="n">
        <v>10990</v>
      </c>
      <c r="H731" s="117" t="n">
        <v>4</v>
      </c>
      <c r="I731" s="393" t="n">
        <v>43385.59930555556</v>
      </c>
      <c r="J731" s="3" t="s">
        <v>154</v>
      </c>
      <c r="K731" s="171">
        <f>VLOOKUP(D731,Base!D:E,2,0)</f>
        <v/>
      </c>
    </row>
    <row customHeight="1" ht="15" r="732" s="183" spans="1:15">
      <c r="A732" s="37">
        <f>E732</f>
        <v/>
      </c>
      <c r="B732" s="117" t="s">
        <v>157</v>
      </c>
      <c r="C732" s="117" t="s">
        <v>36</v>
      </c>
      <c r="D732" s="117" t="s">
        <v>37</v>
      </c>
      <c r="E732" s="117" t="n">
        <v>954134</v>
      </c>
      <c r="F732" s="117" t="s">
        <v>161</v>
      </c>
      <c r="G732" s="117" t="n">
        <v>10990</v>
      </c>
      <c r="H732" s="117" t="n">
        <v>8</v>
      </c>
      <c r="I732" s="393" t="n">
        <v>43385.59930555556</v>
      </c>
      <c r="J732" s="3" t="s">
        <v>152</v>
      </c>
      <c r="K732" s="171">
        <f>VLOOKUP(D732,Base!D:E,2,0)</f>
        <v/>
      </c>
    </row>
    <row customHeight="1" ht="15" r="733" s="183" spans="1:15">
      <c r="A733" s="37">
        <f>E733</f>
        <v/>
      </c>
      <c r="B733" s="117" t="s">
        <v>157</v>
      </c>
      <c r="C733" s="117" t="s">
        <v>36</v>
      </c>
      <c r="D733" s="117" t="s">
        <v>42</v>
      </c>
      <c r="E733" s="117" t="n">
        <v>954134</v>
      </c>
      <c r="F733" s="117" t="s">
        <v>161</v>
      </c>
      <c r="G733" s="117" t="n">
        <v>10990</v>
      </c>
      <c r="H733" s="117" t="n">
        <v>8</v>
      </c>
      <c r="I733" s="393" t="n">
        <v>43385.59930555556</v>
      </c>
      <c r="J733" s="3" t="s">
        <v>152</v>
      </c>
      <c r="K733" s="171">
        <f>VLOOKUP(D733,Base!D:E,2,0)</f>
        <v/>
      </c>
    </row>
    <row customHeight="1" ht="15" r="734" s="183" spans="1:15">
      <c r="A734" s="37">
        <f>E734</f>
        <v/>
      </c>
      <c r="B734" s="117" t="s">
        <v>157</v>
      </c>
      <c r="C734" s="117" t="s">
        <v>44</v>
      </c>
      <c r="D734" s="117" t="s">
        <v>45</v>
      </c>
      <c r="E734" s="117" t="n">
        <v>954134</v>
      </c>
      <c r="F734" s="117" t="s">
        <v>161</v>
      </c>
      <c r="G734" s="117" t="n">
        <v>10990</v>
      </c>
      <c r="H734" s="117" t="n">
        <v>10</v>
      </c>
      <c r="I734" s="393" t="n">
        <v>43385.59930555556</v>
      </c>
      <c r="J734" s="3" t="s">
        <v>152</v>
      </c>
      <c r="K734" s="171">
        <f>VLOOKUP(D734,Base!D:E,2,0)</f>
        <v/>
      </c>
    </row>
    <row customHeight="1" ht="15" r="735" s="183" spans="1:15">
      <c r="A735" s="37">
        <f>E735</f>
        <v/>
      </c>
      <c r="B735" s="117" t="s">
        <v>157</v>
      </c>
      <c r="C735" s="117" t="s">
        <v>46</v>
      </c>
      <c r="D735" s="117" t="s">
        <v>47</v>
      </c>
      <c r="E735" s="117" t="n">
        <v>954134</v>
      </c>
      <c r="F735" s="117" t="s">
        <v>161</v>
      </c>
      <c r="G735" s="117" t="n">
        <v>10990</v>
      </c>
      <c r="H735" s="117" t="n">
        <v>7</v>
      </c>
      <c r="I735" s="393" t="n">
        <v>43385.59930555556</v>
      </c>
      <c r="J735" s="3" t="s">
        <v>152</v>
      </c>
      <c r="K735" s="171">
        <f>VLOOKUP(D735,Base!D:E,2,0)</f>
        <v/>
      </c>
    </row>
    <row customHeight="1" ht="15" r="736" s="183" spans="1:15">
      <c r="A736" s="37">
        <f>E736</f>
        <v/>
      </c>
      <c r="B736" s="117" t="s">
        <v>157</v>
      </c>
      <c r="C736" s="117" t="s">
        <v>46</v>
      </c>
      <c r="D736" s="117" t="s">
        <v>48</v>
      </c>
      <c r="E736" s="117" t="n">
        <v>954134</v>
      </c>
      <c r="F736" s="117" t="s">
        <v>161</v>
      </c>
      <c r="G736" s="117" t="n">
        <v>12990</v>
      </c>
      <c r="H736" s="117" t="n">
        <v>12</v>
      </c>
      <c r="I736" s="393" t="n">
        <v>43385.59930555556</v>
      </c>
      <c r="J736" s="3" t="s">
        <v>152</v>
      </c>
      <c r="K736" s="171">
        <f>VLOOKUP(D736,Base!D:E,2,0)</f>
        <v/>
      </c>
    </row>
    <row customHeight="1" ht="15" r="737" s="183" spans="1:15">
      <c r="A737" s="37">
        <f>E737</f>
        <v/>
      </c>
      <c r="B737" s="117" t="s">
        <v>157</v>
      </c>
      <c r="C737" s="117" t="s">
        <v>51</v>
      </c>
      <c r="D737" s="117" t="s">
        <v>52</v>
      </c>
      <c r="E737" s="117" t="n">
        <v>954134</v>
      </c>
      <c r="F737" s="117" t="s">
        <v>161</v>
      </c>
      <c r="G737" s="117" t="n">
        <v>9990</v>
      </c>
      <c r="H737" s="117" t="n">
        <v>6</v>
      </c>
      <c r="I737" s="393" t="n">
        <v>43385.59930555556</v>
      </c>
      <c r="J737" s="3" t="s">
        <v>152</v>
      </c>
      <c r="K737" s="171">
        <f>VLOOKUP(D737,Base!D:E,2,0)</f>
        <v/>
      </c>
    </row>
    <row customHeight="1" ht="15" r="738" s="183" spans="1:15">
      <c r="A738" s="37">
        <f>E738</f>
        <v/>
      </c>
      <c r="B738" s="117" t="s">
        <v>157</v>
      </c>
      <c r="C738" s="117" t="s">
        <v>51</v>
      </c>
      <c r="D738" s="117" t="s">
        <v>53</v>
      </c>
      <c r="E738" s="117" t="n">
        <v>954134</v>
      </c>
      <c r="F738" s="117" t="s">
        <v>161</v>
      </c>
      <c r="G738" s="117" t="n">
        <v>9990</v>
      </c>
      <c r="H738" s="117" t="n">
        <v>7</v>
      </c>
      <c r="I738" s="393" t="n">
        <v>43385.59930555556</v>
      </c>
      <c r="J738" s="3" t="s">
        <v>152</v>
      </c>
      <c r="K738" s="171">
        <f>VLOOKUP(D738,Base!D:E,2,0)</f>
        <v/>
      </c>
    </row>
    <row customHeight="1" ht="15" r="739" s="183" spans="1:15">
      <c r="A739" s="37">
        <f>E739</f>
        <v/>
      </c>
      <c r="B739" s="117" t="s">
        <v>157</v>
      </c>
      <c r="C739" s="117" t="s">
        <v>51</v>
      </c>
      <c r="D739" s="117" t="s">
        <v>54</v>
      </c>
      <c r="E739" s="117" t="n">
        <v>954134</v>
      </c>
      <c r="F739" s="117" t="s">
        <v>161</v>
      </c>
      <c r="G739" s="117" t="n">
        <v>9990</v>
      </c>
      <c r="H739" s="117" t="n">
        <v>6</v>
      </c>
      <c r="I739" s="393" t="n">
        <v>43385.59930555556</v>
      </c>
      <c r="J739" s="3" t="s">
        <v>152</v>
      </c>
      <c r="K739" s="171">
        <f>VLOOKUP(D739,Base!D:E,2,0)</f>
        <v/>
      </c>
    </row>
    <row customHeight="1" ht="15" r="740" s="183" spans="1:15">
      <c r="A740" s="37">
        <f>E740</f>
        <v/>
      </c>
      <c r="B740" s="117" t="s">
        <v>157</v>
      </c>
      <c r="C740" s="117" t="s">
        <v>51</v>
      </c>
      <c r="D740" s="117" t="s">
        <v>55</v>
      </c>
      <c r="E740" s="117" t="n">
        <v>954134</v>
      </c>
      <c r="F740" s="117" t="s">
        <v>161</v>
      </c>
      <c r="G740" s="117" t="n">
        <v>9990</v>
      </c>
      <c r="H740" s="117" t="n">
        <v>7</v>
      </c>
      <c r="I740" s="393" t="n">
        <v>43385.59861111111</v>
      </c>
      <c r="J740" s="3" t="s">
        <v>152</v>
      </c>
      <c r="K740" s="171">
        <f>VLOOKUP(D740,Base!D:E,2,0)</f>
        <v/>
      </c>
    </row>
    <row customHeight="1" ht="15" r="741" s="183" spans="1:15">
      <c r="A741" s="37">
        <f>E741</f>
        <v/>
      </c>
      <c r="B741" s="117" t="s">
        <v>157</v>
      </c>
      <c r="C741" s="117" t="s">
        <v>51</v>
      </c>
      <c r="D741" s="117" t="s">
        <v>56</v>
      </c>
      <c r="E741" s="117" t="n">
        <v>954134</v>
      </c>
      <c r="F741" s="117" t="s">
        <v>161</v>
      </c>
      <c r="G741" s="117" t="n">
        <v>9990</v>
      </c>
      <c r="H741" s="117" t="n">
        <v>6</v>
      </c>
      <c r="I741" s="393" t="n">
        <v>43385.59930555556</v>
      </c>
      <c r="J741" s="3" t="s">
        <v>152</v>
      </c>
      <c r="K741" s="171">
        <f>VLOOKUP(D741,Base!D:E,2,0)</f>
        <v/>
      </c>
    </row>
    <row customHeight="1" ht="15" r="742" s="183" spans="1:15">
      <c r="A742" s="37">
        <f>E742</f>
        <v/>
      </c>
      <c r="B742" s="117" t="s">
        <v>157</v>
      </c>
      <c r="C742" s="117" t="s">
        <v>51</v>
      </c>
      <c r="D742" s="117" t="s">
        <v>57</v>
      </c>
      <c r="E742" s="117" t="n">
        <v>954134</v>
      </c>
      <c r="F742" s="117" t="s">
        <v>161</v>
      </c>
      <c r="G742" s="117" t="n">
        <v>9990</v>
      </c>
      <c r="H742" s="117" t="n">
        <v>7</v>
      </c>
      <c r="I742" s="393" t="n">
        <v>43385.59930555556</v>
      </c>
      <c r="J742" s="3" t="s">
        <v>152</v>
      </c>
      <c r="K742" s="171">
        <f>VLOOKUP(D742,Base!D:E,2,0)</f>
        <v/>
      </c>
    </row>
    <row customHeight="1" ht="15" r="743" s="183" spans="1:15">
      <c r="A743" s="37">
        <f>E743</f>
        <v/>
      </c>
      <c r="B743" s="117" t="s">
        <v>157</v>
      </c>
      <c r="C743" s="117" t="s">
        <v>58</v>
      </c>
      <c r="D743" s="117" t="s">
        <v>59</v>
      </c>
      <c r="E743" s="117" t="n">
        <v>954134</v>
      </c>
      <c r="F743" s="117" t="s">
        <v>161</v>
      </c>
      <c r="G743" s="117" t="n">
        <v>7990</v>
      </c>
      <c r="H743" s="117" t="n">
        <v>11</v>
      </c>
      <c r="I743" s="393" t="n">
        <v>43385.59861111111</v>
      </c>
      <c r="J743" s="3" t="s">
        <v>152</v>
      </c>
      <c r="K743" s="171">
        <f>VLOOKUP(D743,Base!D:E,2,0)</f>
        <v/>
      </c>
    </row>
    <row customHeight="1" ht="15" r="744" s="183" spans="1:15">
      <c r="A744" s="37">
        <f>E744</f>
        <v/>
      </c>
      <c r="B744" s="117" t="s">
        <v>157</v>
      </c>
      <c r="C744" s="117" t="s">
        <v>58</v>
      </c>
      <c r="D744" s="117" t="s">
        <v>60</v>
      </c>
      <c r="E744" s="117" t="n">
        <v>954134</v>
      </c>
      <c r="F744" s="117" t="s">
        <v>161</v>
      </c>
      <c r="G744" s="117" t="n">
        <v>7990</v>
      </c>
      <c r="H744" s="117" t="n">
        <v>10</v>
      </c>
      <c r="I744" s="393" t="n">
        <v>43385.59861111111</v>
      </c>
      <c r="J744" s="3" t="s">
        <v>152</v>
      </c>
      <c r="K744" s="171">
        <f>VLOOKUP(D744,Base!D:E,2,0)</f>
        <v/>
      </c>
    </row>
    <row customHeight="1" ht="15" r="745" s="183" spans="1:15">
      <c r="A745" s="37">
        <f>E745</f>
        <v/>
      </c>
      <c r="B745" s="117" t="s">
        <v>157</v>
      </c>
      <c r="C745" s="117" t="s">
        <v>58</v>
      </c>
      <c r="D745" s="117" t="s">
        <v>61</v>
      </c>
      <c r="E745" s="117" t="n">
        <v>954134</v>
      </c>
      <c r="F745" s="117" t="s">
        <v>161</v>
      </c>
      <c r="G745" s="117" t="n">
        <v>7990</v>
      </c>
      <c r="H745" s="117" t="n">
        <v>6</v>
      </c>
      <c r="I745" s="393" t="n">
        <v>43385.59930555556</v>
      </c>
      <c r="J745" s="3" t="s">
        <v>152</v>
      </c>
      <c r="K745" s="171">
        <f>VLOOKUP(D745,Base!D:E,2,0)</f>
        <v/>
      </c>
    </row>
    <row customHeight="1" ht="15" r="746" s="183" spans="1:15">
      <c r="A746" s="37">
        <f>E746</f>
        <v/>
      </c>
      <c r="B746" s="117" t="s">
        <v>157</v>
      </c>
      <c r="C746" s="117" t="s">
        <v>58</v>
      </c>
      <c r="D746" s="117" t="s">
        <v>62</v>
      </c>
      <c r="E746" s="117" t="n">
        <v>954134</v>
      </c>
      <c r="F746" s="117" t="s">
        <v>161</v>
      </c>
      <c r="G746" s="117" t="n">
        <v>7990</v>
      </c>
      <c r="H746" s="117" t="n">
        <v>10</v>
      </c>
      <c r="I746" s="393" t="n">
        <v>43385.59930555556</v>
      </c>
      <c r="J746" s="3" t="s">
        <v>152</v>
      </c>
      <c r="K746" s="171">
        <f>VLOOKUP(D746,Base!D:E,2,0)</f>
        <v/>
      </c>
    </row>
    <row customHeight="1" ht="15" r="747" s="183" spans="1:15">
      <c r="A747" s="37">
        <f>E747</f>
        <v/>
      </c>
      <c r="B747" s="117" t="s">
        <v>157</v>
      </c>
      <c r="C747" s="117" t="s">
        <v>63</v>
      </c>
      <c r="D747" s="117" t="s">
        <v>64</v>
      </c>
      <c r="E747" s="117" t="n">
        <v>954134</v>
      </c>
      <c r="F747" s="117" t="s">
        <v>161</v>
      </c>
      <c r="G747" s="117" t="n">
        <v>10990</v>
      </c>
      <c r="H747" s="117" t="n">
        <v>11</v>
      </c>
      <c r="I747" s="393" t="n">
        <v>43385.59930555556</v>
      </c>
      <c r="J747" s="3" t="s">
        <v>152</v>
      </c>
      <c r="K747" s="171">
        <f>VLOOKUP(D747,Base!D:E,2,0)</f>
        <v/>
      </c>
    </row>
    <row customHeight="1" ht="15" r="748" s="183" spans="1:15">
      <c r="A748" s="37">
        <f>E748</f>
        <v/>
      </c>
      <c r="B748" s="117" t="s">
        <v>157</v>
      </c>
      <c r="C748" s="117" t="s">
        <v>63</v>
      </c>
      <c r="D748" s="117" t="s">
        <v>65</v>
      </c>
      <c r="E748" s="117" t="n">
        <v>954134</v>
      </c>
      <c r="F748" s="117" t="s">
        <v>161</v>
      </c>
      <c r="G748" s="117" t="n">
        <v>10990</v>
      </c>
      <c r="H748" s="117" t="n">
        <v>7</v>
      </c>
      <c r="I748" s="393" t="n">
        <v>43385.59930555556</v>
      </c>
      <c r="J748" s="3" t="s">
        <v>152</v>
      </c>
      <c r="K748" s="171">
        <f>VLOOKUP(D748,Base!D:E,2,0)</f>
        <v/>
      </c>
    </row>
    <row customHeight="1" ht="15" r="749" s="183" spans="1:15">
      <c r="A749" s="37">
        <f>E749</f>
        <v/>
      </c>
      <c r="B749" s="117" t="s">
        <v>157</v>
      </c>
      <c r="C749" s="117" t="s">
        <v>63</v>
      </c>
      <c r="D749" s="117" t="s">
        <v>66</v>
      </c>
      <c r="E749" s="117" t="n">
        <v>954134</v>
      </c>
      <c r="F749" s="117" t="s">
        <v>161</v>
      </c>
      <c r="G749" s="117" t="n">
        <v>10990</v>
      </c>
      <c r="H749" s="117" t="n">
        <v>7</v>
      </c>
      <c r="I749" s="393" t="n">
        <v>43385.59861111111</v>
      </c>
      <c r="J749" s="3" t="s">
        <v>152</v>
      </c>
      <c r="K749" s="171">
        <f>VLOOKUP(D749,Base!D:E,2,0)</f>
        <v/>
      </c>
    </row>
    <row customHeight="1" ht="15" r="750" s="183" spans="1:15">
      <c r="A750" s="37">
        <f>E750</f>
        <v/>
      </c>
      <c r="B750" s="117" t="s">
        <v>157</v>
      </c>
      <c r="C750" s="117" t="s">
        <v>63</v>
      </c>
      <c r="D750" s="117" t="s">
        <v>67</v>
      </c>
      <c r="E750" s="117" t="n">
        <v>954134</v>
      </c>
      <c r="F750" s="117" t="s">
        <v>161</v>
      </c>
      <c r="G750" s="117" t="n">
        <v>10990</v>
      </c>
      <c r="H750" s="117" t="n">
        <v>7</v>
      </c>
      <c r="I750" s="393" t="n">
        <v>43385.59930555556</v>
      </c>
      <c r="J750" s="3" t="s">
        <v>152</v>
      </c>
      <c r="K750" s="171">
        <f>VLOOKUP(D750,Base!D:E,2,0)</f>
        <v/>
      </c>
    </row>
    <row customHeight="1" ht="15" r="751" s="183" spans="1:15">
      <c r="A751" s="37">
        <f>E751</f>
        <v/>
      </c>
      <c r="B751" s="117" t="s">
        <v>157</v>
      </c>
      <c r="C751" s="117" t="s">
        <v>68</v>
      </c>
      <c r="D751" s="117" t="s">
        <v>69</v>
      </c>
      <c r="E751" s="117" t="n">
        <v>954134</v>
      </c>
      <c r="F751" s="117" t="s">
        <v>161</v>
      </c>
      <c r="G751" s="117" t="n">
        <v>10990</v>
      </c>
      <c r="H751" s="117" t="n">
        <v>11</v>
      </c>
      <c r="I751" s="393" t="n">
        <v>43385.59930555556</v>
      </c>
      <c r="J751" s="3" t="s">
        <v>152</v>
      </c>
      <c r="K751" s="171">
        <f>VLOOKUP(D751,Base!D:E,2,0)</f>
        <v/>
      </c>
    </row>
    <row customHeight="1" ht="15" r="752" s="183" spans="1:15">
      <c r="A752" s="37">
        <f>E752</f>
        <v/>
      </c>
      <c r="B752" s="117" t="s">
        <v>157</v>
      </c>
      <c r="C752" s="117" t="s">
        <v>68</v>
      </c>
      <c r="D752" s="117" t="s">
        <v>70</v>
      </c>
      <c r="E752" s="117" t="n">
        <v>954134</v>
      </c>
      <c r="F752" s="117" t="s">
        <v>161</v>
      </c>
      <c r="G752" s="117" t="n">
        <v>10990</v>
      </c>
      <c r="H752" s="117" t="n">
        <v>10</v>
      </c>
      <c r="I752" s="393" t="n">
        <v>43385.59930555556</v>
      </c>
      <c r="J752" s="3" t="s">
        <v>152</v>
      </c>
      <c r="K752" s="171">
        <f>VLOOKUP(D752,Base!D:E,2,0)</f>
        <v/>
      </c>
    </row>
    <row customHeight="1" ht="15" r="753" s="183" spans="1:15">
      <c r="A753" s="37">
        <f>E753</f>
        <v/>
      </c>
      <c r="B753" s="117" t="s">
        <v>157</v>
      </c>
      <c r="C753" s="117" t="s">
        <v>73</v>
      </c>
      <c r="D753" s="117" t="s">
        <v>74</v>
      </c>
      <c r="E753" s="117" t="n">
        <v>954134</v>
      </c>
      <c r="F753" s="117" t="s">
        <v>161</v>
      </c>
      <c r="G753" s="117" t="n">
        <v>10990</v>
      </c>
      <c r="H753" s="117" t="n">
        <v>10</v>
      </c>
      <c r="I753" s="393" t="n">
        <v>43385.59930555556</v>
      </c>
      <c r="J753" s="3" t="s">
        <v>152</v>
      </c>
      <c r="K753" s="171">
        <f>VLOOKUP(D753,Base!D:E,2,0)</f>
        <v/>
      </c>
    </row>
    <row customHeight="1" ht="15" r="754" s="183" spans="1:15">
      <c r="A754" s="37">
        <f>E754</f>
        <v/>
      </c>
      <c r="B754" s="117" t="s">
        <v>157</v>
      </c>
      <c r="C754" s="117" t="s">
        <v>75</v>
      </c>
      <c r="D754" s="117" t="s">
        <v>76</v>
      </c>
      <c r="E754" s="117" t="n">
        <v>954134</v>
      </c>
      <c r="F754" s="117" t="s">
        <v>161</v>
      </c>
      <c r="G754" s="117" t="n">
        <v>6490</v>
      </c>
      <c r="H754" s="117" t="n">
        <v>4</v>
      </c>
      <c r="I754" s="393" t="n">
        <v>43385.59930555556</v>
      </c>
      <c r="J754" s="3" t="s">
        <v>152</v>
      </c>
      <c r="K754" s="171">
        <f>VLOOKUP(D754,Base!D:E,2,0)</f>
        <v/>
      </c>
    </row>
    <row customHeight="1" ht="15" r="755" s="183" spans="1:15">
      <c r="A755" s="37">
        <f>E755</f>
        <v/>
      </c>
      <c r="B755" s="117" t="s">
        <v>157</v>
      </c>
      <c r="C755" s="117" t="s">
        <v>75</v>
      </c>
      <c r="D755" s="117" t="s">
        <v>77</v>
      </c>
      <c r="E755" s="117" t="n">
        <v>954134</v>
      </c>
      <c r="F755" s="117" t="s">
        <v>161</v>
      </c>
      <c r="G755" s="117" t="n">
        <v>6490</v>
      </c>
      <c r="H755" s="117" t="n">
        <v>5</v>
      </c>
      <c r="I755" s="393" t="n">
        <v>43385.59930555556</v>
      </c>
      <c r="J755" s="3" t="s">
        <v>152</v>
      </c>
      <c r="K755" s="171">
        <f>VLOOKUP(D755,Base!D:E,2,0)</f>
        <v/>
      </c>
    </row>
    <row customHeight="1" ht="15" r="756" s="183" spans="1:15">
      <c r="A756" s="37">
        <f>E756</f>
        <v/>
      </c>
      <c r="B756" s="117" t="s">
        <v>157</v>
      </c>
      <c r="C756" s="117" t="s">
        <v>75</v>
      </c>
      <c r="D756" s="117" t="s">
        <v>78</v>
      </c>
      <c r="E756" s="117" t="n">
        <v>954134</v>
      </c>
      <c r="F756" s="117" t="s">
        <v>161</v>
      </c>
      <c r="G756" s="117" t="n">
        <v>7490</v>
      </c>
      <c r="H756" s="117" t="n">
        <v>5</v>
      </c>
      <c r="I756" s="393" t="n">
        <v>43385.59930555556</v>
      </c>
      <c r="J756" s="3" t="s">
        <v>152</v>
      </c>
      <c r="K756" s="171">
        <f>VLOOKUP(D756,Base!D:E,2,0)</f>
        <v/>
      </c>
    </row>
    <row customHeight="1" ht="15" r="757" s="183" spans="1:15">
      <c r="A757" s="37">
        <f>E757</f>
        <v/>
      </c>
      <c r="B757" s="117" t="s">
        <v>157</v>
      </c>
      <c r="C757" s="117" t="s">
        <v>75</v>
      </c>
      <c r="D757" s="117" t="s">
        <v>79</v>
      </c>
      <c r="E757" s="117" t="n">
        <v>954134</v>
      </c>
      <c r="F757" s="117" t="s">
        <v>161</v>
      </c>
      <c r="G757" s="117" t="n">
        <v>6490</v>
      </c>
      <c r="H757" s="117" t="n">
        <v>4</v>
      </c>
      <c r="I757" s="393" t="n">
        <v>43385.59930555556</v>
      </c>
      <c r="J757" s="3" t="s">
        <v>152</v>
      </c>
      <c r="K757" s="171">
        <f>VLOOKUP(D757,Base!D:E,2,0)</f>
        <v/>
      </c>
    </row>
    <row customHeight="1" ht="15" r="758" s="183" spans="1:15">
      <c r="A758" s="37">
        <f>E758</f>
        <v/>
      </c>
      <c r="B758" s="117" t="s">
        <v>157</v>
      </c>
      <c r="C758" s="117" t="s">
        <v>75</v>
      </c>
      <c r="D758" s="117" t="s">
        <v>80</v>
      </c>
      <c r="E758" s="117" t="n">
        <v>954134</v>
      </c>
      <c r="F758" s="117" t="s">
        <v>161</v>
      </c>
      <c r="G758" s="117" t="n">
        <v>6490</v>
      </c>
      <c r="H758" s="117" t="n">
        <v>4</v>
      </c>
      <c r="I758" s="393" t="n">
        <v>43385.59930555556</v>
      </c>
      <c r="J758" s="3" t="s">
        <v>152</v>
      </c>
      <c r="K758" s="171">
        <f>VLOOKUP(D758,Base!D:E,2,0)</f>
        <v/>
      </c>
    </row>
    <row customHeight="1" ht="15" r="759" s="183" spans="1:15">
      <c r="A759" s="37">
        <f>E759</f>
        <v/>
      </c>
      <c r="B759" s="117" t="s">
        <v>157</v>
      </c>
      <c r="C759" s="117" t="s">
        <v>75</v>
      </c>
      <c r="D759" s="117" t="s">
        <v>81</v>
      </c>
      <c r="E759" s="117" t="n">
        <v>954134</v>
      </c>
      <c r="F759" s="117" t="s">
        <v>161</v>
      </c>
      <c r="G759" s="117" t="n">
        <v>6990</v>
      </c>
      <c r="H759" s="117" t="n">
        <v>4</v>
      </c>
      <c r="I759" s="393" t="n">
        <v>43385.59930555556</v>
      </c>
      <c r="J759" s="3" t="s">
        <v>152</v>
      </c>
      <c r="K759" s="171">
        <f>VLOOKUP(D759,Base!D:E,2,0)</f>
        <v/>
      </c>
    </row>
    <row customHeight="1" ht="15" r="760" s="183" spans="1:15">
      <c r="A760" s="37">
        <f>E760</f>
        <v/>
      </c>
      <c r="B760" s="117" t="s">
        <v>157</v>
      </c>
      <c r="C760" s="117" t="s">
        <v>75</v>
      </c>
      <c r="D760" s="117" t="s">
        <v>82</v>
      </c>
      <c r="E760" s="117" t="n">
        <v>954134</v>
      </c>
      <c r="F760" s="117" t="s">
        <v>161</v>
      </c>
      <c r="G760" s="117" t="n">
        <v>6990</v>
      </c>
      <c r="H760" s="117" t="n">
        <v>6</v>
      </c>
      <c r="I760" s="393" t="n">
        <v>43385.59930555556</v>
      </c>
      <c r="J760" s="3" t="s">
        <v>152</v>
      </c>
      <c r="K760" s="171">
        <f>VLOOKUP(D760,Base!D:E,2,0)</f>
        <v/>
      </c>
    </row>
    <row customHeight="1" ht="15" r="761" s="183" spans="1:15">
      <c r="A761" s="37">
        <f>E761</f>
        <v/>
      </c>
      <c r="B761" s="117" t="s">
        <v>157</v>
      </c>
      <c r="C761" s="117" t="s">
        <v>75</v>
      </c>
      <c r="D761" s="117" t="s">
        <v>83</v>
      </c>
      <c r="E761" s="117" t="n">
        <v>954134</v>
      </c>
      <c r="F761" s="117" t="s">
        <v>161</v>
      </c>
      <c r="G761" s="117" t="n">
        <v>6490</v>
      </c>
      <c r="H761" s="117" t="n">
        <v>4</v>
      </c>
      <c r="I761" s="393" t="n">
        <v>43385.59930555556</v>
      </c>
      <c r="J761" s="3" t="s">
        <v>152</v>
      </c>
      <c r="K761" s="171">
        <f>VLOOKUP(D761,Base!D:E,2,0)</f>
        <v/>
      </c>
    </row>
    <row customHeight="1" ht="15" r="762" s="183" spans="1:15">
      <c r="A762" s="37">
        <f>E762</f>
        <v/>
      </c>
      <c r="B762" s="117" t="s">
        <v>157</v>
      </c>
      <c r="C762" s="117" t="s">
        <v>75</v>
      </c>
      <c r="D762" s="117" t="s">
        <v>84</v>
      </c>
      <c r="E762" s="117" t="n">
        <v>954134</v>
      </c>
      <c r="F762" s="117" t="s">
        <v>161</v>
      </c>
      <c r="G762" s="117" t="n">
        <v>6490</v>
      </c>
      <c r="H762" s="117" t="n">
        <v>4</v>
      </c>
      <c r="I762" s="393" t="n">
        <v>43385.59930555556</v>
      </c>
      <c r="J762" s="3" t="s">
        <v>152</v>
      </c>
      <c r="K762" s="171">
        <f>VLOOKUP(D762,Base!D:E,2,0)</f>
        <v/>
      </c>
    </row>
    <row customHeight="1" ht="15" r="763" s="183" spans="1:15">
      <c r="A763" s="37">
        <f>E763</f>
        <v/>
      </c>
      <c r="B763" s="117" t="s">
        <v>157</v>
      </c>
      <c r="C763" s="117" t="s">
        <v>75</v>
      </c>
      <c r="D763" s="117" t="s">
        <v>85</v>
      </c>
      <c r="E763" s="117" t="n">
        <v>954134</v>
      </c>
      <c r="F763" s="117" t="s">
        <v>161</v>
      </c>
      <c r="G763" s="117" t="n">
        <v>6490</v>
      </c>
      <c r="H763" s="117" t="n">
        <v>4</v>
      </c>
      <c r="I763" s="393" t="n">
        <v>43385.59930555556</v>
      </c>
      <c r="J763" s="3" t="s">
        <v>152</v>
      </c>
      <c r="K763" s="171">
        <f>VLOOKUP(D763,Base!D:E,2,0)</f>
        <v/>
      </c>
    </row>
    <row customHeight="1" ht="15" r="764" s="183" spans="1:15">
      <c r="A764" s="37">
        <f>E764</f>
        <v/>
      </c>
      <c r="B764" s="117" t="s">
        <v>157</v>
      </c>
      <c r="C764" s="117" t="s">
        <v>86</v>
      </c>
      <c r="D764" s="117" t="s">
        <v>87</v>
      </c>
      <c r="E764" s="117" t="n">
        <v>954134</v>
      </c>
      <c r="F764" s="117" t="s">
        <v>161</v>
      </c>
      <c r="G764" s="117" t="n">
        <v>7990</v>
      </c>
      <c r="H764" s="117" t="n">
        <v>10</v>
      </c>
      <c r="I764" s="393" t="n">
        <v>43385.59930555556</v>
      </c>
      <c r="J764" s="3" t="s">
        <v>152</v>
      </c>
      <c r="K764" s="171">
        <f>VLOOKUP(D764,Base!D:E,2,0)</f>
        <v/>
      </c>
    </row>
    <row customHeight="1" ht="15" r="765" s="183" spans="1:15">
      <c r="A765" s="37">
        <f>E765</f>
        <v/>
      </c>
      <c r="B765" s="117" t="s">
        <v>157</v>
      </c>
      <c r="C765" s="117" t="s">
        <v>86</v>
      </c>
      <c r="D765" s="117" t="s">
        <v>88</v>
      </c>
      <c r="E765" s="117" t="n">
        <v>954134</v>
      </c>
      <c r="F765" s="117" t="s">
        <v>161</v>
      </c>
      <c r="G765" s="117" t="n">
        <v>5490</v>
      </c>
      <c r="H765" s="117" t="n">
        <v>5</v>
      </c>
      <c r="I765" s="393" t="n">
        <v>43385.59930555556</v>
      </c>
      <c r="J765" s="3" t="s">
        <v>152</v>
      </c>
      <c r="K765" s="171">
        <f>VLOOKUP(D765,Base!D:E,2,0)</f>
        <v/>
      </c>
    </row>
    <row customHeight="1" ht="15" r="766" s="183" spans="1:15">
      <c r="A766" s="37">
        <f>E766</f>
        <v/>
      </c>
      <c r="B766" s="117" t="s">
        <v>157</v>
      </c>
      <c r="C766" s="117" t="s">
        <v>86</v>
      </c>
      <c r="D766" s="117" t="s">
        <v>89</v>
      </c>
      <c r="E766" s="117" t="n">
        <v>954134</v>
      </c>
      <c r="F766" s="117" t="s">
        <v>161</v>
      </c>
      <c r="G766" s="117" t="n">
        <v>5490</v>
      </c>
      <c r="H766" s="117" t="n">
        <v>5</v>
      </c>
      <c r="I766" s="393" t="n">
        <v>43385.59930555556</v>
      </c>
      <c r="J766" s="3" t="s">
        <v>152</v>
      </c>
      <c r="K766" s="171">
        <f>VLOOKUP(D766,Base!D:E,2,0)</f>
        <v/>
      </c>
    </row>
    <row customHeight="1" ht="15" r="767" s="183" spans="1:15">
      <c r="A767" s="37">
        <f>E767</f>
        <v/>
      </c>
      <c r="B767" s="117" t="s">
        <v>157</v>
      </c>
      <c r="C767" s="117" t="s">
        <v>86</v>
      </c>
      <c r="D767" s="117" t="s">
        <v>90</v>
      </c>
      <c r="E767" s="117" t="n">
        <v>954134</v>
      </c>
      <c r="F767" s="117" t="s">
        <v>161</v>
      </c>
      <c r="G767" s="117" t="n">
        <v>5490</v>
      </c>
      <c r="H767" s="117" t="n">
        <v>5</v>
      </c>
      <c r="I767" s="393" t="n">
        <v>43385.59930555556</v>
      </c>
      <c r="J767" s="3" t="s">
        <v>152</v>
      </c>
      <c r="K767" s="171">
        <f>VLOOKUP(D767,Base!D:E,2,0)</f>
        <v/>
      </c>
    </row>
    <row customHeight="1" ht="15" r="768" s="183" spans="1:15">
      <c r="A768" s="37">
        <f>E768</f>
        <v/>
      </c>
      <c r="B768" s="117" t="s">
        <v>157</v>
      </c>
      <c r="C768" s="117" t="s">
        <v>86</v>
      </c>
      <c r="D768" s="117" t="s">
        <v>91</v>
      </c>
      <c r="E768" s="117" t="n">
        <v>954134</v>
      </c>
      <c r="F768" s="117" t="s">
        <v>161</v>
      </c>
      <c r="G768" s="117" t="n">
        <v>5490</v>
      </c>
      <c r="H768" s="117" t="n">
        <v>6</v>
      </c>
      <c r="I768" s="393" t="n">
        <v>43385.59930555556</v>
      </c>
      <c r="J768" s="3" t="s">
        <v>152</v>
      </c>
      <c r="K768" s="171">
        <f>VLOOKUP(D768,Base!D:E,2,0)</f>
        <v/>
      </c>
    </row>
    <row customHeight="1" ht="15" r="769" s="183" spans="1:15">
      <c r="A769" s="37">
        <f>E769</f>
        <v/>
      </c>
      <c r="B769" s="117" t="s">
        <v>157</v>
      </c>
      <c r="C769" s="117" t="s">
        <v>86</v>
      </c>
      <c r="D769" s="117" t="s">
        <v>92</v>
      </c>
      <c r="E769" s="117" t="n">
        <v>954134</v>
      </c>
      <c r="F769" s="117" t="s">
        <v>161</v>
      </c>
      <c r="G769" s="117" t="n">
        <v>7990</v>
      </c>
      <c r="H769" s="117" t="n">
        <v>7</v>
      </c>
      <c r="I769" s="393" t="n">
        <v>43385.59930555556</v>
      </c>
      <c r="J769" s="3" t="s">
        <v>152</v>
      </c>
      <c r="K769" s="171">
        <f>VLOOKUP(D769,Base!D:E,2,0)</f>
        <v/>
      </c>
    </row>
    <row customHeight="1" ht="15" r="770" s="183" spans="1:15">
      <c r="A770" s="37">
        <f>E770</f>
        <v/>
      </c>
      <c r="B770" s="117" t="s">
        <v>157</v>
      </c>
      <c r="C770" s="117" t="s">
        <v>86</v>
      </c>
      <c r="D770" s="117" t="s">
        <v>93</v>
      </c>
      <c r="E770" s="117" t="n">
        <v>954134</v>
      </c>
      <c r="F770" s="117" t="s">
        <v>161</v>
      </c>
      <c r="G770" s="117" t="n">
        <v>5490</v>
      </c>
      <c r="H770" s="117" t="n">
        <v>6</v>
      </c>
      <c r="I770" s="393" t="n">
        <v>43385.59861111111</v>
      </c>
      <c r="J770" s="3" t="s">
        <v>152</v>
      </c>
      <c r="K770" s="171">
        <f>VLOOKUP(D770,Base!D:E,2,0)</f>
        <v/>
      </c>
    </row>
    <row customHeight="1" ht="15" r="771" s="183" spans="1:15">
      <c r="A771" s="37">
        <f>E771</f>
        <v/>
      </c>
      <c r="B771" s="117" t="s">
        <v>157</v>
      </c>
      <c r="C771" s="117" t="s">
        <v>86</v>
      </c>
      <c r="D771" s="117" t="s">
        <v>94</v>
      </c>
      <c r="E771" s="117" t="n">
        <v>954134</v>
      </c>
      <c r="F771" s="117" t="s">
        <v>161</v>
      </c>
      <c r="G771" s="117" t="n">
        <v>5490</v>
      </c>
      <c r="H771" s="117" t="n">
        <v>6</v>
      </c>
      <c r="I771" s="393" t="n">
        <v>43385.59930555556</v>
      </c>
      <c r="J771" s="3" t="s">
        <v>152</v>
      </c>
      <c r="K771" s="171">
        <f>VLOOKUP(D771,Base!D:E,2,0)</f>
        <v/>
      </c>
    </row>
    <row customHeight="1" ht="15" r="772" s="183" spans="1:15">
      <c r="A772" s="37">
        <f>E772</f>
        <v/>
      </c>
      <c r="B772" s="117" t="s">
        <v>157</v>
      </c>
      <c r="C772" s="117" t="s">
        <v>86</v>
      </c>
      <c r="D772" s="117" t="s">
        <v>95</v>
      </c>
      <c r="E772" s="117" t="n">
        <v>954134</v>
      </c>
      <c r="F772" s="117" t="s">
        <v>161</v>
      </c>
      <c r="G772" s="117" t="n">
        <v>5490</v>
      </c>
      <c r="H772" s="117" t="n">
        <v>6</v>
      </c>
      <c r="I772" s="393" t="n">
        <v>43385.59930555556</v>
      </c>
      <c r="J772" s="3" t="s">
        <v>152</v>
      </c>
      <c r="K772" s="171">
        <f>VLOOKUP(D772,Base!D:E,2,0)</f>
        <v/>
      </c>
    </row>
    <row customHeight="1" ht="15" r="773" s="183" spans="1:15">
      <c r="A773" s="37">
        <f>E773</f>
        <v/>
      </c>
      <c r="B773" s="117" t="s">
        <v>157</v>
      </c>
      <c r="C773" s="117" t="s">
        <v>96</v>
      </c>
      <c r="D773" s="117" t="s">
        <v>97</v>
      </c>
      <c r="E773" s="117" t="n">
        <v>954134</v>
      </c>
      <c r="F773" s="117" t="s">
        <v>161</v>
      </c>
      <c r="G773" s="117" t="n">
        <v>5990</v>
      </c>
      <c r="H773" s="117" t="n">
        <v>5</v>
      </c>
      <c r="I773" s="393" t="n">
        <v>43385.59930555556</v>
      </c>
      <c r="J773" s="3" t="s">
        <v>152</v>
      </c>
      <c r="K773" s="171">
        <f>VLOOKUP(D773,Base!D:E,2,0)</f>
        <v/>
      </c>
    </row>
    <row customHeight="1" ht="15" r="774" s="183" spans="1:15">
      <c r="A774" s="37">
        <f>E774</f>
        <v/>
      </c>
      <c r="B774" s="117" t="s">
        <v>157</v>
      </c>
      <c r="C774" s="117" t="s">
        <v>96</v>
      </c>
      <c r="D774" s="117" t="s">
        <v>98</v>
      </c>
      <c r="E774" s="117" t="n">
        <v>954134</v>
      </c>
      <c r="F774" s="117" t="s">
        <v>161</v>
      </c>
      <c r="G774" s="117" t="n">
        <v>4990</v>
      </c>
      <c r="H774" s="117" t="n">
        <v>5</v>
      </c>
      <c r="I774" s="393" t="n">
        <v>43385.59930555556</v>
      </c>
      <c r="J774" s="3" t="s">
        <v>152</v>
      </c>
      <c r="K774" s="171">
        <f>VLOOKUP(D774,Base!D:E,2,0)</f>
        <v/>
      </c>
    </row>
    <row customHeight="1" ht="15" r="775" s="183" spans="1:15">
      <c r="A775" s="37">
        <f>E775</f>
        <v/>
      </c>
      <c r="B775" s="117" t="s">
        <v>157</v>
      </c>
      <c r="C775" s="117" t="s">
        <v>96</v>
      </c>
      <c r="D775" s="117" t="s">
        <v>99</v>
      </c>
      <c r="E775" s="117" t="n">
        <v>954134</v>
      </c>
      <c r="F775" s="117" t="s">
        <v>161</v>
      </c>
      <c r="G775" s="117" t="n">
        <v>5990</v>
      </c>
      <c r="H775" s="117" t="n">
        <v>7</v>
      </c>
      <c r="I775" s="393" t="n">
        <v>43385.59930555556</v>
      </c>
      <c r="J775" s="3" t="s">
        <v>152</v>
      </c>
      <c r="K775" s="171">
        <f>VLOOKUP(D775,Base!D:E,2,0)</f>
        <v/>
      </c>
    </row>
    <row customHeight="1" ht="15" r="776" s="183" spans="1:15">
      <c r="A776" s="37">
        <f>E776</f>
        <v/>
      </c>
      <c r="B776" s="117" t="s">
        <v>157</v>
      </c>
      <c r="C776" s="117" t="s">
        <v>96</v>
      </c>
      <c r="D776" s="117" t="s">
        <v>100</v>
      </c>
      <c r="E776" s="117" t="n">
        <v>954134</v>
      </c>
      <c r="F776" s="117" t="s">
        <v>161</v>
      </c>
      <c r="G776" s="117" t="n">
        <v>5990</v>
      </c>
      <c r="H776" s="117" t="n">
        <v>7</v>
      </c>
      <c r="I776" s="393" t="n">
        <v>43385.59930555556</v>
      </c>
      <c r="J776" s="3" t="s">
        <v>152</v>
      </c>
      <c r="K776" s="171">
        <f>VLOOKUP(D776,Base!D:E,2,0)</f>
        <v/>
      </c>
    </row>
    <row customHeight="1" ht="15" r="777" s="183" spans="1:15">
      <c r="A777" s="37">
        <f>E777</f>
        <v/>
      </c>
      <c r="B777" s="117" t="s">
        <v>157</v>
      </c>
      <c r="C777" s="117" t="s">
        <v>101</v>
      </c>
      <c r="D777" s="117" t="s">
        <v>102</v>
      </c>
      <c r="E777" s="117" t="n">
        <v>954134</v>
      </c>
      <c r="F777" s="117" t="s">
        <v>161</v>
      </c>
      <c r="G777" s="117" t="n">
        <v>4990</v>
      </c>
      <c r="H777" s="117" t="n">
        <v>6</v>
      </c>
      <c r="I777" s="393" t="n">
        <v>43385.59861111111</v>
      </c>
      <c r="J777" s="3" t="s">
        <v>152</v>
      </c>
      <c r="K777" s="171">
        <f>VLOOKUP(D777,Base!D:E,2,0)</f>
        <v/>
      </c>
    </row>
    <row customHeight="1" ht="15" r="778" s="183" spans="1:15">
      <c r="A778" s="37">
        <f>E778</f>
        <v/>
      </c>
      <c r="B778" s="117" t="s">
        <v>157</v>
      </c>
      <c r="C778" s="117" t="s">
        <v>101</v>
      </c>
      <c r="D778" s="117" t="s">
        <v>103</v>
      </c>
      <c r="E778" s="117" t="n">
        <v>954134</v>
      </c>
      <c r="F778" s="117" t="s">
        <v>161</v>
      </c>
      <c r="G778" s="117" t="n">
        <v>13990</v>
      </c>
      <c r="H778" s="117" t="n">
        <v>7</v>
      </c>
      <c r="I778" s="393" t="n">
        <v>43385.59930555556</v>
      </c>
      <c r="J778" s="3" t="s">
        <v>152</v>
      </c>
      <c r="K778" s="171">
        <f>VLOOKUP(D778,Base!D:E,2,0)</f>
        <v/>
      </c>
    </row>
    <row customHeight="1" ht="15" r="779" s="183" spans="1:15">
      <c r="A779" s="37">
        <f>E779</f>
        <v/>
      </c>
      <c r="B779" s="117" t="s">
        <v>157</v>
      </c>
      <c r="C779" s="117" t="s">
        <v>101</v>
      </c>
      <c r="D779" s="117" t="s">
        <v>104</v>
      </c>
      <c r="E779" s="117" t="n">
        <v>954134</v>
      </c>
      <c r="F779" s="117" t="s">
        <v>161</v>
      </c>
      <c r="G779" s="117" t="n">
        <v>4990</v>
      </c>
      <c r="H779" s="117" t="n">
        <v>6</v>
      </c>
      <c r="I779" s="393" t="n">
        <v>43385.59930555556</v>
      </c>
      <c r="J779" s="3" t="s">
        <v>152</v>
      </c>
      <c r="K779" s="171">
        <f>VLOOKUP(D779,Base!D:E,2,0)</f>
        <v/>
      </c>
    </row>
    <row customHeight="1" ht="15" r="780" s="183" spans="1:15">
      <c r="A780" s="37">
        <f>E780</f>
        <v/>
      </c>
      <c r="B780" s="117" t="s">
        <v>157</v>
      </c>
      <c r="C780" s="117" t="s">
        <v>105</v>
      </c>
      <c r="D780" s="117" t="s">
        <v>106</v>
      </c>
      <c r="E780" s="117" t="n">
        <v>954134</v>
      </c>
      <c r="F780" s="117" t="s">
        <v>161</v>
      </c>
      <c r="G780" s="117" t="n">
        <v>4890</v>
      </c>
      <c r="H780" s="117" t="n">
        <v>4</v>
      </c>
      <c r="I780" s="393" t="n">
        <v>43385.59930555556</v>
      </c>
      <c r="J780" s="3" t="s">
        <v>152</v>
      </c>
      <c r="K780" s="171">
        <f>VLOOKUP(D780,Base!D:E,2,0)</f>
        <v/>
      </c>
    </row>
    <row customHeight="1" ht="15" r="781" s="183" spans="1:15">
      <c r="A781" s="37">
        <f>E781</f>
        <v/>
      </c>
      <c r="B781" s="117" t="s">
        <v>157</v>
      </c>
      <c r="C781" s="117" t="s">
        <v>105</v>
      </c>
      <c r="D781" s="117" t="s">
        <v>107</v>
      </c>
      <c r="E781" s="117" t="n">
        <v>954134</v>
      </c>
      <c r="F781" s="117" t="s">
        <v>161</v>
      </c>
      <c r="G781" s="117" t="n">
        <v>4490</v>
      </c>
      <c r="H781" s="117" t="n">
        <v>2</v>
      </c>
      <c r="I781" s="393" t="n">
        <v>43385.59861111111</v>
      </c>
      <c r="J781" s="3" t="s">
        <v>152</v>
      </c>
      <c r="K781" s="171">
        <f>VLOOKUP(D781,Base!D:E,2,0)</f>
        <v/>
      </c>
    </row>
    <row customHeight="1" ht="15" r="782" s="183" spans="1:15">
      <c r="A782" s="37">
        <f>E782</f>
        <v/>
      </c>
      <c r="B782" s="117" t="s">
        <v>157</v>
      </c>
      <c r="C782" s="117" t="s">
        <v>105</v>
      </c>
      <c r="D782" s="117" t="s">
        <v>108</v>
      </c>
      <c r="E782" s="117" t="n">
        <v>954134</v>
      </c>
      <c r="F782" s="117" t="s">
        <v>161</v>
      </c>
      <c r="G782" s="117" t="n">
        <v>4490</v>
      </c>
      <c r="H782" s="117" t="n">
        <v>2</v>
      </c>
      <c r="I782" s="393" t="n">
        <v>43385.59930555556</v>
      </c>
      <c r="J782" s="3" t="s">
        <v>152</v>
      </c>
      <c r="K782" s="171">
        <f>VLOOKUP(D782,Base!D:E,2,0)</f>
        <v/>
      </c>
    </row>
    <row customHeight="1" ht="15" r="783" s="183" spans="1:15">
      <c r="A783" s="37">
        <f>E783</f>
        <v/>
      </c>
      <c r="B783" s="117" t="s">
        <v>157</v>
      </c>
      <c r="C783" s="117" t="s">
        <v>105</v>
      </c>
      <c r="D783" s="117" t="s">
        <v>109</v>
      </c>
      <c r="E783" s="117" t="n">
        <v>954134</v>
      </c>
      <c r="F783" s="117" t="s">
        <v>161</v>
      </c>
      <c r="G783" s="117" t="n">
        <v>4890</v>
      </c>
      <c r="H783" s="117" t="n">
        <v>4</v>
      </c>
      <c r="I783" s="393" t="n">
        <v>43385.59930555556</v>
      </c>
      <c r="J783" s="3" t="s">
        <v>152</v>
      </c>
      <c r="K783" s="171">
        <f>VLOOKUP(D783,Base!D:E,2,0)</f>
        <v/>
      </c>
    </row>
    <row customHeight="1" ht="15" r="784" s="183" spans="1:15">
      <c r="A784" s="37">
        <f>E784</f>
        <v/>
      </c>
      <c r="B784" s="117" t="s">
        <v>157</v>
      </c>
      <c r="C784" s="117" t="s">
        <v>105</v>
      </c>
      <c r="D784" s="117" t="s">
        <v>110</v>
      </c>
      <c r="E784" s="117" t="n">
        <v>954134</v>
      </c>
      <c r="F784" s="117" t="s">
        <v>161</v>
      </c>
      <c r="G784" s="117" t="n">
        <v>4490</v>
      </c>
      <c r="H784" s="117" t="n">
        <v>2</v>
      </c>
      <c r="I784" s="393" t="n">
        <v>43385.59930555556</v>
      </c>
      <c r="J784" s="3" t="s">
        <v>152</v>
      </c>
      <c r="K784" s="171">
        <f>VLOOKUP(D784,Base!D:E,2,0)</f>
        <v/>
      </c>
    </row>
    <row customHeight="1" ht="15" r="785" s="183" spans="1:15">
      <c r="A785" s="37">
        <f>E785</f>
        <v/>
      </c>
      <c r="B785" s="117" t="s">
        <v>157</v>
      </c>
      <c r="C785" s="117" t="s">
        <v>105</v>
      </c>
      <c r="D785" s="117" t="s">
        <v>111</v>
      </c>
      <c r="E785" s="117" t="n">
        <v>954134</v>
      </c>
      <c r="F785" s="117" t="s">
        <v>161</v>
      </c>
      <c r="G785" s="117" t="n">
        <v>4490</v>
      </c>
      <c r="H785" s="117" t="n">
        <v>2</v>
      </c>
      <c r="I785" s="393" t="n">
        <v>43385.59930555556</v>
      </c>
      <c r="J785" s="3" t="s">
        <v>152</v>
      </c>
      <c r="K785" s="171">
        <f>VLOOKUP(D785,Base!D:E,2,0)</f>
        <v/>
      </c>
    </row>
    <row customHeight="1" ht="15" r="786" s="183" spans="1:15">
      <c r="A786" s="37">
        <f>E786</f>
        <v/>
      </c>
      <c r="B786" s="117" t="s">
        <v>157</v>
      </c>
      <c r="C786" s="117" t="s">
        <v>105</v>
      </c>
      <c r="D786" s="117" t="s">
        <v>112</v>
      </c>
      <c r="E786" s="117" t="n">
        <v>954134</v>
      </c>
      <c r="F786" s="117" t="s">
        <v>161</v>
      </c>
      <c r="G786" s="117" t="n">
        <v>3990</v>
      </c>
      <c r="H786" s="117" t="n">
        <v>2</v>
      </c>
      <c r="I786" s="393" t="n">
        <v>43385.59930555556</v>
      </c>
      <c r="J786" s="3" t="s">
        <v>152</v>
      </c>
      <c r="K786" s="171">
        <f>VLOOKUP(D786,Base!D:E,2,0)</f>
        <v/>
      </c>
    </row>
    <row customHeight="1" ht="15" r="787" s="183" spans="1:15">
      <c r="A787" s="37">
        <f>E787</f>
        <v/>
      </c>
      <c r="B787" s="117" t="s">
        <v>157</v>
      </c>
      <c r="C787" s="117" t="s">
        <v>105</v>
      </c>
      <c r="D787" s="117" t="s">
        <v>113</v>
      </c>
      <c r="E787" s="117" t="n">
        <v>954134</v>
      </c>
      <c r="F787" s="117" t="s">
        <v>161</v>
      </c>
      <c r="G787" s="117" t="n">
        <v>3990</v>
      </c>
      <c r="H787" s="117" t="n">
        <v>2</v>
      </c>
      <c r="I787" s="393" t="n">
        <v>43385.59930555556</v>
      </c>
      <c r="J787" s="3" t="s">
        <v>152</v>
      </c>
      <c r="K787" s="171">
        <f>VLOOKUP(D787,Base!D:E,2,0)</f>
        <v/>
      </c>
    </row>
    <row customHeight="1" ht="15" r="788" s="183" spans="1:15">
      <c r="A788" s="37">
        <f>E788</f>
        <v/>
      </c>
      <c r="B788" s="117" t="s">
        <v>157</v>
      </c>
      <c r="C788" s="117" t="s">
        <v>105</v>
      </c>
      <c r="D788" s="117" t="s">
        <v>114</v>
      </c>
      <c r="E788" s="117" t="n">
        <v>954134</v>
      </c>
      <c r="F788" s="117" t="s">
        <v>161</v>
      </c>
      <c r="G788" s="117" t="n">
        <v>4490</v>
      </c>
      <c r="H788" s="117" t="n">
        <v>2</v>
      </c>
      <c r="I788" s="393" t="n">
        <v>43385.59930555556</v>
      </c>
      <c r="J788" s="3" t="s">
        <v>152</v>
      </c>
      <c r="K788" s="171">
        <f>VLOOKUP(D788,Base!D:E,2,0)</f>
        <v/>
      </c>
    </row>
    <row customHeight="1" ht="15" r="789" s="183" spans="1:15">
      <c r="A789" s="37">
        <f>E789</f>
        <v/>
      </c>
      <c r="B789" s="117" t="s">
        <v>157</v>
      </c>
      <c r="C789" s="117" t="s">
        <v>105</v>
      </c>
      <c r="D789" s="117" t="s">
        <v>115</v>
      </c>
      <c r="E789" s="117" t="n">
        <v>954134</v>
      </c>
      <c r="F789" s="117" t="s">
        <v>161</v>
      </c>
      <c r="G789" s="117" t="n">
        <v>4490</v>
      </c>
      <c r="H789" s="117" t="n">
        <v>2</v>
      </c>
      <c r="I789" s="393" t="n">
        <v>43385.59930555556</v>
      </c>
      <c r="J789" s="3" t="s">
        <v>152</v>
      </c>
      <c r="K789" s="171">
        <f>VLOOKUP(D789,Base!D:E,2,0)</f>
        <v/>
      </c>
    </row>
    <row customHeight="1" ht="15" r="790" s="183" spans="1:15">
      <c r="A790" s="37">
        <f>E790</f>
        <v/>
      </c>
      <c r="B790" s="117" t="s">
        <v>157</v>
      </c>
      <c r="C790" s="117" t="s">
        <v>105</v>
      </c>
      <c r="D790" s="117" t="s">
        <v>116</v>
      </c>
      <c r="E790" s="117" t="n">
        <v>954134</v>
      </c>
      <c r="F790" s="117" t="s">
        <v>161</v>
      </c>
      <c r="G790" s="117" t="n">
        <v>4490</v>
      </c>
      <c r="H790" s="117" t="n">
        <v>2</v>
      </c>
      <c r="I790" s="393" t="n">
        <v>43385.59930555556</v>
      </c>
      <c r="J790" s="3" t="s">
        <v>152</v>
      </c>
      <c r="K790" s="171">
        <f>VLOOKUP(D790,Base!D:E,2,0)</f>
        <v/>
      </c>
    </row>
    <row customHeight="1" ht="15" r="791" s="183" spans="1:15">
      <c r="A791" s="37">
        <f>E791</f>
        <v/>
      </c>
      <c r="B791" s="117" t="s">
        <v>157</v>
      </c>
      <c r="C791" s="117" t="s">
        <v>105</v>
      </c>
      <c r="D791" s="117" t="s">
        <v>117</v>
      </c>
      <c r="E791" s="117" t="n">
        <v>954134</v>
      </c>
      <c r="F791" s="117" t="s">
        <v>161</v>
      </c>
      <c r="G791" s="117" t="n">
        <v>4490</v>
      </c>
      <c r="H791" s="117" t="n">
        <v>2</v>
      </c>
      <c r="I791" s="393" t="n">
        <v>43385.59861111111</v>
      </c>
      <c r="J791" s="3" t="s">
        <v>152</v>
      </c>
      <c r="K791" s="171">
        <f>VLOOKUP(D791,Base!D:E,2,0)</f>
        <v/>
      </c>
    </row>
    <row customHeight="1" ht="15" r="792" s="183" spans="1:15">
      <c r="A792" s="37">
        <f>E792</f>
        <v/>
      </c>
      <c r="B792" s="117" t="s">
        <v>157</v>
      </c>
      <c r="C792" s="117" t="s">
        <v>105</v>
      </c>
      <c r="D792" s="117" t="s">
        <v>118</v>
      </c>
      <c r="E792" s="117" t="n">
        <v>954134</v>
      </c>
      <c r="F792" s="117" t="s">
        <v>161</v>
      </c>
      <c r="G792" s="117" t="n">
        <v>4490</v>
      </c>
      <c r="H792" s="117" t="n">
        <v>2</v>
      </c>
      <c r="I792" s="393" t="n">
        <v>43385.59930555556</v>
      </c>
      <c r="J792" s="3" t="s">
        <v>152</v>
      </c>
      <c r="K792" s="171">
        <f>VLOOKUP(D792,Base!D:E,2,0)</f>
        <v/>
      </c>
    </row>
    <row customHeight="1" ht="15" r="793" s="183" spans="1:15">
      <c r="A793" s="37">
        <f>E793</f>
        <v/>
      </c>
      <c r="B793" s="117" t="s">
        <v>157</v>
      </c>
      <c r="C793" s="117" t="s">
        <v>105</v>
      </c>
      <c r="D793" s="117" t="s">
        <v>119</v>
      </c>
      <c r="E793" s="117" t="n">
        <v>954134</v>
      </c>
      <c r="F793" s="117" t="s">
        <v>161</v>
      </c>
      <c r="G793" s="117" t="n">
        <v>3990</v>
      </c>
      <c r="H793" s="117" t="n">
        <v>2</v>
      </c>
      <c r="I793" s="393" t="n">
        <v>43385.59930555556</v>
      </c>
      <c r="J793" s="3" t="s">
        <v>152</v>
      </c>
      <c r="K793" s="171">
        <f>VLOOKUP(D793,Base!D:E,2,0)</f>
        <v/>
      </c>
    </row>
    <row customHeight="1" ht="15" r="794" s="183" spans="1:15">
      <c r="A794" s="37">
        <f>E794</f>
        <v/>
      </c>
      <c r="B794" s="117" t="s">
        <v>157</v>
      </c>
      <c r="C794" s="117" t="s">
        <v>105</v>
      </c>
      <c r="D794" s="117" t="s">
        <v>120</v>
      </c>
      <c r="E794" s="117" t="n">
        <v>954134</v>
      </c>
      <c r="F794" s="117" t="s">
        <v>161</v>
      </c>
      <c r="G794" s="117" t="n">
        <v>4890</v>
      </c>
      <c r="H794" s="117" t="n">
        <v>4</v>
      </c>
      <c r="I794" s="393" t="n">
        <v>43385.59861111111</v>
      </c>
      <c r="J794" s="3" t="s">
        <v>152</v>
      </c>
      <c r="K794" s="171">
        <f>VLOOKUP(D794,Base!D:E,2,0)</f>
        <v/>
      </c>
    </row>
    <row customHeight="1" ht="15" r="795" s="183" spans="1:15">
      <c r="A795" s="37">
        <f>E795</f>
        <v/>
      </c>
      <c r="B795" s="117" t="s">
        <v>157</v>
      </c>
      <c r="C795" s="117" t="s">
        <v>105</v>
      </c>
      <c r="D795" s="117" t="s">
        <v>121</v>
      </c>
      <c r="E795" s="117" t="n">
        <v>954134</v>
      </c>
      <c r="F795" s="117" t="s">
        <v>161</v>
      </c>
      <c r="G795" s="117" t="n">
        <v>3990</v>
      </c>
      <c r="H795" s="117" t="n">
        <v>2</v>
      </c>
      <c r="I795" s="393" t="n">
        <v>43385.59861111111</v>
      </c>
      <c r="J795" s="3" t="s">
        <v>152</v>
      </c>
      <c r="K795" s="171">
        <f>VLOOKUP(D795,Base!D:E,2,0)</f>
        <v/>
      </c>
    </row>
    <row customHeight="1" ht="15" r="796" s="183" spans="1:15">
      <c r="A796" s="37">
        <f>E796</f>
        <v/>
      </c>
      <c r="B796" s="117" t="s">
        <v>157</v>
      </c>
      <c r="C796" s="117" t="s">
        <v>105</v>
      </c>
      <c r="D796" s="117" t="s">
        <v>122</v>
      </c>
      <c r="E796" s="117" t="n">
        <v>954134</v>
      </c>
      <c r="F796" s="117" t="s">
        <v>161</v>
      </c>
      <c r="G796" s="117" t="n">
        <v>3990</v>
      </c>
      <c r="H796" s="117" t="n">
        <v>2</v>
      </c>
      <c r="I796" s="393" t="n">
        <v>43385.59930555556</v>
      </c>
      <c r="J796" s="3" t="s">
        <v>152</v>
      </c>
      <c r="K796" s="171">
        <f>VLOOKUP(D796,Base!D:E,2,0)</f>
        <v/>
      </c>
    </row>
    <row customHeight="1" ht="15" r="797" s="183" spans="1:15">
      <c r="A797" s="37">
        <f>E797</f>
        <v/>
      </c>
      <c r="B797" s="117" t="s">
        <v>157</v>
      </c>
      <c r="C797" s="117" t="s">
        <v>105</v>
      </c>
      <c r="D797" s="117" t="s">
        <v>123</v>
      </c>
      <c r="E797" s="117" t="n">
        <v>954134</v>
      </c>
      <c r="F797" s="117" t="s">
        <v>161</v>
      </c>
      <c r="G797" s="117" t="n">
        <v>4490</v>
      </c>
      <c r="H797" s="117" t="n">
        <v>2</v>
      </c>
      <c r="I797" s="393" t="n">
        <v>43385.59930555556</v>
      </c>
      <c r="J797" s="3" t="s">
        <v>152</v>
      </c>
      <c r="K797" s="171">
        <f>VLOOKUP(D797,Base!D:E,2,0)</f>
        <v/>
      </c>
    </row>
    <row customHeight="1" ht="15" r="798" s="183" spans="1:15">
      <c r="A798" s="37">
        <f>E798</f>
        <v/>
      </c>
      <c r="B798" s="117" t="s">
        <v>157</v>
      </c>
      <c r="C798" s="117" t="s">
        <v>105</v>
      </c>
      <c r="D798" s="117" t="s">
        <v>124</v>
      </c>
      <c r="E798" s="117" t="n">
        <v>954134</v>
      </c>
      <c r="F798" s="117" t="s">
        <v>161</v>
      </c>
      <c r="G798" s="117" t="n">
        <v>4490</v>
      </c>
      <c r="H798" s="117" t="n">
        <v>2</v>
      </c>
      <c r="I798" s="393" t="n">
        <v>43385.59930555556</v>
      </c>
      <c r="J798" s="3" t="s">
        <v>152</v>
      </c>
      <c r="K798" s="171">
        <f>VLOOKUP(D798,Base!D:E,2,0)</f>
        <v/>
      </c>
    </row>
    <row customHeight="1" ht="15" r="799" s="183" spans="1:15">
      <c r="A799" s="37">
        <f>E799</f>
        <v/>
      </c>
      <c r="B799" s="117" t="s">
        <v>157</v>
      </c>
      <c r="C799" s="117" t="s">
        <v>105</v>
      </c>
      <c r="D799" s="117" t="s">
        <v>125</v>
      </c>
      <c r="E799" s="117" t="n">
        <v>954134</v>
      </c>
      <c r="F799" s="117" t="s">
        <v>161</v>
      </c>
      <c r="G799" s="117" t="n">
        <v>3990</v>
      </c>
      <c r="H799" s="117" t="n">
        <v>2</v>
      </c>
      <c r="I799" s="393" t="n">
        <v>43385.59930555556</v>
      </c>
      <c r="J799" s="3" t="s">
        <v>152</v>
      </c>
      <c r="K799" s="171">
        <f>VLOOKUP(D799,Base!D:E,2,0)</f>
        <v/>
      </c>
    </row>
    <row customHeight="1" ht="15" r="800" s="183" spans="1:15">
      <c r="A800" s="37">
        <f>E800</f>
        <v/>
      </c>
      <c r="B800" s="117" t="s">
        <v>157</v>
      </c>
      <c r="C800" s="117" t="s">
        <v>105</v>
      </c>
      <c r="D800" s="117" t="s">
        <v>126</v>
      </c>
      <c r="E800" s="117" t="n">
        <v>954134</v>
      </c>
      <c r="F800" s="117" t="s">
        <v>161</v>
      </c>
      <c r="G800" s="117" t="n">
        <v>3990</v>
      </c>
      <c r="H800" s="117" t="n">
        <v>2</v>
      </c>
      <c r="I800" s="393" t="n">
        <v>43385.59861111111</v>
      </c>
      <c r="J800" s="3" t="s">
        <v>152</v>
      </c>
      <c r="K800" s="171">
        <f>VLOOKUP(D800,Base!D:E,2,0)</f>
        <v/>
      </c>
    </row>
    <row customHeight="1" ht="15" r="801" s="183" spans="1:15">
      <c r="A801" s="37">
        <f>E801</f>
        <v/>
      </c>
      <c r="B801" s="117" t="s">
        <v>157</v>
      </c>
      <c r="C801" s="117" t="s">
        <v>105</v>
      </c>
      <c r="D801" s="117" t="s">
        <v>127</v>
      </c>
      <c r="E801" s="117" t="n">
        <v>954134</v>
      </c>
      <c r="F801" s="117" t="s">
        <v>161</v>
      </c>
      <c r="G801" s="117" t="n">
        <v>4990</v>
      </c>
      <c r="H801" s="117" t="n">
        <v>4</v>
      </c>
      <c r="I801" s="393" t="n">
        <v>43385.59930555556</v>
      </c>
      <c r="J801" s="3" t="s">
        <v>152</v>
      </c>
      <c r="K801" s="171">
        <f>VLOOKUP(D801,Base!D:E,2,0)</f>
        <v/>
      </c>
    </row>
    <row customHeight="1" ht="15" r="802" s="183" spans="1:15">
      <c r="A802" s="37">
        <f>E802</f>
        <v/>
      </c>
      <c r="B802" s="117" t="s">
        <v>157</v>
      </c>
      <c r="C802" s="117" t="s">
        <v>105</v>
      </c>
      <c r="D802" s="117" t="s">
        <v>128</v>
      </c>
      <c r="E802" s="117" t="n">
        <v>954134</v>
      </c>
      <c r="F802" s="117" t="s">
        <v>161</v>
      </c>
      <c r="G802" s="117" t="n">
        <v>3990</v>
      </c>
      <c r="H802" s="117" t="n">
        <v>4</v>
      </c>
      <c r="I802" s="393" t="n">
        <v>43385.59930555556</v>
      </c>
      <c r="J802" s="3" t="s">
        <v>152</v>
      </c>
      <c r="K802" s="171">
        <f>VLOOKUP(D802,Base!D:E,2,0)</f>
        <v/>
      </c>
    </row>
    <row customHeight="1" ht="15" r="803" s="183" spans="1:15">
      <c r="A803" s="37">
        <f>E803</f>
        <v/>
      </c>
      <c r="B803" s="117" t="s">
        <v>157</v>
      </c>
      <c r="C803" s="117" t="s">
        <v>105</v>
      </c>
      <c r="D803" s="117" t="s">
        <v>129</v>
      </c>
      <c r="E803" s="117" t="n">
        <v>954134</v>
      </c>
      <c r="F803" s="117" t="s">
        <v>161</v>
      </c>
      <c r="G803" s="117" t="n">
        <v>4890</v>
      </c>
      <c r="H803" s="117" t="n">
        <v>4</v>
      </c>
      <c r="I803" s="393" t="n">
        <v>43385.59930555556</v>
      </c>
      <c r="J803" s="3" t="s">
        <v>152</v>
      </c>
      <c r="K803" s="171">
        <f>VLOOKUP(D803,Base!D:E,2,0)</f>
        <v/>
      </c>
    </row>
    <row customHeight="1" ht="15" r="804" s="183" spans="1:15">
      <c r="A804" s="37">
        <f>E804</f>
        <v/>
      </c>
      <c r="B804" s="117" t="s">
        <v>157</v>
      </c>
      <c r="C804" s="117" t="s">
        <v>105</v>
      </c>
      <c r="D804" s="117" t="s">
        <v>130</v>
      </c>
      <c r="E804" s="117" t="n">
        <v>954134</v>
      </c>
      <c r="F804" s="117" t="s">
        <v>161</v>
      </c>
      <c r="G804" s="117" t="n">
        <v>4990</v>
      </c>
      <c r="H804" s="117" t="n">
        <v>4</v>
      </c>
      <c r="I804" s="393" t="n">
        <v>43385.59930555556</v>
      </c>
      <c r="J804" s="3" t="s">
        <v>152</v>
      </c>
      <c r="K804" s="171">
        <f>VLOOKUP(D804,Base!D:E,2,0)</f>
        <v/>
      </c>
    </row>
    <row customHeight="1" ht="15" r="805" s="183" spans="1:15">
      <c r="A805" s="37">
        <f>E805</f>
        <v/>
      </c>
      <c r="B805" s="117" t="s">
        <v>157</v>
      </c>
      <c r="C805" s="117" t="s">
        <v>105</v>
      </c>
      <c r="D805" s="117" t="s">
        <v>131</v>
      </c>
      <c r="E805" s="117" t="n">
        <v>954134</v>
      </c>
      <c r="F805" s="117" t="s">
        <v>161</v>
      </c>
      <c r="G805" s="117" t="n">
        <v>4490</v>
      </c>
      <c r="H805" s="117" t="n">
        <v>2</v>
      </c>
      <c r="I805" s="393" t="n">
        <v>43385.59930555556</v>
      </c>
      <c r="J805" s="3" t="s">
        <v>152</v>
      </c>
      <c r="K805" s="171">
        <f>VLOOKUP(D805,Base!D:E,2,0)</f>
        <v/>
      </c>
    </row>
    <row customHeight="1" ht="15" r="806" s="183" spans="1:15">
      <c r="A806" s="37">
        <f>E806</f>
        <v/>
      </c>
      <c r="B806" s="117" t="s">
        <v>157</v>
      </c>
      <c r="C806" s="117" t="s">
        <v>105</v>
      </c>
      <c r="D806" s="117" t="s">
        <v>132</v>
      </c>
      <c r="E806" s="117" t="n">
        <v>954134</v>
      </c>
      <c r="F806" s="117" t="s">
        <v>161</v>
      </c>
      <c r="G806" s="117" t="n">
        <v>4890</v>
      </c>
      <c r="H806" s="117" t="n">
        <v>4</v>
      </c>
      <c r="I806" s="393" t="n">
        <v>43385.59930555556</v>
      </c>
      <c r="J806" s="3" t="s">
        <v>152</v>
      </c>
      <c r="K806" s="171">
        <f>VLOOKUP(D806,Base!D:E,2,0)</f>
        <v/>
      </c>
    </row>
    <row customHeight="1" ht="15" r="807" s="183" spans="1:15">
      <c r="A807" s="37">
        <f>E807</f>
        <v/>
      </c>
      <c r="B807" s="117" t="s">
        <v>157</v>
      </c>
      <c r="C807" s="117" t="s">
        <v>105</v>
      </c>
      <c r="D807" s="117" t="s">
        <v>133</v>
      </c>
      <c r="E807" s="117" t="n">
        <v>954134</v>
      </c>
      <c r="F807" s="117" t="s">
        <v>161</v>
      </c>
      <c r="G807" s="117" t="n">
        <v>3990</v>
      </c>
      <c r="H807" s="117" t="n">
        <v>2</v>
      </c>
      <c r="I807" s="393" t="n">
        <v>43385.59930555556</v>
      </c>
      <c r="J807" s="3" t="s">
        <v>152</v>
      </c>
      <c r="K807" s="171">
        <f>VLOOKUP(D807,Base!D:E,2,0)</f>
        <v/>
      </c>
    </row>
    <row customHeight="1" ht="15" r="808" s="183" spans="1:15">
      <c r="A808" s="37">
        <f>E808</f>
        <v/>
      </c>
      <c r="B808" s="117" t="s">
        <v>157</v>
      </c>
      <c r="C808" s="117" t="s">
        <v>105</v>
      </c>
      <c r="D808" s="117" t="s">
        <v>134</v>
      </c>
      <c r="E808" s="117" t="n">
        <v>954134</v>
      </c>
      <c r="F808" s="117" t="s">
        <v>161</v>
      </c>
      <c r="G808" s="117" t="n">
        <v>3990</v>
      </c>
      <c r="H808" s="117" t="n">
        <v>2</v>
      </c>
      <c r="I808" s="393" t="n">
        <v>43385.59930555556</v>
      </c>
      <c r="J808" s="3" t="s">
        <v>152</v>
      </c>
      <c r="K808" s="171">
        <f>VLOOKUP(D808,Base!D:E,2,0)</f>
        <v/>
      </c>
    </row>
    <row customHeight="1" ht="15" r="809" s="183" spans="1:15">
      <c r="A809" s="37">
        <f>E809</f>
        <v/>
      </c>
      <c r="B809" s="117" t="s">
        <v>157</v>
      </c>
      <c r="C809" s="117" t="s">
        <v>105</v>
      </c>
      <c r="D809" s="117" t="s">
        <v>135</v>
      </c>
      <c r="E809" s="117" t="n">
        <v>954134</v>
      </c>
      <c r="F809" s="117" t="s">
        <v>161</v>
      </c>
      <c r="G809" s="117" t="n">
        <v>4490</v>
      </c>
      <c r="H809" s="117" t="n">
        <v>2</v>
      </c>
      <c r="I809" s="393" t="n">
        <v>43385.59930555556</v>
      </c>
      <c r="J809" s="3" t="s">
        <v>152</v>
      </c>
      <c r="K809" s="171">
        <f>VLOOKUP(D809,Base!D:E,2,0)</f>
        <v/>
      </c>
    </row>
    <row customHeight="1" ht="15" r="810" s="183" spans="1:15">
      <c r="A810" s="37">
        <f>E810</f>
        <v/>
      </c>
      <c r="B810" s="117" t="s">
        <v>157</v>
      </c>
      <c r="C810" s="117" t="s">
        <v>105</v>
      </c>
      <c r="D810" s="117" t="s">
        <v>136</v>
      </c>
      <c r="E810" s="117" t="n">
        <v>954134</v>
      </c>
      <c r="F810" s="117" t="s">
        <v>161</v>
      </c>
      <c r="G810" s="117" t="n">
        <v>4490</v>
      </c>
      <c r="H810" s="117" t="n">
        <v>2</v>
      </c>
      <c r="I810" s="393" t="n">
        <v>43385.59930555556</v>
      </c>
      <c r="J810" s="3" t="s">
        <v>152</v>
      </c>
      <c r="K810" s="171">
        <f>VLOOKUP(D810,Base!D:E,2,0)</f>
        <v/>
      </c>
    </row>
    <row customHeight="1" ht="15" r="811" s="183" spans="1:15">
      <c r="A811" s="37">
        <f>E811</f>
        <v/>
      </c>
      <c r="B811" s="117" t="s">
        <v>157</v>
      </c>
      <c r="C811" s="117" t="s">
        <v>105</v>
      </c>
      <c r="D811" s="117" t="s">
        <v>137</v>
      </c>
      <c r="E811" s="117" t="n">
        <v>954134</v>
      </c>
      <c r="F811" s="117" t="s">
        <v>161</v>
      </c>
      <c r="G811" s="117" t="n">
        <v>4490</v>
      </c>
      <c r="H811" s="117" t="n">
        <v>2</v>
      </c>
      <c r="I811" s="393" t="n">
        <v>43385.59930555556</v>
      </c>
      <c r="J811" s="3" t="s">
        <v>152</v>
      </c>
      <c r="K811" s="171">
        <f>VLOOKUP(D811,Base!D:E,2,0)</f>
        <v/>
      </c>
    </row>
    <row customHeight="1" ht="15" r="812" s="183" spans="1:15">
      <c r="A812" s="37">
        <f>E812</f>
        <v/>
      </c>
      <c r="B812" s="117" t="s">
        <v>157</v>
      </c>
      <c r="C812" s="117" t="s">
        <v>105</v>
      </c>
      <c r="D812" s="117" t="s">
        <v>138</v>
      </c>
      <c r="E812" s="117" t="n">
        <v>954134</v>
      </c>
      <c r="F812" s="117" t="s">
        <v>161</v>
      </c>
      <c r="G812" s="117" t="n">
        <v>4490</v>
      </c>
      <c r="H812" s="117" t="n">
        <v>2</v>
      </c>
      <c r="I812" s="393" t="n">
        <v>43385.59930555556</v>
      </c>
      <c r="J812" s="3" t="s">
        <v>152</v>
      </c>
      <c r="K812" s="171">
        <f>VLOOKUP(D812,Base!D:E,2,0)</f>
        <v/>
      </c>
    </row>
    <row customHeight="1" ht="15" r="813" s="183" spans="1:15">
      <c r="A813" s="37">
        <f>E813</f>
        <v/>
      </c>
      <c r="B813" s="117" t="s">
        <v>157</v>
      </c>
      <c r="C813" s="117" t="s">
        <v>105</v>
      </c>
      <c r="D813" s="117" t="s">
        <v>139</v>
      </c>
      <c r="E813" s="117" t="n">
        <v>954134</v>
      </c>
      <c r="F813" s="117" t="s">
        <v>161</v>
      </c>
      <c r="G813" s="117" t="n">
        <v>4490</v>
      </c>
      <c r="H813" s="117" t="n">
        <v>2</v>
      </c>
      <c r="I813" s="393" t="n">
        <v>43385.59930555556</v>
      </c>
      <c r="J813" s="3" t="s">
        <v>152</v>
      </c>
      <c r="K813" s="171">
        <f>VLOOKUP(D813,Base!D:E,2,0)</f>
        <v/>
      </c>
    </row>
    <row customHeight="1" ht="15" r="814" s="183" spans="1:15">
      <c r="A814" s="37">
        <f>E814</f>
        <v/>
      </c>
      <c r="B814" s="117" t="s">
        <v>157</v>
      </c>
      <c r="C814" s="117" t="s">
        <v>105</v>
      </c>
      <c r="D814" s="117" t="s">
        <v>140</v>
      </c>
      <c r="E814" s="117" t="n">
        <v>954134</v>
      </c>
      <c r="F814" s="117" t="s">
        <v>161</v>
      </c>
      <c r="G814" s="117" t="n">
        <v>4490</v>
      </c>
      <c r="H814" s="117" t="n">
        <v>2</v>
      </c>
      <c r="I814" s="393" t="n">
        <v>43385.59930555556</v>
      </c>
      <c r="J814" s="3" t="s">
        <v>152</v>
      </c>
      <c r="K814" s="171">
        <f>VLOOKUP(D814,Base!D:E,2,0)</f>
        <v/>
      </c>
    </row>
    <row customHeight="1" ht="15" r="815" s="183" spans="1:15">
      <c r="A815" s="37">
        <f>E815</f>
        <v/>
      </c>
      <c r="B815" s="117" t="s">
        <v>157</v>
      </c>
      <c r="C815" s="117" t="s">
        <v>105</v>
      </c>
      <c r="D815" s="117" t="s">
        <v>141</v>
      </c>
      <c r="E815" s="117" t="n">
        <v>954134</v>
      </c>
      <c r="F815" s="117" t="s">
        <v>161</v>
      </c>
      <c r="G815" s="117" t="n">
        <v>4490</v>
      </c>
      <c r="H815" s="117" t="n">
        <v>2</v>
      </c>
      <c r="I815" s="393" t="n">
        <v>43385.59930555556</v>
      </c>
      <c r="J815" s="3" t="s">
        <v>152</v>
      </c>
      <c r="K815" s="171">
        <f>VLOOKUP(D815,Base!D:E,2,0)</f>
        <v/>
      </c>
    </row>
    <row customHeight="1" ht="15" r="816" s="183" spans="1:15">
      <c r="A816" s="37">
        <f>E816</f>
        <v/>
      </c>
      <c r="B816" s="117" t="s">
        <v>157</v>
      </c>
      <c r="C816" s="117" t="s">
        <v>105</v>
      </c>
      <c r="D816" s="117" t="s">
        <v>142</v>
      </c>
      <c r="E816" s="117" t="n">
        <v>954134</v>
      </c>
      <c r="F816" s="117" t="s">
        <v>161</v>
      </c>
      <c r="G816" s="117" t="n">
        <v>4490</v>
      </c>
      <c r="H816" s="117" t="n">
        <v>2</v>
      </c>
      <c r="I816" s="393" t="n">
        <v>43385.59930555556</v>
      </c>
      <c r="J816" s="3" t="s">
        <v>152</v>
      </c>
      <c r="K816" s="171">
        <f>VLOOKUP(D816,Base!D:E,2,0)</f>
        <v/>
      </c>
    </row>
    <row customHeight="1" ht="15" r="817" s="183" spans="1:15">
      <c r="A817" s="37">
        <f>E817</f>
        <v/>
      </c>
      <c r="B817" s="117" t="s">
        <v>157</v>
      </c>
      <c r="C817" s="117" t="s">
        <v>105</v>
      </c>
      <c r="D817" s="117" t="s">
        <v>143</v>
      </c>
      <c r="E817" s="117" t="n">
        <v>954134</v>
      </c>
      <c r="F817" s="117" t="s">
        <v>161</v>
      </c>
      <c r="G817" s="117" t="n">
        <v>3990</v>
      </c>
      <c r="H817" s="117" t="n">
        <v>2</v>
      </c>
      <c r="I817" s="393" t="n">
        <v>43385.59930555556</v>
      </c>
      <c r="J817" s="3" t="s">
        <v>152</v>
      </c>
      <c r="K817" s="171">
        <f>VLOOKUP(D817,Base!D:E,2,0)</f>
        <v/>
      </c>
    </row>
    <row customHeight="1" ht="15" r="818" s="183" spans="1:15">
      <c r="A818" s="37">
        <f>E818</f>
        <v/>
      </c>
      <c r="B818" s="117" t="s">
        <v>157</v>
      </c>
      <c r="C818" s="117" t="s">
        <v>105</v>
      </c>
      <c r="D818" s="117" t="s">
        <v>144</v>
      </c>
      <c r="E818" s="117" t="n">
        <v>954134</v>
      </c>
      <c r="F818" s="117" t="s">
        <v>161</v>
      </c>
      <c r="G818" s="117" t="n">
        <v>4490</v>
      </c>
      <c r="H818" s="117" t="n">
        <v>2</v>
      </c>
      <c r="I818" s="393" t="n">
        <v>43385.59930555556</v>
      </c>
      <c r="J818" s="3" t="s">
        <v>152</v>
      </c>
      <c r="K818" s="171">
        <f>VLOOKUP(D818,Base!D:E,2,0)</f>
        <v/>
      </c>
    </row>
    <row customHeight="1" ht="15" r="819" s="183" spans="1:15">
      <c r="A819" s="37">
        <f>E819</f>
        <v/>
      </c>
      <c r="B819" s="117" t="s">
        <v>157</v>
      </c>
      <c r="C819" s="117" t="s">
        <v>105</v>
      </c>
      <c r="D819" s="117" t="s">
        <v>145</v>
      </c>
      <c r="E819" s="117" t="n">
        <v>954134</v>
      </c>
      <c r="F819" s="117" t="s">
        <v>161</v>
      </c>
      <c r="G819" s="117" t="n">
        <v>3990</v>
      </c>
      <c r="H819" s="117" t="n">
        <v>2</v>
      </c>
      <c r="I819" s="393" t="n">
        <v>43385.59930555556</v>
      </c>
      <c r="J819" s="3" t="s">
        <v>152</v>
      </c>
      <c r="K819" s="171">
        <f>VLOOKUP(D819,Base!D:E,2,0)</f>
        <v/>
      </c>
    </row>
    <row customHeight="1" ht="15" r="820" s="183" spans="1:15">
      <c r="A820" s="37">
        <f>E820</f>
        <v/>
      </c>
      <c r="B820" s="117" t="s">
        <v>157</v>
      </c>
      <c r="C820" s="117" t="s">
        <v>105</v>
      </c>
      <c r="D820" s="117" t="s">
        <v>146</v>
      </c>
      <c r="E820" s="117" t="n">
        <v>954134</v>
      </c>
      <c r="F820" s="117" t="s">
        <v>161</v>
      </c>
      <c r="G820" s="117" t="n">
        <v>4890</v>
      </c>
      <c r="H820" s="117" t="n">
        <v>4</v>
      </c>
      <c r="I820" s="393" t="n">
        <v>43385.59930555556</v>
      </c>
      <c r="J820" s="3" t="s">
        <v>152</v>
      </c>
      <c r="K820" s="171">
        <f>VLOOKUP(D820,Base!D:E,2,0)</f>
        <v/>
      </c>
    </row>
    <row customHeight="1" ht="15" r="821" s="183" spans="1:15">
      <c r="A821" s="37">
        <f>E821</f>
        <v/>
      </c>
      <c r="B821" s="117" t="s">
        <v>157</v>
      </c>
      <c r="C821" s="117" t="s">
        <v>105</v>
      </c>
      <c r="D821" s="117" t="s">
        <v>147</v>
      </c>
      <c r="E821" s="117" t="n">
        <v>954134</v>
      </c>
      <c r="F821" s="117" t="s">
        <v>161</v>
      </c>
      <c r="G821" s="117" t="n">
        <v>4890</v>
      </c>
      <c r="H821" s="117" t="n">
        <v>2</v>
      </c>
      <c r="I821" s="393" t="n">
        <v>43385.59861111111</v>
      </c>
      <c r="J821" s="3" t="s">
        <v>152</v>
      </c>
      <c r="K821" s="171">
        <f>VLOOKUP(D821,Base!D:E,2,0)</f>
        <v/>
      </c>
    </row>
    <row customHeight="1" ht="15" r="822" s="183" spans="1:15">
      <c r="A822" s="37">
        <f>E822</f>
        <v/>
      </c>
      <c r="B822" s="117" t="s">
        <v>162</v>
      </c>
      <c r="C822" s="117" t="s">
        <v>36</v>
      </c>
      <c r="D822" s="117" t="s">
        <v>37</v>
      </c>
      <c r="E822" s="200" t="n">
        <v>2000359120952</v>
      </c>
      <c r="F822" s="117" t="s">
        <v>163</v>
      </c>
      <c r="G822" s="117" t="n">
        <v>9490</v>
      </c>
      <c r="H822" s="117" t="n">
        <v>10</v>
      </c>
      <c r="I822" s="393" t="n">
        <v>43385.59930555556</v>
      </c>
      <c r="J822" s="3" t="s">
        <v>40</v>
      </c>
      <c r="K822" s="171">
        <f>VLOOKUP(D822,Base!D:E,2,0)</f>
        <v/>
      </c>
    </row>
    <row customHeight="1" ht="15" r="823" s="183" spans="1:15">
      <c r="A823" s="37">
        <f>E823</f>
        <v/>
      </c>
      <c r="B823" s="117" t="s">
        <v>162</v>
      </c>
      <c r="C823" s="117" t="s">
        <v>36</v>
      </c>
      <c r="D823" s="117" t="s">
        <v>42</v>
      </c>
      <c r="E823" s="200" t="n">
        <v>2000359120952</v>
      </c>
      <c r="F823" s="117" t="s">
        <v>163</v>
      </c>
      <c r="G823" s="117" t="n">
        <v>9990</v>
      </c>
      <c r="H823" s="117" t="n">
        <v>10</v>
      </c>
      <c r="I823" s="393" t="n">
        <v>43385.59930555556</v>
      </c>
      <c r="J823" s="3" t="s">
        <v>40</v>
      </c>
      <c r="K823" s="171">
        <f>VLOOKUP(D823,Base!D:E,2,0)</f>
        <v/>
      </c>
    </row>
    <row customHeight="1" ht="15" r="824" s="183" spans="1:15">
      <c r="A824" s="37">
        <f>E824</f>
        <v/>
      </c>
      <c r="B824" s="117" t="s">
        <v>162</v>
      </c>
      <c r="C824" s="117" t="s">
        <v>44</v>
      </c>
      <c r="D824" s="117" t="s">
        <v>45</v>
      </c>
      <c r="E824" s="200" t="n">
        <v>2000359120952</v>
      </c>
      <c r="F824" s="117" t="s">
        <v>163</v>
      </c>
      <c r="G824" s="117" t="n">
        <v>10990</v>
      </c>
      <c r="H824" s="117" t="n">
        <v>13</v>
      </c>
      <c r="I824" s="393" t="n">
        <v>43385.59930555556</v>
      </c>
      <c r="J824" s="3" t="s">
        <v>40</v>
      </c>
      <c r="K824" s="171">
        <f>VLOOKUP(D824,Base!D:E,2,0)</f>
        <v/>
      </c>
    </row>
    <row customHeight="1" ht="15" r="825" s="183" spans="1:15">
      <c r="A825" s="37">
        <f>E825</f>
        <v/>
      </c>
      <c r="B825" s="117" t="s">
        <v>162</v>
      </c>
      <c r="C825" s="117" t="s">
        <v>46</v>
      </c>
      <c r="D825" s="117" t="s">
        <v>47</v>
      </c>
      <c r="E825" s="200" t="n">
        <v>2000359120952</v>
      </c>
      <c r="F825" s="117" t="s">
        <v>163</v>
      </c>
      <c r="G825" s="117" t="n">
        <v>8990</v>
      </c>
      <c r="H825" s="117" t="n">
        <v>7</v>
      </c>
      <c r="I825" s="393" t="n">
        <v>43385.59930555556</v>
      </c>
      <c r="J825" s="3" t="s">
        <v>40</v>
      </c>
      <c r="K825" s="171">
        <f>VLOOKUP(D825,Base!D:E,2,0)</f>
        <v/>
      </c>
    </row>
    <row customHeight="1" ht="15" r="826" s="183" spans="1:15">
      <c r="A826" s="37">
        <f>E826</f>
        <v/>
      </c>
      <c r="B826" s="117" t="s">
        <v>162</v>
      </c>
      <c r="C826" s="117" t="s">
        <v>46</v>
      </c>
      <c r="D826" s="117" t="s">
        <v>48</v>
      </c>
      <c r="E826" s="200" t="n">
        <v>2000359120952</v>
      </c>
      <c r="F826" s="117" t="s">
        <v>163</v>
      </c>
      <c r="G826" s="117" t="n">
        <v>5990</v>
      </c>
      <c r="H826" s="117" t="n">
        <v>7</v>
      </c>
      <c r="I826" s="393" t="n">
        <v>43385.59930555556</v>
      </c>
      <c r="J826" s="3" t="s">
        <v>40</v>
      </c>
      <c r="K826" s="171">
        <f>VLOOKUP(D826,Base!D:E,2,0)</f>
        <v/>
      </c>
    </row>
    <row customHeight="1" ht="15" r="827" s="183" spans="1:15">
      <c r="A827" s="37">
        <f>E827</f>
        <v/>
      </c>
      <c r="B827" s="117" t="s">
        <v>162</v>
      </c>
      <c r="C827" s="117" t="s">
        <v>49</v>
      </c>
      <c r="D827" s="117" t="s">
        <v>50</v>
      </c>
      <c r="E827" s="200" t="n">
        <v>2000359120952</v>
      </c>
      <c r="F827" s="117" t="s">
        <v>163</v>
      </c>
      <c r="G827" s="118" t="n">
        <v>14550</v>
      </c>
      <c r="H827" s="118" t="n">
        <v>27</v>
      </c>
      <c r="I827" s="393" t="n">
        <v>43385.59930555556</v>
      </c>
      <c r="J827" s="3" t="s">
        <v>40</v>
      </c>
      <c r="K827" s="171">
        <f>VLOOKUP(D827,Base!D:E,2,0)</f>
        <v/>
      </c>
    </row>
    <row customHeight="1" ht="15" r="828" s="183" spans="1:15">
      <c r="A828" s="37">
        <f>E828</f>
        <v/>
      </c>
      <c r="B828" s="117" t="s">
        <v>162</v>
      </c>
      <c r="C828" s="117" t="s">
        <v>51</v>
      </c>
      <c r="D828" s="117" t="s">
        <v>52</v>
      </c>
      <c r="E828" s="200" t="n">
        <v>2000359120952</v>
      </c>
      <c r="F828" s="117" t="s">
        <v>163</v>
      </c>
      <c r="G828" s="118" t="n">
        <v>7500</v>
      </c>
      <c r="H828" s="118" t="n">
        <v>7</v>
      </c>
      <c r="I828" s="393" t="n">
        <v>43385.59861111111</v>
      </c>
      <c r="J828" s="3" t="s">
        <v>40</v>
      </c>
      <c r="K828" s="171">
        <f>VLOOKUP(D828,Base!D:E,2,0)</f>
        <v/>
      </c>
    </row>
    <row customHeight="1" ht="15" r="829" s="183" spans="1:15">
      <c r="A829" s="37">
        <f>E829</f>
        <v/>
      </c>
      <c r="B829" s="117" t="s">
        <v>162</v>
      </c>
      <c r="C829" s="117" t="s">
        <v>51</v>
      </c>
      <c r="D829" s="117" t="s">
        <v>53</v>
      </c>
      <c r="E829" s="200" t="n">
        <v>2000359120952</v>
      </c>
      <c r="F829" s="117" t="s">
        <v>163</v>
      </c>
      <c r="G829" s="118" t="n">
        <v>9000</v>
      </c>
      <c r="H829" s="118" t="n">
        <v>7</v>
      </c>
      <c r="I829" s="393" t="n">
        <v>43385.59930555556</v>
      </c>
      <c r="J829" s="3" t="s">
        <v>40</v>
      </c>
      <c r="K829" s="171">
        <f>VLOOKUP(D829,Base!D:E,2,0)</f>
        <v/>
      </c>
    </row>
    <row customHeight="1" ht="15" r="830" s="183" spans="1:15">
      <c r="A830" s="37">
        <f>E830</f>
        <v/>
      </c>
      <c r="B830" s="117" t="s">
        <v>162</v>
      </c>
      <c r="C830" s="117" t="s">
        <v>51</v>
      </c>
      <c r="D830" s="117" t="s">
        <v>54</v>
      </c>
      <c r="E830" s="200" t="n">
        <v>2000359120952</v>
      </c>
      <c r="F830" s="117" t="s">
        <v>163</v>
      </c>
      <c r="G830" s="118" t="n">
        <v>7500</v>
      </c>
      <c r="H830" s="118" t="n">
        <v>7</v>
      </c>
      <c r="I830" s="393" t="n">
        <v>43385.59930555556</v>
      </c>
      <c r="J830" s="3" t="s">
        <v>40</v>
      </c>
      <c r="K830" s="171">
        <f>VLOOKUP(D830,Base!D:E,2,0)</f>
        <v/>
      </c>
    </row>
    <row customHeight="1" ht="15" r="831" s="183" spans="1:15">
      <c r="A831" s="37">
        <f>E831</f>
        <v/>
      </c>
      <c r="B831" s="117" t="s">
        <v>162</v>
      </c>
      <c r="C831" s="117" t="s">
        <v>51</v>
      </c>
      <c r="D831" s="117" t="s">
        <v>55</v>
      </c>
      <c r="E831" s="200" t="n">
        <v>2000359120952</v>
      </c>
      <c r="F831" s="117" t="s">
        <v>163</v>
      </c>
      <c r="G831" s="118" t="n">
        <v>9000</v>
      </c>
      <c r="H831" s="118" t="n">
        <v>7</v>
      </c>
      <c r="I831" s="393" t="n">
        <v>43385.59930555556</v>
      </c>
      <c r="J831" s="3" t="s">
        <v>40</v>
      </c>
      <c r="K831" s="171">
        <f>VLOOKUP(D831,Base!D:E,2,0)</f>
        <v/>
      </c>
    </row>
    <row customHeight="1" ht="15" r="832" s="183" spans="1:15">
      <c r="A832" s="37">
        <f>E832</f>
        <v/>
      </c>
      <c r="B832" s="117" t="s">
        <v>162</v>
      </c>
      <c r="C832" s="117" t="s">
        <v>51</v>
      </c>
      <c r="D832" s="117" t="s">
        <v>56</v>
      </c>
      <c r="E832" s="200" t="n">
        <v>2000359120952</v>
      </c>
      <c r="F832" s="117" t="s">
        <v>163</v>
      </c>
      <c r="G832" s="118" t="n">
        <v>9000</v>
      </c>
      <c r="H832" s="118" t="n">
        <v>7</v>
      </c>
      <c r="I832" s="393" t="n">
        <v>43385.59861111111</v>
      </c>
      <c r="J832" s="3" t="s">
        <v>40</v>
      </c>
      <c r="K832" s="171">
        <f>VLOOKUP(D832,Base!D:E,2,0)</f>
        <v/>
      </c>
    </row>
    <row customHeight="1" ht="15" r="833" s="183" spans="1:15">
      <c r="A833" s="37">
        <f>E833</f>
        <v/>
      </c>
      <c r="B833" s="117" t="s">
        <v>162</v>
      </c>
      <c r="C833" s="117" t="s">
        <v>51</v>
      </c>
      <c r="D833" s="117" t="s">
        <v>57</v>
      </c>
      <c r="E833" s="200" t="n">
        <v>2000359120952</v>
      </c>
      <c r="F833" s="117" t="s">
        <v>163</v>
      </c>
      <c r="G833" s="118" t="n">
        <v>9000</v>
      </c>
      <c r="H833" s="118" t="n">
        <v>7</v>
      </c>
      <c r="I833" s="393" t="n">
        <v>43385.59930555556</v>
      </c>
      <c r="J833" s="3" t="s">
        <v>40</v>
      </c>
      <c r="K833" s="171">
        <f>VLOOKUP(D833,Base!D:E,2,0)</f>
        <v/>
      </c>
    </row>
    <row customHeight="1" ht="15" r="834" s="183" spans="1:15">
      <c r="A834" s="37">
        <f>E834</f>
        <v/>
      </c>
      <c r="B834" s="117" t="s">
        <v>162</v>
      </c>
      <c r="C834" s="117" t="s">
        <v>58</v>
      </c>
      <c r="D834" s="117" t="s">
        <v>59</v>
      </c>
      <c r="E834" s="200" t="n">
        <v>2000359120952</v>
      </c>
      <c r="F834" s="117" t="s">
        <v>163</v>
      </c>
      <c r="G834" s="118" t="n">
        <v>7990</v>
      </c>
      <c r="H834" s="118" t="n">
        <v>19</v>
      </c>
      <c r="I834" s="393" t="n">
        <v>43385.59930555556</v>
      </c>
      <c r="J834" s="3" t="s">
        <v>40</v>
      </c>
      <c r="K834" s="171">
        <f>VLOOKUP(D834,Base!D:E,2,0)</f>
        <v/>
      </c>
    </row>
    <row customHeight="1" ht="15" r="835" s="183" spans="1:15">
      <c r="A835" s="37">
        <f>E835</f>
        <v/>
      </c>
      <c r="B835" s="117" t="s">
        <v>162</v>
      </c>
      <c r="C835" s="117" t="s">
        <v>58</v>
      </c>
      <c r="D835" s="117" t="s">
        <v>60</v>
      </c>
      <c r="E835" s="200" t="n">
        <v>2000359120952</v>
      </c>
      <c r="F835" s="117" t="s">
        <v>163</v>
      </c>
      <c r="G835" s="118" t="n">
        <v>8550</v>
      </c>
      <c r="H835" s="118" t="n">
        <v>19</v>
      </c>
      <c r="I835" s="393" t="n">
        <v>43385.59930555556</v>
      </c>
      <c r="J835" s="3" t="s">
        <v>40</v>
      </c>
      <c r="K835" s="171">
        <f>VLOOKUP(D835,Base!D:E,2,0)</f>
        <v/>
      </c>
    </row>
    <row customHeight="1" ht="15" r="836" s="183" spans="1:15">
      <c r="A836" s="37">
        <f>E836</f>
        <v/>
      </c>
      <c r="B836" s="117" t="s">
        <v>162</v>
      </c>
      <c r="C836" s="117" t="s">
        <v>58</v>
      </c>
      <c r="D836" s="117" t="s">
        <v>61</v>
      </c>
      <c r="E836" s="200" t="n">
        <v>2000359120952</v>
      </c>
      <c r="F836" s="117" t="s">
        <v>163</v>
      </c>
      <c r="G836" s="118" t="n">
        <v>6990</v>
      </c>
      <c r="H836" s="118" t="n">
        <v>19</v>
      </c>
      <c r="I836" s="393" t="n">
        <v>43385.59861111111</v>
      </c>
      <c r="J836" s="3" t="s">
        <v>40</v>
      </c>
      <c r="K836" s="171">
        <f>VLOOKUP(D836,Base!D:E,2,0)</f>
        <v/>
      </c>
    </row>
    <row customHeight="1" ht="15" r="837" s="183" spans="1:15">
      <c r="A837" s="37">
        <f>E837</f>
        <v/>
      </c>
      <c r="B837" s="117" t="s">
        <v>162</v>
      </c>
      <c r="C837" s="117" t="s">
        <v>58</v>
      </c>
      <c r="D837" s="117" t="s">
        <v>62</v>
      </c>
      <c r="E837" s="200" t="n">
        <v>2000359120952</v>
      </c>
      <c r="F837" s="117" t="s">
        <v>163</v>
      </c>
      <c r="G837" s="118" t="n">
        <v>7990</v>
      </c>
      <c r="H837" s="118" t="n">
        <v>19</v>
      </c>
      <c r="I837" s="393" t="n">
        <v>43385.59930555556</v>
      </c>
      <c r="J837" s="3" t="s">
        <v>40</v>
      </c>
      <c r="K837" s="171">
        <f>VLOOKUP(D837,Base!D:E,2,0)</f>
        <v/>
      </c>
    </row>
    <row customHeight="1" ht="15" r="838" s="183" spans="1:15">
      <c r="A838" s="37">
        <f>E838</f>
        <v/>
      </c>
      <c r="B838" s="117" t="s">
        <v>162</v>
      </c>
      <c r="C838" s="117" t="s">
        <v>63</v>
      </c>
      <c r="D838" s="117" t="s">
        <v>64</v>
      </c>
      <c r="E838" s="200" t="n">
        <v>2000359120952</v>
      </c>
      <c r="F838" s="117" t="s">
        <v>163</v>
      </c>
      <c r="G838" s="118" t="n">
        <v>7990</v>
      </c>
      <c r="H838" s="118" t="n">
        <v>7</v>
      </c>
      <c r="I838" s="393" t="n">
        <v>43385.59930555556</v>
      </c>
      <c r="J838" s="3" t="s">
        <v>40</v>
      </c>
      <c r="K838" s="171">
        <f>VLOOKUP(D838,Base!D:E,2,0)</f>
        <v/>
      </c>
    </row>
    <row customHeight="1" ht="15" r="839" s="183" spans="1:15">
      <c r="A839" s="37">
        <f>E839</f>
        <v/>
      </c>
      <c r="B839" s="117" t="s">
        <v>162</v>
      </c>
      <c r="C839" s="117" t="s">
        <v>63</v>
      </c>
      <c r="D839" s="117" t="s">
        <v>65</v>
      </c>
      <c r="E839" s="200" t="n">
        <v>2000359120952</v>
      </c>
      <c r="F839" s="117" t="s">
        <v>163</v>
      </c>
      <c r="G839" s="118" t="n">
        <v>9550</v>
      </c>
      <c r="H839" s="118" t="n">
        <v>7</v>
      </c>
      <c r="I839" s="393" t="n">
        <v>43385.59861111111</v>
      </c>
      <c r="J839" s="3" t="s">
        <v>40</v>
      </c>
      <c r="K839" s="171">
        <f>VLOOKUP(D839,Base!D:E,2,0)</f>
        <v/>
      </c>
    </row>
    <row customHeight="1" ht="15" r="840" s="183" spans="1:15">
      <c r="A840" s="37">
        <f>E840</f>
        <v/>
      </c>
      <c r="B840" s="117" t="s">
        <v>162</v>
      </c>
      <c r="C840" s="117" t="s">
        <v>63</v>
      </c>
      <c r="D840" s="117" t="s">
        <v>66</v>
      </c>
      <c r="E840" s="200" t="n">
        <v>2000359120952</v>
      </c>
      <c r="F840" s="117" t="s">
        <v>163</v>
      </c>
      <c r="G840" s="118" t="n">
        <v>8490</v>
      </c>
      <c r="H840" s="118" t="n">
        <v>7</v>
      </c>
      <c r="I840" s="393" t="n">
        <v>43385.59861111111</v>
      </c>
      <c r="J840" s="3" t="s">
        <v>40</v>
      </c>
      <c r="K840" s="171">
        <f>VLOOKUP(D840,Base!D:E,2,0)</f>
        <v/>
      </c>
    </row>
    <row customHeight="1" ht="15" r="841" s="183" spans="1:15">
      <c r="A841" s="37">
        <f>E841</f>
        <v/>
      </c>
      <c r="B841" s="117" t="s">
        <v>162</v>
      </c>
      <c r="C841" s="117" t="s">
        <v>63</v>
      </c>
      <c r="D841" s="117" t="s">
        <v>67</v>
      </c>
      <c r="E841" s="200" t="n">
        <v>2000359120952</v>
      </c>
      <c r="F841" s="117" t="s">
        <v>163</v>
      </c>
      <c r="G841" s="118" t="n">
        <v>6990</v>
      </c>
      <c r="H841" s="118" t="n">
        <v>7</v>
      </c>
      <c r="I841" s="393" t="n">
        <v>43385.59930555556</v>
      </c>
      <c r="J841" s="3" t="s">
        <v>40</v>
      </c>
      <c r="K841" s="171">
        <f>VLOOKUP(D841,Base!D:E,2,0)</f>
        <v/>
      </c>
    </row>
    <row customHeight="1" ht="15" r="842" s="183" spans="1:15">
      <c r="A842" s="37">
        <f>E842</f>
        <v/>
      </c>
      <c r="B842" s="117" t="s">
        <v>162</v>
      </c>
      <c r="C842" s="117" t="s">
        <v>68</v>
      </c>
      <c r="D842" s="117" t="s">
        <v>69</v>
      </c>
      <c r="E842" s="200" t="n">
        <v>2000359120952</v>
      </c>
      <c r="F842" s="117" t="s">
        <v>163</v>
      </c>
      <c r="G842" s="118" t="n">
        <v>7990</v>
      </c>
      <c r="H842" s="118" t="n">
        <v>6</v>
      </c>
      <c r="I842" s="393" t="n">
        <v>43385.59930555556</v>
      </c>
      <c r="J842" s="3" t="s">
        <v>40</v>
      </c>
      <c r="K842" s="171">
        <f>VLOOKUP(D842,Base!D:E,2,0)</f>
        <v/>
      </c>
    </row>
    <row customHeight="1" ht="15" r="843" s="183" spans="1:15">
      <c r="A843" s="37">
        <f>E843</f>
        <v/>
      </c>
      <c r="B843" s="117" t="s">
        <v>162</v>
      </c>
      <c r="C843" s="117" t="s">
        <v>68</v>
      </c>
      <c r="D843" s="117" t="s">
        <v>70</v>
      </c>
      <c r="E843" s="200" t="n">
        <v>2000359120952</v>
      </c>
      <c r="F843" s="117" t="s">
        <v>163</v>
      </c>
      <c r="G843" s="118" t="n">
        <v>7990</v>
      </c>
      <c r="H843" s="118" t="n">
        <v>6</v>
      </c>
      <c r="I843" s="393" t="n">
        <v>43385.59930555556</v>
      </c>
      <c r="J843" s="3" t="s">
        <v>40</v>
      </c>
      <c r="K843" s="171">
        <f>VLOOKUP(D843,Base!D:E,2,0)</f>
        <v/>
      </c>
    </row>
    <row customHeight="1" ht="15" r="844" s="183" spans="1:15">
      <c r="A844" s="37">
        <f>E844</f>
        <v/>
      </c>
      <c r="B844" s="117" t="s">
        <v>162</v>
      </c>
      <c r="C844" s="117" t="s">
        <v>71</v>
      </c>
      <c r="D844" s="117" t="s">
        <v>72</v>
      </c>
      <c r="E844" s="200" t="n">
        <v>2000359120952</v>
      </c>
      <c r="F844" s="117" t="s">
        <v>163</v>
      </c>
      <c r="G844" s="118" t="n">
        <v>9790</v>
      </c>
      <c r="H844" s="118" t="n">
        <v>26</v>
      </c>
      <c r="I844" s="393" t="n">
        <v>43385.59930555556</v>
      </c>
      <c r="J844" s="3" t="s">
        <v>40</v>
      </c>
      <c r="K844" s="171">
        <f>VLOOKUP(D844,Base!D:E,2,0)</f>
        <v/>
      </c>
    </row>
    <row customHeight="1" ht="15" r="845" s="183" spans="1:15">
      <c r="A845" s="37">
        <f>E845</f>
        <v/>
      </c>
      <c r="B845" s="117" t="s">
        <v>162</v>
      </c>
      <c r="C845" s="117" t="s">
        <v>73</v>
      </c>
      <c r="D845" s="117" t="s">
        <v>74</v>
      </c>
      <c r="E845" s="200" t="n">
        <v>2000359120952</v>
      </c>
      <c r="F845" s="117" t="s">
        <v>163</v>
      </c>
      <c r="G845" s="118" t="n">
        <v>11850</v>
      </c>
      <c r="H845" s="118" t="n">
        <v>15</v>
      </c>
      <c r="I845" s="393" t="n">
        <v>43385.59861111111</v>
      </c>
      <c r="J845" s="3" t="s">
        <v>40</v>
      </c>
      <c r="K845" s="171">
        <f>VLOOKUP(D845,Base!D:E,2,0)</f>
        <v/>
      </c>
    </row>
    <row customHeight="1" ht="15" r="846" s="183" spans="1:15">
      <c r="A846" s="37">
        <f>E846</f>
        <v/>
      </c>
      <c r="B846" s="117" t="s">
        <v>162</v>
      </c>
      <c r="C846" s="117" t="s">
        <v>75</v>
      </c>
      <c r="D846" s="117" t="s">
        <v>76</v>
      </c>
      <c r="E846" s="200" t="n">
        <v>2000359120952</v>
      </c>
      <c r="F846" s="117" t="s">
        <v>163</v>
      </c>
      <c r="G846" s="118" t="n">
        <v>4990</v>
      </c>
      <c r="H846" s="118" t="n">
        <v>10</v>
      </c>
      <c r="I846" s="393" t="n">
        <v>43385.59930555556</v>
      </c>
      <c r="J846" s="3" t="s">
        <v>40</v>
      </c>
      <c r="K846" s="171">
        <f>VLOOKUP(D846,Base!D:E,2,0)</f>
        <v/>
      </c>
    </row>
    <row customHeight="1" ht="15" r="847" s="183" spans="1:15">
      <c r="A847" s="37">
        <f>E847</f>
        <v/>
      </c>
      <c r="B847" s="121" t="s">
        <v>162</v>
      </c>
      <c r="C847" s="117" t="s">
        <v>75</v>
      </c>
      <c r="D847" s="117" t="s">
        <v>77</v>
      </c>
      <c r="E847" s="200" t="n">
        <v>2000359120952</v>
      </c>
      <c r="F847" s="117" t="s">
        <v>163</v>
      </c>
      <c r="G847" s="118" t="n">
        <v>5650</v>
      </c>
      <c r="H847" s="118" t="n">
        <v>10</v>
      </c>
      <c r="I847" s="393" t="n">
        <v>43385.59930555556</v>
      </c>
      <c r="J847" s="3" t="s">
        <v>40</v>
      </c>
      <c r="K847" s="171">
        <f>VLOOKUP(D847,Base!D:E,2,0)</f>
        <v/>
      </c>
    </row>
    <row customHeight="1" ht="15" r="848" s="183" spans="1:15">
      <c r="A848" s="37">
        <f>E848</f>
        <v/>
      </c>
      <c r="B848" s="117" t="s">
        <v>162</v>
      </c>
      <c r="C848" s="121" t="s">
        <v>75</v>
      </c>
      <c r="D848" s="121" t="s">
        <v>78</v>
      </c>
      <c r="E848" s="201" t="n">
        <v>2000359120952</v>
      </c>
      <c r="F848" s="121" t="s">
        <v>163</v>
      </c>
      <c r="G848" s="122" t="n">
        <v>6490</v>
      </c>
      <c r="H848" s="122" t="n">
        <v>11</v>
      </c>
      <c r="I848" s="394" t="n">
        <v>43385.59930555556</v>
      </c>
      <c r="J848" s="3" t="s">
        <v>40</v>
      </c>
      <c r="K848" s="171">
        <f>VLOOKUP(D848,Base!D:E,2,0)</f>
        <v/>
      </c>
    </row>
    <row customHeight="1" ht="15" r="849" s="183" spans="1:15">
      <c r="A849" s="37">
        <f>E849</f>
        <v/>
      </c>
      <c r="B849" s="117" t="s">
        <v>162</v>
      </c>
      <c r="C849" s="117" t="s">
        <v>75</v>
      </c>
      <c r="D849" s="117" t="s">
        <v>79</v>
      </c>
      <c r="E849" s="200" t="n">
        <v>2000359120952</v>
      </c>
      <c r="F849" s="117" t="s">
        <v>163</v>
      </c>
      <c r="G849" s="117" t="n">
        <v>4990</v>
      </c>
      <c r="H849" s="117" t="n">
        <v>10</v>
      </c>
      <c r="I849" s="393" t="n">
        <v>43385.59930555556</v>
      </c>
      <c r="J849" s="3" t="s">
        <v>40</v>
      </c>
      <c r="K849" s="171">
        <f>VLOOKUP(D849,Base!D:E,2,0)</f>
        <v/>
      </c>
    </row>
    <row customHeight="1" ht="15" r="850" s="183" spans="1:15">
      <c r="A850" s="37">
        <f>E850</f>
        <v/>
      </c>
      <c r="B850" s="117" t="s">
        <v>162</v>
      </c>
      <c r="C850" s="117" t="s">
        <v>75</v>
      </c>
      <c r="D850" s="117" t="s">
        <v>80</v>
      </c>
      <c r="E850" s="200" t="n">
        <v>2000359120952</v>
      </c>
      <c r="F850" s="117" t="s">
        <v>163</v>
      </c>
      <c r="G850" s="117" t="n">
        <v>4990</v>
      </c>
      <c r="H850" s="117" t="n">
        <v>10</v>
      </c>
      <c r="I850" s="393" t="n">
        <v>43385.59930555556</v>
      </c>
      <c r="J850" s="3" t="s">
        <v>40</v>
      </c>
      <c r="K850" s="171">
        <f>VLOOKUP(D850,Base!D:E,2,0)</f>
        <v/>
      </c>
    </row>
    <row customHeight="1" ht="15" r="851" s="183" spans="1:15">
      <c r="A851" s="37">
        <f>E851</f>
        <v/>
      </c>
      <c r="B851" s="117" t="s">
        <v>162</v>
      </c>
      <c r="C851" s="117" t="s">
        <v>75</v>
      </c>
      <c r="D851" s="117" t="s">
        <v>81</v>
      </c>
      <c r="E851" s="200" t="n">
        <v>2000359120952</v>
      </c>
      <c r="F851" s="117" t="s">
        <v>163</v>
      </c>
      <c r="G851" s="117" t="n">
        <v>6650</v>
      </c>
      <c r="H851" s="117" t="n">
        <v>11</v>
      </c>
      <c r="I851" s="393" t="n">
        <v>43385.59930555556</v>
      </c>
      <c r="J851" s="3" t="s">
        <v>40</v>
      </c>
      <c r="K851" s="171">
        <f>VLOOKUP(D851,Base!D:E,2,0)</f>
        <v/>
      </c>
    </row>
    <row customHeight="1" ht="15" r="852" s="183" spans="1:15">
      <c r="A852" s="37">
        <f>E852</f>
        <v/>
      </c>
      <c r="B852" s="117" t="s">
        <v>162</v>
      </c>
      <c r="C852" s="117" t="s">
        <v>75</v>
      </c>
      <c r="D852" s="117" t="s">
        <v>82</v>
      </c>
      <c r="E852" s="200" t="n">
        <v>2000359120952</v>
      </c>
      <c r="F852" s="117" t="s">
        <v>163</v>
      </c>
      <c r="G852" s="117" t="n">
        <v>6650</v>
      </c>
      <c r="H852" s="117" t="n">
        <v>11</v>
      </c>
      <c r="I852" s="393" t="n">
        <v>43385.59930555556</v>
      </c>
      <c r="J852" s="3" t="s">
        <v>40</v>
      </c>
      <c r="K852" s="171">
        <f>VLOOKUP(D852,Base!D:E,2,0)</f>
        <v/>
      </c>
    </row>
    <row customHeight="1" ht="15" r="853" s="183" spans="1:15">
      <c r="A853" s="37">
        <f>E853</f>
        <v/>
      </c>
      <c r="B853" s="117" t="s">
        <v>162</v>
      </c>
      <c r="C853" s="117" t="s">
        <v>75</v>
      </c>
      <c r="D853" s="117" t="s">
        <v>83</v>
      </c>
      <c r="E853" s="200" t="n">
        <v>2000359120952</v>
      </c>
      <c r="F853" s="117" t="s">
        <v>163</v>
      </c>
      <c r="G853" s="117" t="n">
        <v>3990</v>
      </c>
      <c r="H853" s="117" t="n">
        <v>10</v>
      </c>
      <c r="I853" s="393" t="n">
        <v>43385.59930555556</v>
      </c>
      <c r="J853" s="3" t="s">
        <v>40</v>
      </c>
      <c r="K853" s="171">
        <f>VLOOKUP(D853,Base!D:E,2,0)</f>
        <v/>
      </c>
    </row>
    <row customHeight="1" ht="15" r="854" s="183" spans="1:15">
      <c r="A854" s="37">
        <f>E854</f>
        <v/>
      </c>
      <c r="B854" s="117" t="s">
        <v>162</v>
      </c>
      <c r="C854" s="117" t="s">
        <v>75</v>
      </c>
      <c r="D854" s="117" t="s">
        <v>84</v>
      </c>
      <c r="E854" s="200" t="n">
        <v>2000359120952</v>
      </c>
      <c r="F854" s="117" t="s">
        <v>163</v>
      </c>
      <c r="G854" s="117" t="n">
        <v>5850</v>
      </c>
      <c r="H854" s="117" t="n">
        <v>10</v>
      </c>
      <c r="I854" s="393" t="n">
        <v>43385.59930555556</v>
      </c>
      <c r="J854" s="3" t="s">
        <v>40</v>
      </c>
      <c r="K854" s="171">
        <f>VLOOKUP(D854,Base!D:E,2,0)</f>
        <v/>
      </c>
    </row>
    <row customHeight="1" ht="15" r="855" s="183" spans="1:15">
      <c r="A855" s="37">
        <f>E855</f>
        <v/>
      </c>
      <c r="B855" s="117" t="s">
        <v>162</v>
      </c>
      <c r="C855" s="117" t="s">
        <v>75</v>
      </c>
      <c r="D855" s="117" t="s">
        <v>85</v>
      </c>
      <c r="E855" s="200" t="n">
        <v>2000359120952</v>
      </c>
      <c r="F855" s="117" t="s">
        <v>163</v>
      </c>
      <c r="G855" s="117" t="n">
        <v>3990</v>
      </c>
      <c r="H855" s="117" t="n">
        <v>10</v>
      </c>
      <c r="I855" s="393" t="n">
        <v>43385.59930555556</v>
      </c>
      <c r="J855" s="3" t="s">
        <v>40</v>
      </c>
      <c r="K855" s="171">
        <f>VLOOKUP(D855,Base!D:E,2,0)</f>
        <v/>
      </c>
    </row>
    <row customHeight="1" ht="15" r="856" s="183" spans="1:15">
      <c r="A856" s="37">
        <f>E856</f>
        <v/>
      </c>
      <c r="B856" s="117" t="s">
        <v>162</v>
      </c>
      <c r="C856" s="117" t="s">
        <v>86</v>
      </c>
      <c r="D856" s="117" t="s">
        <v>87</v>
      </c>
      <c r="E856" s="200" t="n">
        <v>2000359120952</v>
      </c>
      <c r="F856" s="117" t="s">
        <v>163</v>
      </c>
      <c r="G856" s="117" t="n">
        <v>6990</v>
      </c>
      <c r="H856" s="117" t="n">
        <v>12</v>
      </c>
      <c r="I856" s="393" t="n">
        <v>43385.59930555556</v>
      </c>
      <c r="J856" s="3" t="s">
        <v>40</v>
      </c>
      <c r="K856" s="171">
        <f>VLOOKUP(D856,Base!D:E,2,0)</f>
        <v/>
      </c>
    </row>
    <row customHeight="1" ht="15" r="857" s="183" spans="1:15">
      <c r="A857" s="37">
        <f>E857</f>
        <v/>
      </c>
      <c r="B857" s="117" t="s">
        <v>162</v>
      </c>
      <c r="C857" s="117" t="s">
        <v>86</v>
      </c>
      <c r="D857" s="117" t="s">
        <v>88</v>
      </c>
      <c r="E857" s="200" t="n">
        <v>2000359120952</v>
      </c>
      <c r="F857" s="117" t="s">
        <v>163</v>
      </c>
      <c r="G857" s="117" t="n">
        <v>6490</v>
      </c>
      <c r="H857" s="117" t="n">
        <v>11</v>
      </c>
      <c r="I857" s="393" t="n">
        <v>43385.59930555556</v>
      </c>
      <c r="J857" s="3" t="s">
        <v>40</v>
      </c>
      <c r="K857" s="171">
        <f>VLOOKUP(D857,Base!D:E,2,0)</f>
        <v/>
      </c>
    </row>
    <row customHeight="1" ht="15" r="858" s="183" spans="1:15">
      <c r="A858" s="37">
        <f>E858</f>
        <v/>
      </c>
      <c r="B858" s="117" t="s">
        <v>162</v>
      </c>
      <c r="C858" s="117" t="s">
        <v>86</v>
      </c>
      <c r="D858" s="117" t="s">
        <v>89</v>
      </c>
      <c r="E858" s="200" t="n">
        <v>2000359120952</v>
      </c>
      <c r="F858" s="117" t="s">
        <v>163</v>
      </c>
      <c r="G858" s="117" t="n">
        <v>5490</v>
      </c>
      <c r="H858" s="117" t="n">
        <v>15</v>
      </c>
      <c r="I858" s="393" t="n">
        <v>43385.59930555556</v>
      </c>
      <c r="J858" s="3" t="s">
        <v>40</v>
      </c>
      <c r="K858" s="171">
        <f>VLOOKUP(D858,Base!D:E,2,0)</f>
        <v/>
      </c>
    </row>
    <row customHeight="1" ht="15" r="859" s="183" spans="1:15">
      <c r="A859" s="37">
        <f>E859</f>
        <v/>
      </c>
      <c r="B859" s="117" t="s">
        <v>162</v>
      </c>
      <c r="C859" s="117" t="s">
        <v>86</v>
      </c>
      <c r="D859" s="117" t="s">
        <v>90</v>
      </c>
      <c r="E859" s="200" t="n">
        <v>2000359120952</v>
      </c>
      <c r="F859" s="117" t="s">
        <v>163</v>
      </c>
      <c r="G859" s="117" t="n">
        <v>4490</v>
      </c>
      <c r="H859" s="117" t="n">
        <v>11</v>
      </c>
      <c r="I859" s="393" t="n">
        <v>43385.59930555556</v>
      </c>
      <c r="J859" s="3" t="s">
        <v>40</v>
      </c>
      <c r="K859" s="171">
        <f>VLOOKUP(D859,Base!D:E,2,0)</f>
        <v/>
      </c>
    </row>
    <row customHeight="1" ht="15" r="860" s="183" spans="1:15">
      <c r="A860" s="37">
        <f>E860</f>
        <v/>
      </c>
      <c r="B860" s="117" t="s">
        <v>162</v>
      </c>
      <c r="C860" s="117" t="s">
        <v>86</v>
      </c>
      <c r="D860" s="117" t="s">
        <v>91</v>
      </c>
      <c r="E860" s="200" t="n">
        <v>2000359120952</v>
      </c>
      <c r="F860" s="117" t="s">
        <v>163</v>
      </c>
      <c r="G860" s="117" t="n">
        <v>6490</v>
      </c>
      <c r="H860" s="117" t="n">
        <v>11</v>
      </c>
      <c r="I860" s="393" t="n">
        <v>43385.59930555556</v>
      </c>
      <c r="J860" s="3" t="s">
        <v>40</v>
      </c>
      <c r="K860" s="171">
        <f>VLOOKUP(D860,Base!D:E,2,0)</f>
        <v/>
      </c>
    </row>
    <row customHeight="1" ht="15" r="861" s="183" spans="1:15">
      <c r="A861" s="37">
        <f>E861</f>
        <v/>
      </c>
      <c r="B861" s="117" t="s">
        <v>162</v>
      </c>
      <c r="C861" s="117" t="s">
        <v>86</v>
      </c>
      <c r="D861" s="117" t="s">
        <v>92</v>
      </c>
      <c r="E861" s="200" t="n">
        <v>2000359120952</v>
      </c>
      <c r="F861" s="117" t="s">
        <v>163</v>
      </c>
      <c r="G861" s="117" t="n">
        <v>6490</v>
      </c>
      <c r="H861" s="117" t="n">
        <v>12</v>
      </c>
      <c r="I861" s="393" t="n">
        <v>43385.59930555556</v>
      </c>
      <c r="J861" s="3" t="s">
        <v>40</v>
      </c>
      <c r="K861" s="171">
        <f>VLOOKUP(D861,Base!D:E,2,0)</f>
        <v/>
      </c>
    </row>
    <row customHeight="1" ht="15" r="862" s="183" spans="1:15">
      <c r="A862" s="37">
        <f>E862</f>
        <v/>
      </c>
      <c r="B862" s="117" t="s">
        <v>162</v>
      </c>
      <c r="C862" s="117" t="s">
        <v>86</v>
      </c>
      <c r="D862" s="117" t="s">
        <v>93</v>
      </c>
      <c r="E862" s="200" t="n">
        <v>2000359120952</v>
      </c>
      <c r="F862" s="117" t="s">
        <v>163</v>
      </c>
      <c r="G862" s="117" t="n">
        <v>5990</v>
      </c>
      <c r="H862" s="117" t="n">
        <v>15</v>
      </c>
      <c r="I862" s="393" t="n">
        <v>43385.59930555556</v>
      </c>
      <c r="J862" s="3" t="s">
        <v>40</v>
      </c>
      <c r="K862" s="171">
        <f>VLOOKUP(D862,Base!D:E,2,0)</f>
        <v/>
      </c>
    </row>
    <row customHeight="1" ht="15" r="863" s="183" spans="1:15">
      <c r="A863" s="37">
        <f>E863</f>
        <v/>
      </c>
      <c r="B863" s="117" t="s">
        <v>162</v>
      </c>
      <c r="C863" s="117" t="s">
        <v>86</v>
      </c>
      <c r="D863" s="117" t="s">
        <v>94</v>
      </c>
      <c r="E863" s="200" t="n">
        <v>2000359120952</v>
      </c>
      <c r="F863" s="117" t="s">
        <v>163</v>
      </c>
      <c r="G863" s="117" t="n">
        <v>5990</v>
      </c>
      <c r="H863" s="117" t="n">
        <v>11</v>
      </c>
      <c r="I863" s="393" t="n">
        <v>43385.59930555556</v>
      </c>
      <c r="J863" s="3" t="s">
        <v>40</v>
      </c>
      <c r="K863" s="171">
        <f>VLOOKUP(D863,Base!D:E,2,0)</f>
        <v/>
      </c>
    </row>
    <row customHeight="1" ht="15" r="864" s="183" spans="1:15">
      <c r="A864" s="37">
        <f>E864</f>
        <v/>
      </c>
      <c r="B864" s="117" t="s">
        <v>162</v>
      </c>
      <c r="C864" s="117" t="s">
        <v>86</v>
      </c>
      <c r="D864" s="117" t="s">
        <v>95</v>
      </c>
      <c r="E864" s="200" t="n">
        <v>2000359120952</v>
      </c>
      <c r="F864" s="117" t="s">
        <v>163</v>
      </c>
      <c r="G864" s="117" t="n">
        <v>5990</v>
      </c>
      <c r="H864" s="117" t="n">
        <v>11</v>
      </c>
      <c r="I864" s="393" t="n">
        <v>43385.59930555556</v>
      </c>
      <c r="J864" s="3" t="s">
        <v>40</v>
      </c>
      <c r="K864" s="171">
        <f>VLOOKUP(D864,Base!D:E,2,0)</f>
        <v/>
      </c>
    </row>
    <row customHeight="1" ht="15" r="865" s="183" spans="1:15">
      <c r="A865" s="37">
        <f>E865</f>
        <v/>
      </c>
      <c r="B865" s="117" t="s">
        <v>162</v>
      </c>
      <c r="C865" s="117" t="s">
        <v>96</v>
      </c>
      <c r="D865" s="117" t="s">
        <v>97</v>
      </c>
      <c r="E865" s="200" t="n">
        <v>2000359120952</v>
      </c>
      <c r="F865" s="117" t="s">
        <v>163</v>
      </c>
      <c r="G865" s="117" t="n">
        <v>4990</v>
      </c>
      <c r="H865" s="117" t="n">
        <v>15</v>
      </c>
      <c r="I865" s="393" t="n">
        <v>43385.59930555556</v>
      </c>
      <c r="J865" s="3" t="s">
        <v>40</v>
      </c>
      <c r="K865" s="171">
        <f>VLOOKUP(D865,Base!D:E,2,0)</f>
        <v/>
      </c>
    </row>
    <row customHeight="1" ht="15" r="866" s="183" spans="1:15">
      <c r="A866" s="37">
        <f>E866</f>
        <v/>
      </c>
      <c r="B866" s="117" t="s">
        <v>162</v>
      </c>
      <c r="C866" s="117" t="s">
        <v>96</v>
      </c>
      <c r="D866" s="117" t="s">
        <v>98</v>
      </c>
      <c r="E866" s="200" t="n">
        <v>2000359120952</v>
      </c>
      <c r="F866" s="117" t="s">
        <v>163</v>
      </c>
      <c r="G866" s="117" t="n">
        <v>4550</v>
      </c>
      <c r="H866" s="117" t="n">
        <v>15</v>
      </c>
      <c r="I866" s="393" t="n">
        <v>43385.59861111111</v>
      </c>
      <c r="J866" s="3" t="s">
        <v>40</v>
      </c>
      <c r="K866" s="171">
        <f>VLOOKUP(D866,Base!D:E,2,0)</f>
        <v/>
      </c>
    </row>
    <row customHeight="1" ht="15" r="867" s="183" spans="1:15">
      <c r="A867" s="37">
        <f>E867</f>
        <v/>
      </c>
      <c r="B867" s="117" t="s">
        <v>162</v>
      </c>
      <c r="C867" s="117" t="s">
        <v>96</v>
      </c>
      <c r="D867" s="117" t="s">
        <v>99</v>
      </c>
      <c r="E867" s="200" t="n">
        <v>2000359120952</v>
      </c>
      <c r="F867" s="117" t="s">
        <v>163</v>
      </c>
      <c r="G867" s="117" t="n">
        <v>5550</v>
      </c>
      <c r="H867" s="117" t="n">
        <v>15</v>
      </c>
      <c r="I867" s="393" t="n">
        <v>43385.59930555556</v>
      </c>
      <c r="J867" s="3" t="s">
        <v>40</v>
      </c>
      <c r="K867" s="171">
        <f>VLOOKUP(D867,Base!D:E,2,0)</f>
        <v/>
      </c>
    </row>
    <row customHeight="1" ht="15" r="868" s="183" spans="1:15">
      <c r="A868" s="37">
        <f>E868</f>
        <v/>
      </c>
      <c r="B868" s="117" t="s">
        <v>162</v>
      </c>
      <c r="C868" s="117" t="s">
        <v>96</v>
      </c>
      <c r="D868" s="117" t="s">
        <v>100</v>
      </c>
      <c r="E868" s="200" t="n">
        <v>2000359120952</v>
      </c>
      <c r="F868" s="117" t="s">
        <v>163</v>
      </c>
      <c r="G868" s="117" t="n">
        <v>5990</v>
      </c>
      <c r="H868" s="117" t="n">
        <v>15</v>
      </c>
      <c r="I868" s="393" t="n">
        <v>43385.59930555556</v>
      </c>
      <c r="J868" s="3" t="s">
        <v>40</v>
      </c>
      <c r="K868" s="171">
        <f>VLOOKUP(D868,Base!D:E,2,0)</f>
        <v/>
      </c>
    </row>
    <row customHeight="1" ht="15" r="869" s="183" spans="1:15">
      <c r="A869" s="37">
        <f>E869</f>
        <v/>
      </c>
      <c r="B869" s="117" t="s">
        <v>162</v>
      </c>
      <c r="C869" s="117" t="s">
        <v>101</v>
      </c>
      <c r="D869" s="117" t="s">
        <v>102</v>
      </c>
      <c r="E869" s="200" t="n">
        <v>2000359120952</v>
      </c>
      <c r="F869" s="117" t="s">
        <v>163</v>
      </c>
      <c r="G869" s="117" t="n">
        <v>4500</v>
      </c>
      <c r="H869" s="117" t="n">
        <v>11</v>
      </c>
      <c r="I869" s="393" t="n">
        <v>43385.59930555556</v>
      </c>
      <c r="J869" s="3" t="s">
        <v>40</v>
      </c>
      <c r="K869" s="171">
        <f>VLOOKUP(D869,Base!D:E,2,0)</f>
        <v/>
      </c>
    </row>
    <row customHeight="1" ht="15" r="870" s="183" spans="1:15">
      <c r="A870" s="37">
        <f>E870</f>
        <v/>
      </c>
      <c r="B870" s="117" t="s">
        <v>162</v>
      </c>
      <c r="C870" s="117" t="s">
        <v>101</v>
      </c>
      <c r="D870" s="117" t="s">
        <v>103</v>
      </c>
      <c r="E870" s="200" t="n">
        <v>2000359120952</v>
      </c>
      <c r="F870" s="117" t="s">
        <v>163</v>
      </c>
      <c r="G870" s="117" t="n">
        <v>7000</v>
      </c>
      <c r="H870" s="117" t="n">
        <v>15</v>
      </c>
      <c r="I870" s="393" t="n">
        <v>43385.59930555556</v>
      </c>
      <c r="J870" s="3" t="s">
        <v>40</v>
      </c>
      <c r="K870" s="171">
        <f>VLOOKUP(D870,Base!D:E,2,0)</f>
        <v/>
      </c>
    </row>
    <row customHeight="1" ht="15" r="871" s="183" spans="1:15">
      <c r="A871" s="37">
        <f>E871</f>
        <v/>
      </c>
      <c r="B871" s="117" t="s">
        <v>162</v>
      </c>
      <c r="C871" s="117" t="s">
        <v>101</v>
      </c>
      <c r="D871" s="117" t="s">
        <v>104</v>
      </c>
      <c r="E871" s="200" t="n">
        <v>2000359120952</v>
      </c>
      <c r="F871" s="117" t="s">
        <v>163</v>
      </c>
      <c r="G871" s="117" t="n">
        <v>4500</v>
      </c>
      <c r="H871" s="117" t="n">
        <v>12</v>
      </c>
      <c r="I871" s="393" t="n">
        <v>43385.59930555556</v>
      </c>
      <c r="J871" s="3" t="s">
        <v>40</v>
      </c>
      <c r="K871" s="171">
        <f>VLOOKUP(D871,Base!D:E,2,0)</f>
        <v/>
      </c>
    </row>
    <row customHeight="1" ht="15" r="872" s="183" spans="1:15">
      <c r="A872" s="37">
        <f>E872</f>
        <v/>
      </c>
      <c r="B872" s="117" t="s">
        <v>162</v>
      </c>
      <c r="C872" s="117" t="s">
        <v>105</v>
      </c>
      <c r="D872" s="117" t="s">
        <v>106</v>
      </c>
      <c r="E872" s="200" t="n">
        <v>2000359120952</v>
      </c>
      <c r="F872" s="117" t="s">
        <v>163</v>
      </c>
      <c r="G872" s="117" t="n">
        <v>4990</v>
      </c>
      <c r="H872" s="117" t="n">
        <v>6</v>
      </c>
      <c r="I872" s="393" t="n">
        <v>43385.59930555556</v>
      </c>
      <c r="J872" s="3" t="s">
        <v>40</v>
      </c>
      <c r="K872" s="171">
        <f>VLOOKUP(D872,Base!D:E,2,0)</f>
        <v/>
      </c>
    </row>
    <row customHeight="1" ht="15" r="873" s="183" spans="1:15">
      <c r="A873" s="37">
        <f>E873</f>
        <v/>
      </c>
      <c r="B873" s="117" t="s">
        <v>162</v>
      </c>
      <c r="C873" s="117" t="s">
        <v>105</v>
      </c>
      <c r="D873" s="117" t="s">
        <v>107</v>
      </c>
      <c r="E873" s="200" t="n">
        <v>2000359120952</v>
      </c>
      <c r="F873" s="117" t="s">
        <v>163</v>
      </c>
      <c r="G873" s="117" t="n">
        <v>4850</v>
      </c>
      <c r="H873" s="117" t="n">
        <v>4</v>
      </c>
      <c r="I873" s="393" t="n">
        <v>43385.59861111111</v>
      </c>
      <c r="J873" s="3" t="s">
        <v>40</v>
      </c>
      <c r="K873" s="171">
        <f>VLOOKUP(D873,Base!D:E,2,0)</f>
        <v/>
      </c>
    </row>
    <row customHeight="1" ht="15" r="874" s="183" spans="1:15">
      <c r="A874" s="37">
        <f>E874</f>
        <v/>
      </c>
      <c r="B874" s="117" t="s">
        <v>162</v>
      </c>
      <c r="C874" s="117" t="s">
        <v>105</v>
      </c>
      <c r="D874" s="117" t="s">
        <v>108</v>
      </c>
      <c r="E874" s="200" t="n">
        <v>2000359120952</v>
      </c>
      <c r="F874" s="117" t="s">
        <v>163</v>
      </c>
      <c r="G874" s="117" t="n">
        <v>4850</v>
      </c>
      <c r="H874" s="117" t="n">
        <v>5</v>
      </c>
      <c r="I874" s="393" t="n">
        <v>43385.59930555556</v>
      </c>
      <c r="J874" s="3" t="s">
        <v>40</v>
      </c>
      <c r="K874" s="171">
        <f>VLOOKUP(D874,Base!D:E,2,0)</f>
        <v/>
      </c>
    </row>
    <row customHeight="1" ht="15" r="875" s="183" spans="1:15">
      <c r="A875" s="37">
        <f>E875</f>
        <v/>
      </c>
      <c r="B875" s="117" t="s">
        <v>162</v>
      </c>
      <c r="C875" s="117" t="s">
        <v>105</v>
      </c>
      <c r="D875" s="117" t="s">
        <v>109</v>
      </c>
      <c r="E875" s="200" t="n">
        <v>2000359120952</v>
      </c>
      <c r="F875" s="117" t="s">
        <v>163</v>
      </c>
      <c r="G875" s="117" t="n">
        <v>4490</v>
      </c>
      <c r="H875" s="117" t="n">
        <v>6</v>
      </c>
      <c r="I875" s="393" t="n">
        <v>43385.59930555556</v>
      </c>
      <c r="J875" s="3" t="s">
        <v>40</v>
      </c>
      <c r="K875" s="171">
        <f>VLOOKUP(D875,Base!D:E,2,0)</f>
        <v/>
      </c>
    </row>
    <row customHeight="1" ht="15" r="876" s="183" spans="1:15">
      <c r="A876" s="37">
        <f>E876</f>
        <v/>
      </c>
      <c r="B876" s="117" t="s">
        <v>162</v>
      </c>
      <c r="C876" s="117" t="s">
        <v>105</v>
      </c>
      <c r="D876" s="117" t="s">
        <v>110</v>
      </c>
      <c r="E876" s="200" t="n">
        <v>2000359120952</v>
      </c>
      <c r="F876" s="117" t="s">
        <v>163</v>
      </c>
      <c r="G876" s="117" t="n">
        <v>4850</v>
      </c>
      <c r="H876" s="117" t="n">
        <v>5</v>
      </c>
      <c r="I876" s="393" t="n">
        <v>43385.59930555556</v>
      </c>
      <c r="J876" s="3" t="s">
        <v>40</v>
      </c>
      <c r="K876" s="171">
        <f>VLOOKUP(D876,Base!D:E,2,0)</f>
        <v/>
      </c>
    </row>
    <row customHeight="1" ht="15" r="877" s="183" spans="1:15">
      <c r="A877" s="37">
        <f>E877</f>
        <v/>
      </c>
      <c r="B877" s="117" t="s">
        <v>162</v>
      </c>
      <c r="C877" s="117" t="s">
        <v>105</v>
      </c>
      <c r="D877" s="117" t="s">
        <v>111</v>
      </c>
      <c r="E877" s="200" t="n">
        <v>2000359120952</v>
      </c>
      <c r="F877" s="117" t="s">
        <v>163</v>
      </c>
      <c r="G877" s="117" t="n">
        <v>4490</v>
      </c>
      <c r="H877" s="117" t="n">
        <v>4</v>
      </c>
      <c r="I877" s="393" t="n">
        <v>43385.59861111111</v>
      </c>
      <c r="J877" s="3" t="s">
        <v>40</v>
      </c>
      <c r="K877" s="171">
        <f>VLOOKUP(D877,Base!D:E,2,0)</f>
        <v/>
      </c>
    </row>
    <row customHeight="1" ht="15" r="878" s="183" spans="1:15">
      <c r="A878" s="37">
        <f>E878</f>
        <v/>
      </c>
      <c r="B878" s="117" t="s">
        <v>162</v>
      </c>
      <c r="C878" s="117" t="s">
        <v>105</v>
      </c>
      <c r="D878" s="117" t="s">
        <v>112</v>
      </c>
      <c r="E878" s="200" t="n">
        <v>2000359120952</v>
      </c>
      <c r="F878" s="117" t="s">
        <v>163</v>
      </c>
      <c r="G878" s="117" t="n">
        <v>3990</v>
      </c>
      <c r="H878" s="117" t="n">
        <v>5</v>
      </c>
      <c r="I878" s="393" t="n">
        <v>43385.59930555556</v>
      </c>
      <c r="J878" s="3" t="s">
        <v>40</v>
      </c>
      <c r="K878" s="171">
        <f>VLOOKUP(D878,Base!D:E,2,0)</f>
        <v/>
      </c>
    </row>
    <row customHeight="1" ht="15" r="879" s="183" spans="1:15">
      <c r="A879" s="37">
        <f>E879</f>
        <v/>
      </c>
      <c r="B879" s="117" t="s">
        <v>162</v>
      </c>
      <c r="C879" s="117" t="s">
        <v>105</v>
      </c>
      <c r="D879" s="117" t="s">
        <v>113</v>
      </c>
      <c r="E879" s="200" t="n">
        <v>2000359120952</v>
      </c>
      <c r="F879" s="117" t="s">
        <v>163</v>
      </c>
      <c r="G879" s="117" t="n">
        <v>3990</v>
      </c>
      <c r="H879" s="117" t="n">
        <v>5</v>
      </c>
      <c r="I879" s="393" t="n">
        <v>43385.59930555556</v>
      </c>
      <c r="J879" s="3" t="s">
        <v>40</v>
      </c>
      <c r="K879" s="171">
        <f>VLOOKUP(D879,Base!D:E,2,0)</f>
        <v/>
      </c>
    </row>
    <row customHeight="1" ht="15" r="880" s="183" spans="1:15">
      <c r="A880" s="37">
        <f>E880</f>
        <v/>
      </c>
      <c r="B880" s="117" t="s">
        <v>162</v>
      </c>
      <c r="C880" s="117" t="s">
        <v>105</v>
      </c>
      <c r="D880" s="117" t="s">
        <v>114</v>
      </c>
      <c r="E880" s="200" t="n">
        <v>2000359120952</v>
      </c>
      <c r="F880" s="117" t="s">
        <v>163</v>
      </c>
      <c r="G880" s="117" t="n">
        <v>4850</v>
      </c>
      <c r="H880" s="117" t="n">
        <v>5</v>
      </c>
      <c r="I880" s="393" t="n">
        <v>43385.59930555556</v>
      </c>
      <c r="J880" s="3" t="s">
        <v>40</v>
      </c>
      <c r="K880" s="171">
        <f>VLOOKUP(D880,Base!D:E,2,0)</f>
        <v/>
      </c>
    </row>
    <row customHeight="1" ht="15" r="881" s="183" spans="1:15">
      <c r="A881" s="37">
        <f>E881</f>
        <v/>
      </c>
      <c r="B881" s="117" t="s">
        <v>162</v>
      </c>
      <c r="C881" s="117" t="s">
        <v>105</v>
      </c>
      <c r="D881" s="117" t="s">
        <v>115</v>
      </c>
      <c r="E881" s="200" t="n">
        <v>2000359120952</v>
      </c>
      <c r="F881" s="117" t="s">
        <v>163</v>
      </c>
      <c r="G881" s="117" t="n">
        <v>4490</v>
      </c>
      <c r="H881" s="117" t="n">
        <v>5</v>
      </c>
      <c r="I881" s="393" t="n">
        <v>43385.59930555556</v>
      </c>
      <c r="J881" s="3" t="s">
        <v>40</v>
      </c>
      <c r="K881" s="171">
        <f>VLOOKUP(D881,Base!D:E,2,0)</f>
        <v/>
      </c>
    </row>
    <row customHeight="1" ht="15" r="882" s="183" spans="1:15">
      <c r="A882" s="37">
        <f>E882</f>
        <v/>
      </c>
      <c r="B882" s="117" t="s">
        <v>162</v>
      </c>
      <c r="C882" s="117" t="s">
        <v>105</v>
      </c>
      <c r="D882" s="117" t="s">
        <v>116</v>
      </c>
      <c r="E882" s="200" t="n">
        <v>2000359120952</v>
      </c>
      <c r="F882" s="117" t="s">
        <v>163</v>
      </c>
      <c r="G882" s="117" t="n">
        <v>3990</v>
      </c>
      <c r="H882" s="117" t="n">
        <v>4</v>
      </c>
      <c r="I882" s="393" t="n">
        <v>43385.59861111111</v>
      </c>
      <c r="J882" s="3" t="s">
        <v>40</v>
      </c>
      <c r="K882" s="171">
        <f>VLOOKUP(D882,Base!D:E,2,0)</f>
        <v/>
      </c>
    </row>
    <row customHeight="1" ht="15" r="883" s="183" spans="1:15">
      <c r="A883" s="37">
        <f>E883</f>
        <v/>
      </c>
      <c r="B883" s="117" t="s">
        <v>162</v>
      </c>
      <c r="C883" s="117" t="s">
        <v>105</v>
      </c>
      <c r="D883" s="117" t="s">
        <v>117</v>
      </c>
      <c r="E883" s="200" t="n">
        <v>2000359120952</v>
      </c>
      <c r="F883" s="117" t="s">
        <v>163</v>
      </c>
      <c r="G883" s="117" t="n">
        <v>4850</v>
      </c>
      <c r="H883" s="117" t="n">
        <v>5</v>
      </c>
      <c r="I883" s="393" t="n">
        <v>43385.59930555556</v>
      </c>
      <c r="J883" s="3" t="s">
        <v>40</v>
      </c>
      <c r="K883" s="171">
        <f>VLOOKUP(D883,Base!D:E,2,0)</f>
        <v/>
      </c>
    </row>
    <row customHeight="1" ht="15" r="884" s="183" spans="1:15">
      <c r="A884" s="37">
        <f>E884</f>
        <v/>
      </c>
      <c r="B884" s="117" t="s">
        <v>162</v>
      </c>
      <c r="C884" s="117" t="s">
        <v>105</v>
      </c>
      <c r="D884" s="117" t="s">
        <v>118</v>
      </c>
      <c r="E884" s="200" t="n">
        <v>2000359120952</v>
      </c>
      <c r="F884" s="117" t="s">
        <v>163</v>
      </c>
      <c r="G884" s="117" t="n">
        <v>4850</v>
      </c>
      <c r="H884" s="117" t="n">
        <v>4</v>
      </c>
      <c r="I884" s="393" t="n">
        <v>43385.59930555556</v>
      </c>
      <c r="J884" s="3" t="s">
        <v>40</v>
      </c>
      <c r="K884" s="171">
        <f>VLOOKUP(D884,Base!D:E,2,0)</f>
        <v/>
      </c>
    </row>
    <row customHeight="1" ht="15" r="885" s="183" spans="1:15">
      <c r="A885" s="37">
        <f>E885</f>
        <v/>
      </c>
      <c r="B885" s="117" t="s">
        <v>162</v>
      </c>
      <c r="C885" s="117" t="s">
        <v>105</v>
      </c>
      <c r="D885" s="117" t="s">
        <v>119</v>
      </c>
      <c r="E885" s="200" t="n">
        <v>2000359120952</v>
      </c>
      <c r="F885" s="117" t="s">
        <v>163</v>
      </c>
      <c r="G885" s="117" t="n">
        <v>3990</v>
      </c>
      <c r="H885" s="117" t="n">
        <v>4</v>
      </c>
      <c r="I885" s="393" t="n">
        <v>43385.59930555556</v>
      </c>
      <c r="J885" s="3" t="s">
        <v>40</v>
      </c>
      <c r="K885" s="171">
        <f>VLOOKUP(D885,Base!D:E,2,0)</f>
        <v/>
      </c>
    </row>
    <row customHeight="1" ht="15" r="886" s="183" spans="1:15">
      <c r="A886" s="37">
        <f>E886</f>
        <v/>
      </c>
      <c r="B886" s="117" t="s">
        <v>162</v>
      </c>
      <c r="C886" s="117" t="s">
        <v>105</v>
      </c>
      <c r="D886" s="117" t="s">
        <v>120</v>
      </c>
      <c r="E886" s="200" t="n">
        <v>2000359120952</v>
      </c>
      <c r="F886" s="117" t="s">
        <v>163</v>
      </c>
      <c r="G886" s="117" t="n">
        <v>5850</v>
      </c>
      <c r="H886" s="117" t="n">
        <v>6</v>
      </c>
      <c r="I886" s="393" t="n">
        <v>43385.59930555556</v>
      </c>
      <c r="J886" s="3" t="s">
        <v>40</v>
      </c>
      <c r="K886" s="171">
        <f>VLOOKUP(D886,Base!D:E,2,0)</f>
        <v/>
      </c>
    </row>
    <row customHeight="1" ht="15" r="887" s="183" spans="1:15">
      <c r="A887" s="37">
        <f>E887</f>
        <v/>
      </c>
      <c r="B887" s="117" t="s">
        <v>162</v>
      </c>
      <c r="C887" s="117" t="s">
        <v>105</v>
      </c>
      <c r="D887" s="117" t="s">
        <v>121</v>
      </c>
      <c r="E887" s="200" t="n">
        <v>2000359120952</v>
      </c>
      <c r="F887" s="117" t="s">
        <v>163</v>
      </c>
      <c r="G887" s="117" t="n">
        <v>3990</v>
      </c>
      <c r="H887" s="117" t="n">
        <v>4</v>
      </c>
      <c r="I887" s="393" t="n">
        <v>43385.59930555556</v>
      </c>
      <c r="J887" s="3" t="s">
        <v>40</v>
      </c>
      <c r="K887" s="171">
        <f>VLOOKUP(D887,Base!D:E,2,0)</f>
        <v/>
      </c>
    </row>
    <row customHeight="1" ht="15" r="888" s="183" spans="1:15">
      <c r="A888" s="37">
        <f>E888</f>
        <v/>
      </c>
      <c r="B888" s="117" t="s">
        <v>162</v>
      </c>
      <c r="C888" s="117" t="s">
        <v>105</v>
      </c>
      <c r="D888" s="117" t="s">
        <v>122</v>
      </c>
      <c r="E888" s="200" t="n">
        <v>2000359120952</v>
      </c>
      <c r="F888" s="117" t="s">
        <v>163</v>
      </c>
      <c r="G888" s="117" t="n">
        <v>3990</v>
      </c>
      <c r="H888" s="117" t="n">
        <v>4</v>
      </c>
      <c r="I888" s="393" t="n">
        <v>43385.59861111111</v>
      </c>
      <c r="J888" s="3" t="s">
        <v>40</v>
      </c>
      <c r="K888" s="171">
        <f>VLOOKUP(D888,Base!D:E,2,0)</f>
        <v/>
      </c>
    </row>
    <row customHeight="1" ht="15" r="889" s="183" spans="1:15">
      <c r="A889" s="37">
        <f>E889</f>
        <v/>
      </c>
      <c r="B889" s="117" t="s">
        <v>162</v>
      </c>
      <c r="C889" s="117" t="s">
        <v>105</v>
      </c>
      <c r="D889" s="117" t="s">
        <v>123</v>
      </c>
      <c r="E889" s="200" t="n">
        <v>2000359120952</v>
      </c>
      <c r="F889" s="117" t="s">
        <v>163</v>
      </c>
      <c r="G889" s="117" t="n">
        <v>4490</v>
      </c>
      <c r="H889" s="117" t="n">
        <v>4</v>
      </c>
      <c r="I889" s="393" t="n">
        <v>43385.59930555556</v>
      </c>
      <c r="J889" s="3" t="s">
        <v>40</v>
      </c>
      <c r="K889" s="171">
        <f>VLOOKUP(D889,Base!D:E,2,0)</f>
        <v/>
      </c>
    </row>
    <row customHeight="1" ht="15" r="890" s="183" spans="1:15">
      <c r="A890" s="37">
        <f>E890</f>
        <v/>
      </c>
      <c r="B890" s="117" t="s">
        <v>162</v>
      </c>
      <c r="C890" s="117" t="s">
        <v>105</v>
      </c>
      <c r="D890" s="117" t="s">
        <v>124</v>
      </c>
      <c r="E890" s="200" t="n">
        <v>2000359120952</v>
      </c>
      <c r="F890" s="117" t="s">
        <v>163</v>
      </c>
      <c r="G890" s="117" t="n">
        <v>4850</v>
      </c>
      <c r="H890" s="117" t="n">
        <v>4</v>
      </c>
      <c r="I890" s="393" t="n">
        <v>43385.59861111111</v>
      </c>
      <c r="J890" s="3" t="s">
        <v>40</v>
      </c>
      <c r="K890" s="171">
        <f>VLOOKUP(D890,Base!D:E,2,0)</f>
        <v/>
      </c>
    </row>
    <row customHeight="1" ht="15" r="891" s="183" spans="1:15">
      <c r="A891" s="37">
        <f>E891</f>
        <v/>
      </c>
      <c r="B891" s="117" t="s">
        <v>162</v>
      </c>
      <c r="C891" s="117" t="s">
        <v>105</v>
      </c>
      <c r="D891" s="117" t="s">
        <v>125</v>
      </c>
      <c r="E891" s="200" t="n">
        <v>2000359120952</v>
      </c>
      <c r="F891" s="117" t="s">
        <v>163</v>
      </c>
      <c r="G891" s="117" t="n">
        <v>3990</v>
      </c>
      <c r="H891" s="117" t="n">
        <v>4</v>
      </c>
      <c r="I891" s="393" t="n">
        <v>43385.59930555556</v>
      </c>
      <c r="J891" s="3" t="s">
        <v>40</v>
      </c>
      <c r="K891" s="171">
        <f>VLOOKUP(D891,Base!D:E,2,0)</f>
        <v/>
      </c>
    </row>
    <row customHeight="1" ht="15" r="892" s="183" spans="1:15">
      <c r="A892" s="37">
        <f>E892</f>
        <v/>
      </c>
      <c r="B892" s="117" t="s">
        <v>162</v>
      </c>
      <c r="C892" s="117" t="s">
        <v>105</v>
      </c>
      <c r="D892" s="117" t="s">
        <v>126</v>
      </c>
      <c r="E892" s="200" t="n">
        <v>2000359120952</v>
      </c>
      <c r="F892" s="117" t="s">
        <v>163</v>
      </c>
      <c r="G892" s="117" t="n">
        <v>3990</v>
      </c>
      <c r="H892" s="117" t="n">
        <v>5</v>
      </c>
      <c r="I892" s="393" t="n">
        <v>43385.59930555556</v>
      </c>
      <c r="J892" s="3" t="s">
        <v>40</v>
      </c>
      <c r="K892" s="171">
        <f>VLOOKUP(D892,Base!D:E,2,0)</f>
        <v/>
      </c>
    </row>
    <row customHeight="1" ht="15" r="893" s="183" spans="1:15">
      <c r="A893" s="37">
        <f>E893</f>
        <v/>
      </c>
      <c r="B893" s="117" t="s">
        <v>162</v>
      </c>
      <c r="C893" s="117" t="s">
        <v>105</v>
      </c>
      <c r="D893" s="117" t="s">
        <v>127</v>
      </c>
      <c r="E893" s="200" t="n">
        <v>2000359120952</v>
      </c>
      <c r="F893" s="117" t="s">
        <v>163</v>
      </c>
      <c r="G893" s="117" t="n">
        <v>5350</v>
      </c>
      <c r="H893" s="117" t="n">
        <v>6</v>
      </c>
      <c r="I893" s="393" t="n">
        <v>43385.59930555556</v>
      </c>
      <c r="J893" s="3" t="s">
        <v>40</v>
      </c>
      <c r="K893" s="171">
        <f>VLOOKUP(D893,Base!D:E,2,0)</f>
        <v/>
      </c>
    </row>
    <row customHeight="1" ht="15" r="894" s="183" spans="1:15">
      <c r="A894" s="37">
        <f>E894</f>
        <v/>
      </c>
      <c r="B894" s="117" t="s">
        <v>162</v>
      </c>
      <c r="C894" s="117" t="s">
        <v>105</v>
      </c>
      <c r="D894" s="117" t="s">
        <v>128</v>
      </c>
      <c r="E894" s="200" t="n">
        <v>2000359120952</v>
      </c>
      <c r="F894" s="117" t="s">
        <v>163</v>
      </c>
      <c r="G894" s="117" t="n">
        <v>3990</v>
      </c>
      <c r="H894" s="117" t="n">
        <v>4</v>
      </c>
      <c r="I894" s="393" t="n">
        <v>43385.59930555556</v>
      </c>
      <c r="J894" s="3" t="s">
        <v>40</v>
      </c>
      <c r="K894" s="171">
        <f>VLOOKUP(D894,Base!D:E,2,0)</f>
        <v/>
      </c>
    </row>
    <row customHeight="1" ht="15" r="895" s="183" spans="1:15">
      <c r="A895" s="37">
        <f>E895</f>
        <v/>
      </c>
      <c r="B895" s="117" t="s">
        <v>162</v>
      </c>
      <c r="C895" s="117" t="s">
        <v>105</v>
      </c>
      <c r="D895" s="117" t="s">
        <v>129</v>
      </c>
      <c r="E895" s="200" t="n">
        <v>2000359120952</v>
      </c>
      <c r="F895" s="117" t="s">
        <v>163</v>
      </c>
      <c r="G895" s="117" t="n">
        <v>5350</v>
      </c>
      <c r="H895" s="117" t="n">
        <v>6</v>
      </c>
      <c r="I895" s="393" t="n">
        <v>43385.59930555556</v>
      </c>
      <c r="J895" s="3" t="s">
        <v>40</v>
      </c>
      <c r="K895" s="171">
        <f>VLOOKUP(D895,Base!D:E,2,0)</f>
        <v/>
      </c>
    </row>
    <row customHeight="1" ht="15" r="896" s="183" spans="1:15">
      <c r="A896" s="37">
        <f>E896</f>
        <v/>
      </c>
      <c r="B896" s="117" t="s">
        <v>162</v>
      </c>
      <c r="C896" s="117" t="s">
        <v>105</v>
      </c>
      <c r="D896" s="117" t="s">
        <v>130</v>
      </c>
      <c r="E896" s="200" t="n">
        <v>2000359120952</v>
      </c>
      <c r="F896" s="117" t="s">
        <v>163</v>
      </c>
      <c r="G896" s="117" t="n">
        <v>4990</v>
      </c>
      <c r="H896" s="117" t="n">
        <v>6</v>
      </c>
      <c r="I896" s="393" t="n">
        <v>43385.59930555556</v>
      </c>
      <c r="J896" s="3" t="s">
        <v>40</v>
      </c>
      <c r="K896" s="171">
        <f>VLOOKUP(D896,Base!D:E,2,0)</f>
        <v/>
      </c>
    </row>
    <row customHeight="1" ht="15" r="897" s="183" spans="1:15">
      <c r="A897" s="37">
        <f>E897</f>
        <v/>
      </c>
      <c r="B897" s="117" t="s">
        <v>162</v>
      </c>
      <c r="C897" s="117" t="s">
        <v>105</v>
      </c>
      <c r="D897" s="117" t="s">
        <v>131</v>
      </c>
      <c r="E897" s="200" t="n">
        <v>2000359120952</v>
      </c>
      <c r="F897" s="117" t="s">
        <v>163</v>
      </c>
      <c r="G897" s="117" t="n">
        <v>4490</v>
      </c>
      <c r="H897" s="117" t="n">
        <v>4</v>
      </c>
      <c r="I897" s="393" t="n">
        <v>43385.59930555556</v>
      </c>
      <c r="J897" s="3" t="s">
        <v>40</v>
      </c>
      <c r="K897" s="171">
        <f>VLOOKUP(D897,Base!D:E,2,0)</f>
        <v/>
      </c>
    </row>
    <row customHeight="1" ht="15" r="898" s="183" spans="1:15">
      <c r="A898" s="37">
        <f>E898</f>
        <v/>
      </c>
      <c r="B898" s="117" t="s">
        <v>162</v>
      </c>
      <c r="C898" s="117" t="s">
        <v>105</v>
      </c>
      <c r="D898" s="117" t="s">
        <v>132</v>
      </c>
      <c r="E898" s="200" t="n">
        <v>2000359120952</v>
      </c>
      <c r="F898" s="117" t="s">
        <v>163</v>
      </c>
      <c r="G898" s="117" t="n">
        <v>5350</v>
      </c>
      <c r="H898" s="117" t="n">
        <v>6</v>
      </c>
      <c r="I898" s="393" t="n">
        <v>43385.59930555556</v>
      </c>
      <c r="J898" s="3" t="s">
        <v>40</v>
      </c>
      <c r="K898" s="171">
        <f>VLOOKUP(D898,Base!D:E,2,0)</f>
        <v/>
      </c>
    </row>
    <row customHeight="1" ht="15" r="899" s="183" spans="1:15">
      <c r="A899" s="37">
        <f>E899</f>
        <v/>
      </c>
      <c r="B899" s="117" t="s">
        <v>162</v>
      </c>
      <c r="C899" s="117" t="s">
        <v>105</v>
      </c>
      <c r="D899" s="117" t="s">
        <v>133</v>
      </c>
      <c r="E899" s="200" t="n">
        <v>2000359120952</v>
      </c>
      <c r="F899" s="117" t="s">
        <v>163</v>
      </c>
      <c r="G899" s="117" t="n">
        <v>3990</v>
      </c>
      <c r="H899" s="117" t="n">
        <v>4</v>
      </c>
      <c r="I899" s="393" t="n">
        <v>43385.59930555556</v>
      </c>
      <c r="J899" s="3" t="s">
        <v>40</v>
      </c>
      <c r="K899" s="171">
        <f>VLOOKUP(D899,Base!D:E,2,0)</f>
        <v/>
      </c>
    </row>
    <row customHeight="1" ht="15" r="900" s="183" spans="1:15">
      <c r="A900" s="37">
        <f>E900</f>
        <v/>
      </c>
      <c r="B900" s="117" t="s">
        <v>162</v>
      </c>
      <c r="C900" s="117" t="s">
        <v>105</v>
      </c>
      <c r="D900" s="117" t="s">
        <v>134</v>
      </c>
      <c r="E900" s="200" t="n">
        <v>2000359120952</v>
      </c>
      <c r="F900" s="117" t="s">
        <v>163</v>
      </c>
      <c r="G900" s="117" t="n">
        <v>3990</v>
      </c>
      <c r="H900" s="117" t="n">
        <v>5</v>
      </c>
      <c r="I900" s="393" t="n">
        <v>43385.59861111111</v>
      </c>
      <c r="J900" s="3" t="s">
        <v>40</v>
      </c>
      <c r="K900" s="171">
        <f>VLOOKUP(D900,Base!D:E,2,0)</f>
        <v/>
      </c>
    </row>
    <row customHeight="1" ht="15" r="901" s="183" spans="1:15">
      <c r="A901" s="37">
        <f>E901</f>
        <v/>
      </c>
      <c r="B901" s="117" t="s">
        <v>162</v>
      </c>
      <c r="C901" s="117" t="s">
        <v>105</v>
      </c>
      <c r="D901" s="117" t="s">
        <v>135</v>
      </c>
      <c r="E901" s="200" t="n">
        <v>2000359120952</v>
      </c>
      <c r="F901" s="117" t="s">
        <v>163</v>
      </c>
      <c r="G901" s="117" t="n">
        <v>3990</v>
      </c>
      <c r="H901" s="117" t="n">
        <v>5</v>
      </c>
      <c r="I901" s="393" t="n">
        <v>43385.59861111111</v>
      </c>
      <c r="J901" s="3" t="s">
        <v>40</v>
      </c>
      <c r="K901" s="171">
        <f>VLOOKUP(D901,Base!D:E,2,0)</f>
        <v/>
      </c>
    </row>
    <row customHeight="1" ht="15" r="902" s="183" spans="1:15">
      <c r="A902" s="37">
        <f>E902</f>
        <v/>
      </c>
      <c r="B902" s="117" t="s">
        <v>162</v>
      </c>
      <c r="C902" s="117" t="s">
        <v>105</v>
      </c>
      <c r="D902" s="117" t="s">
        <v>136</v>
      </c>
      <c r="E902" s="200" t="n">
        <v>2000359120952</v>
      </c>
      <c r="F902" s="117" t="s">
        <v>163</v>
      </c>
      <c r="G902" s="117" t="n">
        <v>3990</v>
      </c>
      <c r="H902" s="117" t="n">
        <v>5</v>
      </c>
      <c r="I902" s="393" t="n">
        <v>43385.59930555556</v>
      </c>
      <c r="J902" s="3" t="s">
        <v>40</v>
      </c>
      <c r="K902" s="171">
        <f>VLOOKUP(D902,Base!D:E,2,0)</f>
        <v/>
      </c>
    </row>
    <row customHeight="1" ht="15" r="903" s="183" spans="1:15">
      <c r="A903" s="37">
        <f>E903</f>
        <v/>
      </c>
      <c r="B903" s="117" t="s">
        <v>162</v>
      </c>
      <c r="C903" s="117" t="s">
        <v>105</v>
      </c>
      <c r="D903" s="117" t="s">
        <v>137</v>
      </c>
      <c r="E903" s="200" t="n">
        <v>2000359120952</v>
      </c>
      <c r="F903" s="117" t="s">
        <v>163</v>
      </c>
      <c r="G903" s="117" t="n">
        <v>3990</v>
      </c>
      <c r="H903" s="117" t="n">
        <v>5</v>
      </c>
      <c r="I903" s="393" t="n">
        <v>43385.59930555556</v>
      </c>
      <c r="J903" s="3" t="s">
        <v>40</v>
      </c>
      <c r="K903" s="171">
        <f>VLOOKUP(D903,Base!D:E,2,0)</f>
        <v/>
      </c>
    </row>
    <row customHeight="1" ht="15" r="904" s="183" spans="1:15">
      <c r="A904" s="37">
        <f>E904</f>
        <v/>
      </c>
      <c r="B904" s="117" t="s">
        <v>162</v>
      </c>
      <c r="C904" s="117" t="s">
        <v>105</v>
      </c>
      <c r="D904" s="117" t="s">
        <v>138</v>
      </c>
      <c r="E904" s="200" t="n">
        <v>2000359120952</v>
      </c>
      <c r="F904" s="117" t="s">
        <v>163</v>
      </c>
      <c r="G904" s="117" t="n">
        <v>3990</v>
      </c>
      <c r="H904" s="117" t="n">
        <v>5</v>
      </c>
      <c r="I904" s="393" t="n">
        <v>43385.59930555556</v>
      </c>
      <c r="J904" s="3" t="s">
        <v>40</v>
      </c>
      <c r="K904" s="171">
        <f>VLOOKUP(D904,Base!D:E,2,0)</f>
        <v/>
      </c>
    </row>
    <row customHeight="1" ht="15" r="905" s="183" spans="1:15">
      <c r="A905" s="37">
        <f>E905</f>
        <v/>
      </c>
      <c r="B905" s="117" t="s">
        <v>162</v>
      </c>
      <c r="C905" s="117" t="s">
        <v>105</v>
      </c>
      <c r="D905" s="117" t="s">
        <v>139</v>
      </c>
      <c r="E905" s="200" t="n">
        <v>2000359120952</v>
      </c>
      <c r="F905" s="117" t="s">
        <v>163</v>
      </c>
      <c r="G905" s="117" t="n">
        <v>3990</v>
      </c>
      <c r="H905" s="117" t="n">
        <v>5</v>
      </c>
      <c r="I905" s="393" t="n">
        <v>43385.59930555556</v>
      </c>
      <c r="J905" s="3" t="s">
        <v>40</v>
      </c>
      <c r="K905" s="171">
        <f>VLOOKUP(D905,Base!D:E,2,0)</f>
        <v/>
      </c>
    </row>
    <row customHeight="1" ht="15" r="906" s="183" spans="1:15">
      <c r="A906" s="37">
        <f>E906</f>
        <v/>
      </c>
      <c r="B906" s="117" t="s">
        <v>162</v>
      </c>
      <c r="C906" s="117" t="s">
        <v>105</v>
      </c>
      <c r="D906" s="117" t="s">
        <v>140</v>
      </c>
      <c r="E906" s="200" t="n">
        <v>2000359120952</v>
      </c>
      <c r="F906" s="117" t="s">
        <v>163</v>
      </c>
      <c r="G906" s="117" t="n">
        <v>3990</v>
      </c>
      <c r="H906" s="117" t="n">
        <v>4</v>
      </c>
      <c r="I906" s="393" t="n">
        <v>43385.59930555556</v>
      </c>
      <c r="J906" s="3" t="s">
        <v>40</v>
      </c>
      <c r="K906" s="171">
        <f>VLOOKUP(D906,Base!D:E,2,0)</f>
        <v/>
      </c>
    </row>
    <row customHeight="1" ht="15" r="907" s="183" spans="1:15">
      <c r="A907" s="37">
        <f>E907</f>
        <v/>
      </c>
      <c r="B907" s="117" t="s">
        <v>162</v>
      </c>
      <c r="C907" s="117" t="s">
        <v>105</v>
      </c>
      <c r="D907" s="117" t="s">
        <v>141</v>
      </c>
      <c r="E907" s="200" t="n">
        <v>2000359120952</v>
      </c>
      <c r="F907" s="117" t="s">
        <v>163</v>
      </c>
      <c r="G907" s="117" t="n">
        <v>3990</v>
      </c>
      <c r="H907" s="117" t="n">
        <v>5</v>
      </c>
      <c r="I907" s="393" t="n">
        <v>43385.59930555556</v>
      </c>
      <c r="J907" s="3" t="s">
        <v>40</v>
      </c>
      <c r="K907" s="171">
        <f>VLOOKUP(D907,Base!D:E,2,0)</f>
        <v/>
      </c>
    </row>
    <row customHeight="1" ht="15" r="908" s="183" spans="1:15">
      <c r="A908" s="37">
        <f>E908</f>
        <v/>
      </c>
      <c r="B908" s="117" t="s">
        <v>162</v>
      </c>
      <c r="C908" s="117" t="s">
        <v>105</v>
      </c>
      <c r="D908" s="117" t="s">
        <v>142</v>
      </c>
      <c r="E908" s="200" t="n">
        <v>2000359120952</v>
      </c>
      <c r="F908" s="117" t="s">
        <v>163</v>
      </c>
      <c r="G908" s="117" t="n">
        <v>4490</v>
      </c>
      <c r="H908" s="117" t="n">
        <v>4</v>
      </c>
      <c r="I908" s="393" t="n">
        <v>43385.59930555556</v>
      </c>
      <c r="J908" s="3" t="s">
        <v>40</v>
      </c>
      <c r="K908" s="171">
        <f>VLOOKUP(D908,Base!D:E,2,0)</f>
        <v/>
      </c>
    </row>
    <row customHeight="1" ht="15" r="909" s="183" spans="1:15">
      <c r="A909" s="37">
        <f>E909</f>
        <v/>
      </c>
      <c r="B909" s="117" t="s">
        <v>162</v>
      </c>
      <c r="C909" s="117" t="s">
        <v>105</v>
      </c>
      <c r="D909" s="117" t="s">
        <v>143</v>
      </c>
      <c r="E909" s="200" t="n">
        <v>2000359120952</v>
      </c>
      <c r="F909" s="117" t="s">
        <v>163</v>
      </c>
      <c r="G909" s="117" t="n">
        <v>4490</v>
      </c>
      <c r="H909" s="117" t="n">
        <v>4</v>
      </c>
      <c r="I909" s="393" t="n">
        <v>43385.59861111111</v>
      </c>
      <c r="J909" s="3" t="s">
        <v>40</v>
      </c>
      <c r="K909" s="171">
        <f>VLOOKUP(D909,Base!D:E,2,0)</f>
        <v/>
      </c>
    </row>
    <row customHeight="1" ht="15" r="910" s="183" spans="1:15">
      <c r="A910" s="37">
        <f>E910</f>
        <v/>
      </c>
      <c r="B910" s="117" t="s">
        <v>162</v>
      </c>
      <c r="C910" s="117" t="s">
        <v>105</v>
      </c>
      <c r="D910" s="117" t="s">
        <v>144</v>
      </c>
      <c r="E910" s="200" t="n">
        <v>2000359120952</v>
      </c>
      <c r="F910" s="117" t="s">
        <v>163</v>
      </c>
      <c r="G910" s="117" t="n">
        <v>4490</v>
      </c>
      <c r="H910" s="117" t="n">
        <v>5</v>
      </c>
      <c r="I910" s="393" t="n">
        <v>43385.59930555556</v>
      </c>
      <c r="J910" s="3" t="s">
        <v>40</v>
      </c>
      <c r="K910" s="171">
        <f>VLOOKUP(D910,Base!D:E,2,0)</f>
        <v/>
      </c>
    </row>
    <row customHeight="1" ht="15" r="911" s="183" spans="1:15">
      <c r="A911" s="37">
        <f>E911</f>
        <v/>
      </c>
      <c r="B911" s="117" t="s">
        <v>162</v>
      </c>
      <c r="C911" s="117" t="s">
        <v>105</v>
      </c>
      <c r="D911" s="117" t="s">
        <v>145</v>
      </c>
      <c r="E911" s="200" t="n">
        <v>2000359120952</v>
      </c>
      <c r="F911" s="117" t="s">
        <v>163</v>
      </c>
      <c r="G911" s="117" t="n">
        <v>3990</v>
      </c>
      <c r="H911" s="117" t="n">
        <v>5</v>
      </c>
      <c r="I911" s="393" t="n">
        <v>43385.59930555556</v>
      </c>
      <c r="J911" s="3" t="s">
        <v>40</v>
      </c>
      <c r="K911" s="171">
        <f>VLOOKUP(D911,Base!D:E,2,0)</f>
        <v/>
      </c>
    </row>
    <row customHeight="1" ht="15" r="912" s="183" spans="1:15">
      <c r="A912" s="37">
        <f>E912</f>
        <v/>
      </c>
      <c r="B912" s="117" t="s">
        <v>162</v>
      </c>
      <c r="C912" s="117" t="s">
        <v>105</v>
      </c>
      <c r="D912" s="117" t="s">
        <v>146</v>
      </c>
      <c r="E912" s="200" t="n">
        <v>2000359120952</v>
      </c>
      <c r="F912" s="117" t="s">
        <v>163</v>
      </c>
      <c r="G912" s="117" t="n">
        <v>5350</v>
      </c>
      <c r="H912" s="117" t="n">
        <v>6</v>
      </c>
      <c r="I912" s="393" t="n">
        <v>43385.59930555556</v>
      </c>
      <c r="J912" s="3" t="s">
        <v>40</v>
      </c>
      <c r="K912" s="171">
        <f>VLOOKUP(D912,Base!D:E,2,0)</f>
        <v/>
      </c>
    </row>
    <row customHeight="1" ht="15" r="913" s="183" spans="1:15">
      <c r="A913" s="37">
        <f>E913</f>
        <v/>
      </c>
      <c r="B913" s="117" t="s">
        <v>162</v>
      </c>
      <c r="C913" s="117" t="s">
        <v>105</v>
      </c>
      <c r="D913" s="117" t="s">
        <v>147</v>
      </c>
      <c r="E913" s="200" t="n">
        <v>2000359120952</v>
      </c>
      <c r="F913" s="117" t="s">
        <v>163</v>
      </c>
      <c r="G913" s="117" t="n">
        <v>3990</v>
      </c>
      <c r="H913" s="117" t="n">
        <v>4</v>
      </c>
      <c r="I913" s="393" t="n">
        <v>43385.59930555556</v>
      </c>
      <c r="J913" s="3" t="s">
        <v>40</v>
      </c>
      <c r="K913" s="171">
        <f>VLOOKUP(D913,Base!D:E,2,0)</f>
        <v/>
      </c>
    </row>
    <row customHeight="1" ht="15" r="914" s="183" spans="1:15">
      <c r="A914" s="37">
        <f>E914</f>
        <v/>
      </c>
      <c r="B914" s="117" t="s">
        <v>162</v>
      </c>
      <c r="C914" s="117" t="s">
        <v>36</v>
      </c>
      <c r="D914" s="117" t="s">
        <v>37</v>
      </c>
      <c r="E914" s="117" t="s">
        <v>164</v>
      </c>
      <c r="F914" s="117" t="s">
        <v>165</v>
      </c>
      <c r="G914" s="117" t="n">
        <v>9490</v>
      </c>
      <c r="H914" s="117" t="n">
        <v>10</v>
      </c>
      <c r="I914" s="393" t="n">
        <v>43385.59861111111</v>
      </c>
      <c r="J914" s="3" t="s">
        <v>152</v>
      </c>
      <c r="K914" s="171">
        <f>VLOOKUP(D914,Base!D:E,2,0)</f>
        <v/>
      </c>
    </row>
    <row customHeight="1" ht="15" r="915" s="183" spans="1:15">
      <c r="A915" s="37">
        <f>E915</f>
        <v/>
      </c>
      <c r="B915" s="117" t="s">
        <v>162</v>
      </c>
      <c r="C915" s="117" t="s">
        <v>36</v>
      </c>
      <c r="D915" s="117" t="s">
        <v>42</v>
      </c>
      <c r="E915" s="117" t="s">
        <v>164</v>
      </c>
      <c r="F915" s="117" t="s">
        <v>165</v>
      </c>
      <c r="G915" s="117" t="n">
        <v>9990</v>
      </c>
      <c r="H915" s="117" t="n">
        <v>10</v>
      </c>
      <c r="I915" s="393" t="n">
        <v>43385.59861111111</v>
      </c>
      <c r="J915" s="3" t="s">
        <v>152</v>
      </c>
      <c r="K915" s="171">
        <f>VLOOKUP(D915,Base!D:E,2,0)</f>
        <v/>
      </c>
    </row>
    <row customHeight="1" ht="15" r="916" s="183" spans="1:15">
      <c r="A916" s="37">
        <f>E916</f>
        <v/>
      </c>
      <c r="B916" s="117" t="s">
        <v>162</v>
      </c>
      <c r="C916" s="117" t="s">
        <v>44</v>
      </c>
      <c r="D916" s="117" t="s">
        <v>45</v>
      </c>
      <c r="E916" s="117" t="s">
        <v>164</v>
      </c>
      <c r="F916" s="124" t="s">
        <v>165</v>
      </c>
      <c r="G916" s="117" t="n">
        <v>10990</v>
      </c>
      <c r="H916" s="117" t="n">
        <v>13</v>
      </c>
      <c r="I916" s="393" t="n">
        <v>43385.59930555556</v>
      </c>
      <c r="J916" s="3" t="s">
        <v>152</v>
      </c>
      <c r="K916" s="171">
        <f>VLOOKUP(D916,Base!D:E,2,0)</f>
        <v/>
      </c>
    </row>
    <row customHeight="1" ht="15" r="917" s="183" spans="1:15">
      <c r="A917" s="37">
        <f>E917</f>
        <v/>
      </c>
      <c r="B917" s="117" t="s">
        <v>162</v>
      </c>
      <c r="C917" s="117" t="s">
        <v>46</v>
      </c>
      <c r="D917" s="117" t="s">
        <v>47</v>
      </c>
      <c r="E917" s="124" t="s">
        <v>164</v>
      </c>
      <c r="F917" s="124" t="s">
        <v>165</v>
      </c>
      <c r="G917" s="117" t="n">
        <v>8990</v>
      </c>
      <c r="H917" s="117" t="n">
        <v>7</v>
      </c>
      <c r="I917" s="393" t="n">
        <v>43385.59861111111</v>
      </c>
      <c r="J917" s="3" t="s">
        <v>152</v>
      </c>
      <c r="K917" s="171">
        <f>VLOOKUP(D917,Base!D:E,2,0)</f>
        <v/>
      </c>
    </row>
    <row customHeight="1" ht="15" r="918" s="183" spans="1:15">
      <c r="A918" s="37">
        <f>E918</f>
        <v/>
      </c>
      <c r="B918" s="117" t="s">
        <v>162</v>
      </c>
      <c r="C918" s="117" t="s">
        <v>46</v>
      </c>
      <c r="D918" s="117" t="s">
        <v>48</v>
      </c>
      <c r="E918" s="124" t="s">
        <v>164</v>
      </c>
      <c r="F918" s="124" t="s">
        <v>165</v>
      </c>
      <c r="G918" s="117" t="n">
        <v>5990</v>
      </c>
      <c r="H918" s="117" t="n">
        <v>7</v>
      </c>
      <c r="I918" s="393" t="n">
        <v>43385.59930555556</v>
      </c>
      <c r="J918" s="3" t="s">
        <v>152</v>
      </c>
      <c r="K918" s="171">
        <f>VLOOKUP(D918,Base!D:E,2,0)</f>
        <v/>
      </c>
    </row>
    <row customHeight="1" ht="15" r="919" s="183" spans="1:15">
      <c r="A919" s="37">
        <f>E919</f>
        <v/>
      </c>
      <c r="B919" s="117" t="s">
        <v>162</v>
      </c>
      <c r="C919" s="117" t="s">
        <v>49</v>
      </c>
      <c r="D919" s="117" t="s">
        <v>50</v>
      </c>
      <c r="E919" s="124" t="s">
        <v>164</v>
      </c>
      <c r="F919" s="124" t="s">
        <v>165</v>
      </c>
      <c r="G919" s="117" t="n">
        <v>14550</v>
      </c>
      <c r="H919" s="117" t="n">
        <v>27</v>
      </c>
      <c r="I919" s="393" t="n">
        <v>43385.59930555556</v>
      </c>
      <c r="J919" s="3" t="s">
        <v>152</v>
      </c>
      <c r="K919" s="171">
        <f>VLOOKUP(D919,Base!D:E,2,0)</f>
        <v/>
      </c>
    </row>
    <row customHeight="1" ht="15" r="920" s="183" spans="1:15">
      <c r="A920" s="37">
        <f>E920</f>
        <v/>
      </c>
      <c r="B920" s="117" t="s">
        <v>162</v>
      </c>
      <c r="C920" s="117" t="s">
        <v>51</v>
      </c>
      <c r="D920" s="117" t="s">
        <v>52</v>
      </c>
      <c r="E920" s="124" t="s">
        <v>164</v>
      </c>
      <c r="F920" s="124" t="s">
        <v>165</v>
      </c>
      <c r="G920" s="117" t="n">
        <v>7500</v>
      </c>
      <c r="H920" s="117" t="n">
        <v>7</v>
      </c>
      <c r="I920" s="393" t="n">
        <v>43385.59930555556</v>
      </c>
      <c r="J920" s="3" t="s">
        <v>152</v>
      </c>
      <c r="K920" s="171">
        <f>VLOOKUP(D920,Base!D:E,2,0)</f>
        <v/>
      </c>
    </row>
    <row customHeight="1" ht="15" r="921" s="183" spans="1:15">
      <c r="A921" s="37">
        <f>E921</f>
        <v/>
      </c>
      <c r="B921" s="117" t="s">
        <v>162</v>
      </c>
      <c r="C921" s="117" t="s">
        <v>51</v>
      </c>
      <c r="D921" s="117" t="s">
        <v>53</v>
      </c>
      <c r="E921" s="124" t="s">
        <v>164</v>
      </c>
      <c r="F921" s="124" t="s">
        <v>165</v>
      </c>
      <c r="G921" s="117" t="n">
        <v>9000</v>
      </c>
      <c r="H921" s="117" t="n">
        <v>7</v>
      </c>
      <c r="I921" s="393" t="n">
        <v>43385.59930555556</v>
      </c>
      <c r="J921" s="3" t="s">
        <v>152</v>
      </c>
      <c r="K921" s="171">
        <f>VLOOKUP(D921,Base!D:E,2,0)</f>
        <v/>
      </c>
    </row>
    <row customHeight="1" ht="15" r="922" s="183" spans="1:15">
      <c r="A922" s="37">
        <f>E922</f>
        <v/>
      </c>
      <c r="B922" s="117" t="s">
        <v>162</v>
      </c>
      <c r="C922" s="117" t="s">
        <v>51</v>
      </c>
      <c r="D922" s="117" t="s">
        <v>54</v>
      </c>
      <c r="E922" s="124" t="s">
        <v>164</v>
      </c>
      <c r="F922" s="124" t="s">
        <v>165</v>
      </c>
      <c r="G922" s="117" t="n">
        <v>7500</v>
      </c>
      <c r="H922" s="117" t="n">
        <v>7</v>
      </c>
      <c r="I922" s="393" t="n">
        <v>43385.59930555556</v>
      </c>
      <c r="J922" s="3" t="s">
        <v>152</v>
      </c>
      <c r="K922" s="171">
        <f>VLOOKUP(D922,Base!D:E,2,0)</f>
        <v/>
      </c>
    </row>
    <row customHeight="1" ht="15" r="923" s="183" spans="1:15">
      <c r="A923" s="37">
        <f>E923</f>
        <v/>
      </c>
      <c r="B923" s="117" t="s">
        <v>162</v>
      </c>
      <c r="C923" s="117" t="s">
        <v>51</v>
      </c>
      <c r="D923" s="117" t="s">
        <v>55</v>
      </c>
      <c r="E923" s="124" t="s">
        <v>164</v>
      </c>
      <c r="F923" s="124" t="s">
        <v>165</v>
      </c>
      <c r="G923" s="117" t="n">
        <v>9000</v>
      </c>
      <c r="H923" s="117" t="n">
        <v>7</v>
      </c>
      <c r="I923" s="393" t="n">
        <v>43385.59930555556</v>
      </c>
      <c r="J923" s="3" t="s">
        <v>152</v>
      </c>
      <c r="K923" s="171">
        <f>VLOOKUP(D923,Base!D:E,2,0)</f>
        <v/>
      </c>
    </row>
    <row customHeight="1" ht="15" r="924" s="183" spans="1:15">
      <c r="A924" s="37">
        <f>E924</f>
        <v/>
      </c>
      <c r="B924" s="117" t="s">
        <v>162</v>
      </c>
      <c r="C924" s="117" t="s">
        <v>51</v>
      </c>
      <c r="D924" s="117" t="s">
        <v>56</v>
      </c>
      <c r="E924" s="124" t="s">
        <v>164</v>
      </c>
      <c r="F924" s="124" t="s">
        <v>165</v>
      </c>
      <c r="G924" s="117" t="n">
        <v>9000</v>
      </c>
      <c r="H924" s="117" t="n">
        <v>7</v>
      </c>
      <c r="I924" s="394" t="n">
        <v>43385.59930555556</v>
      </c>
      <c r="J924" s="3" t="s">
        <v>152</v>
      </c>
      <c r="K924" s="171">
        <f>VLOOKUP(D924,Base!D:E,2,0)</f>
        <v/>
      </c>
    </row>
    <row customHeight="1" ht="15" r="925" s="183" spans="1:15">
      <c r="A925" s="37">
        <f>E925</f>
        <v/>
      </c>
      <c r="B925" s="117" t="s">
        <v>162</v>
      </c>
      <c r="C925" s="117" t="s">
        <v>51</v>
      </c>
      <c r="D925" s="117" t="s">
        <v>57</v>
      </c>
      <c r="E925" s="124" t="s">
        <v>164</v>
      </c>
      <c r="F925" s="124" t="s">
        <v>165</v>
      </c>
      <c r="G925" s="117" t="n">
        <v>9000</v>
      </c>
      <c r="H925" s="117" t="n">
        <v>7</v>
      </c>
      <c r="I925" s="393" t="n">
        <v>43385.59930555556</v>
      </c>
      <c r="J925" s="3" t="s">
        <v>152</v>
      </c>
      <c r="K925" s="171">
        <f>VLOOKUP(D925,Base!D:E,2,0)</f>
        <v/>
      </c>
    </row>
    <row customHeight="1" ht="15" r="926" s="183" spans="1:15">
      <c r="A926" s="37">
        <f>E926</f>
        <v/>
      </c>
      <c r="B926" s="117" t="s">
        <v>162</v>
      </c>
      <c r="C926" s="117" t="s">
        <v>58</v>
      </c>
      <c r="D926" s="117" t="s">
        <v>59</v>
      </c>
      <c r="E926" s="124" t="s">
        <v>164</v>
      </c>
      <c r="F926" s="124" t="s">
        <v>165</v>
      </c>
      <c r="G926" s="117" t="n">
        <v>7990</v>
      </c>
      <c r="H926" s="117" t="n">
        <v>19</v>
      </c>
      <c r="I926" s="393" t="n">
        <v>43385.59930555556</v>
      </c>
      <c r="J926" s="3" t="s">
        <v>152</v>
      </c>
      <c r="K926" s="171">
        <f>VLOOKUP(D926,Base!D:E,2,0)</f>
        <v/>
      </c>
    </row>
    <row customHeight="1" ht="15" r="927" s="183" spans="1:15">
      <c r="A927" s="37">
        <f>E927</f>
        <v/>
      </c>
      <c r="B927" s="117" t="s">
        <v>162</v>
      </c>
      <c r="C927" s="117" t="s">
        <v>58</v>
      </c>
      <c r="D927" s="117" t="s">
        <v>60</v>
      </c>
      <c r="E927" s="124" t="s">
        <v>164</v>
      </c>
      <c r="F927" s="124" t="s">
        <v>165</v>
      </c>
      <c r="G927" s="117" t="n">
        <v>8550</v>
      </c>
      <c r="H927" s="117" t="n">
        <v>19</v>
      </c>
      <c r="I927" s="393" t="n">
        <v>43385.59930555556</v>
      </c>
      <c r="J927" s="3" t="s">
        <v>152</v>
      </c>
      <c r="K927" s="171">
        <f>VLOOKUP(D927,Base!D:E,2,0)</f>
        <v/>
      </c>
    </row>
    <row customHeight="1" ht="15" r="928" s="183" spans="1:15">
      <c r="A928" s="37">
        <f>E928</f>
        <v/>
      </c>
      <c r="B928" s="117" t="s">
        <v>162</v>
      </c>
      <c r="C928" s="117" t="s">
        <v>58</v>
      </c>
      <c r="D928" s="117" t="s">
        <v>61</v>
      </c>
      <c r="E928" s="124" t="s">
        <v>164</v>
      </c>
      <c r="F928" s="124" t="s">
        <v>165</v>
      </c>
      <c r="G928" s="117" t="n">
        <v>6990</v>
      </c>
      <c r="H928" s="117" t="n">
        <v>19</v>
      </c>
      <c r="I928" s="393" t="n">
        <v>43385.59861111111</v>
      </c>
      <c r="J928" s="3" t="s">
        <v>152</v>
      </c>
      <c r="K928" s="171">
        <f>VLOOKUP(D928,Base!D:E,2,0)</f>
        <v/>
      </c>
    </row>
    <row customHeight="1" ht="15" r="929" s="183" spans="1:15">
      <c r="A929" s="37">
        <f>E929</f>
        <v/>
      </c>
      <c r="B929" s="117" t="s">
        <v>162</v>
      </c>
      <c r="C929" s="117" t="s">
        <v>58</v>
      </c>
      <c r="D929" s="117" t="s">
        <v>62</v>
      </c>
      <c r="E929" s="124" t="s">
        <v>164</v>
      </c>
      <c r="F929" s="124" t="s">
        <v>165</v>
      </c>
      <c r="G929" s="117" t="n">
        <v>7990</v>
      </c>
      <c r="H929" s="117" t="n">
        <v>19</v>
      </c>
      <c r="I929" s="393" t="n">
        <v>43385.59930555556</v>
      </c>
      <c r="J929" s="3" t="s">
        <v>152</v>
      </c>
      <c r="K929" s="171">
        <f>VLOOKUP(D929,Base!D:E,2,0)</f>
        <v/>
      </c>
    </row>
    <row customHeight="1" ht="15" r="930" s="183" spans="1:15">
      <c r="A930" s="37">
        <f>E930</f>
        <v/>
      </c>
      <c r="B930" s="117" t="s">
        <v>162</v>
      </c>
      <c r="C930" s="117" t="s">
        <v>63</v>
      </c>
      <c r="D930" s="117" t="s">
        <v>64</v>
      </c>
      <c r="E930" s="124" t="s">
        <v>164</v>
      </c>
      <c r="F930" s="124" t="s">
        <v>165</v>
      </c>
      <c r="G930" s="117" t="n">
        <v>7990</v>
      </c>
      <c r="H930" s="117" t="n">
        <v>7</v>
      </c>
      <c r="I930" s="393" t="n">
        <v>43385.59930555556</v>
      </c>
      <c r="J930" s="3" t="s">
        <v>152</v>
      </c>
      <c r="K930" s="171">
        <f>VLOOKUP(D930,Base!D:E,2,0)</f>
        <v/>
      </c>
    </row>
    <row customHeight="1" ht="15" r="931" s="183" spans="1:15">
      <c r="A931" s="37">
        <f>E931</f>
        <v/>
      </c>
      <c r="B931" s="117" t="s">
        <v>162</v>
      </c>
      <c r="C931" s="117" t="s">
        <v>63</v>
      </c>
      <c r="D931" s="117" t="s">
        <v>65</v>
      </c>
      <c r="E931" s="124" t="s">
        <v>164</v>
      </c>
      <c r="F931" s="124" t="s">
        <v>165</v>
      </c>
      <c r="G931" s="117" t="n">
        <v>9550</v>
      </c>
      <c r="H931" s="117" t="n">
        <v>7</v>
      </c>
      <c r="I931" s="393" t="n">
        <v>43385.59861111111</v>
      </c>
      <c r="J931" s="3" t="s">
        <v>152</v>
      </c>
      <c r="K931" s="171">
        <f>VLOOKUP(D931,Base!D:E,2,0)</f>
        <v/>
      </c>
    </row>
    <row customHeight="1" ht="15" r="932" s="183" spans="1:15">
      <c r="A932" s="37">
        <f>E932</f>
        <v/>
      </c>
      <c r="B932" s="117" t="s">
        <v>162</v>
      </c>
      <c r="C932" s="117" t="s">
        <v>63</v>
      </c>
      <c r="D932" s="117" t="s">
        <v>66</v>
      </c>
      <c r="E932" s="124" t="s">
        <v>164</v>
      </c>
      <c r="F932" s="124" t="s">
        <v>165</v>
      </c>
      <c r="G932" s="117" t="n">
        <v>8490</v>
      </c>
      <c r="H932" s="117" t="n">
        <v>7</v>
      </c>
      <c r="I932" s="393" t="n">
        <v>43385.59861111111</v>
      </c>
      <c r="J932" s="3" t="s">
        <v>152</v>
      </c>
      <c r="K932" s="171">
        <f>VLOOKUP(D932,Base!D:E,2,0)</f>
        <v/>
      </c>
    </row>
    <row customHeight="1" ht="15" r="933" s="183" spans="1:15">
      <c r="A933" s="37">
        <f>E933</f>
        <v/>
      </c>
      <c r="B933" s="117" t="s">
        <v>162</v>
      </c>
      <c r="C933" s="117" t="s">
        <v>63</v>
      </c>
      <c r="D933" s="117" t="s">
        <v>67</v>
      </c>
      <c r="E933" s="124" t="s">
        <v>164</v>
      </c>
      <c r="F933" s="124" t="s">
        <v>165</v>
      </c>
      <c r="G933" s="117" t="n">
        <v>6990</v>
      </c>
      <c r="H933" s="117" t="n">
        <v>7</v>
      </c>
      <c r="I933" s="393" t="n">
        <v>43385.59930555556</v>
      </c>
      <c r="J933" s="3" t="s">
        <v>152</v>
      </c>
      <c r="K933" s="171">
        <f>VLOOKUP(D933,Base!D:E,2,0)</f>
        <v/>
      </c>
    </row>
    <row customHeight="1" ht="15" r="934" s="183" spans="1:15">
      <c r="A934" s="37">
        <f>E934</f>
        <v/>
      </c>
      <c r="B934" s="117" t="s">
        <v>162</v>
      </c>
      <c r="C934" s="117" t="s">
        <v>68</v>
      </c>
      <c r="D934" s="117" t="s">
        <v>69</v>
      </c>
      <c r="E934" s="124" t="s">
        <v>164</v>
      </c>
      <c r="F934" s="124" t="s">
        <v>165</v>
      </c>
      <c r="G934" s="117" t="n">
        <v>7990</v>
      </c>
      <c r="H934" s="117" t="n">
        <v>6</v>
      </c>
      <c r="I934" s="393" t="n">
        <v>43385.59930555556</v>
      </c>
      <c r="J934" s="3" t="s">
        <v>152</v>
      </c>
      <c r="K934" s="171">
        <f>VLOOKUP(D934,Base!D:E,2,0)</f>
        <v/>
      </c>
    </row>
    <row customHeight="1" ht="15" r="935" s="183" spans="1:15">
      <c r="A935" s="37">
        <f>E935</f>
        <v/>
      </c>
      <c r="B935" s="117" t="s">
        <v>162</v>
      </c>
      <c r="C935" s="117" t="s">
        <v>68</v>
      </c>
      <c r="D935" s="117" t="s">
        <v>70</v>
      </c>
      <c r="E935" s="124" t="s">
        <v>164</v>
      </c>
      <c r="F935" s="124" t="s">
        <v>165</v>
      </c>
      <c r="G935" s="117" t="n">
        <v>7990</v>
      </c>
      <c r="H935" s="117" t="n">
        <v>6</v>
      </c>
      <c r="I935" s="393" t="n">
        <v>43385.59930555556</v>
      </c>
      <c r="J935" s="3" t="s">
        <v>152</v>
      </c>
      <c r="K935" s="171">
        <f>VLOOKUP(D935,Base!D:E,2,0)</f>
        <v/>
      </c>
    </row>
    <row customHeight="1" ht="15" r="936" s="183" spans="1:15">
      <c r="A936" s="37">
        <f>E936</f>
        <v/>
      </c>
      <c r="B936" s="117" t="s">
        <v>162</v>
      </c>
      <c r="C936" s="117" t="s">
        <v>71</v>
      </c>
      <c r="D936" s="117" t="s">
        <v>72</v>
      </c>
      <c r="E936" s="124" t="s">
        <v>164</v>
      </c>
      <c r="F936" s="124" t="s">
        <v>165</v>
      </c>
      <c r="G936" s="117" t="n">
        <v>9790</v>
      </c>
      <c r="H936" s="117" t="n">
        <v>26</v>
      </c>
      <c r="I936" s="393" t="n">
        <v>43385.59930555556</v>
      </c>
      <c r="J936" s="3" t="s">
        <v>152</v>
      </c>
      <c r="K936" s="171">
        <f>VLOOKUP(D936,Base!D:E,2,0)</f>
        <v/>
      </c>
    </row>
    <row customHeight="1" ht="15" r="937" s="183" spans="1:15">
      <c r="A937" s="37">
        <f>E937</f>
        <v/>
      </c>
      <c r="B937" s="117" t="s">
        <v>162</v>
      </c>
      <c r="C937" s="117" t="s">
        <v>73</v>
      </c>
      <c r="D937" s="117" t="s">
        <v>74</v>
      </c>
      <c r="E937" s="124" t="s">
        <v>164</v>
      </c>
      <c r="F937" s="124" t="s">
        <v>165</v>
      </c>
      <c r="G937" s="117" t="n">
        <v>11850</v>
      </c>
      <c r="H937" s="117" t="n">
        <v>15</v>
      </c>
      <c r="I937" s="393" t="n">
        <v>43385.59930555556</v>
      </c>
      <c r="J937" s="3" t="s">
        <v>152</v>
      </c>
      <c r="K937" s="171">
        <f>VLOOKUP(D937,Base!D:E,2,0)</f>
        <v/>
      </c>
    </row>
    <row customHeight="1" ht="15" r="938" s="183" spans="1:15">
      <c r="A938" s="37">
        <f>E938</f>
        <v/>
      </c>
      <c r="B938" s="117" t="s">
        <v>162</v>
      </c>
      <c r="C938" s="117" t="s">
        <v>75</v>
      </c>
      <c r="D938" s="117" t="s">
        <v>76</v>
      </c>
      <c r="E938" s="124" t="s">
        <v>164</v>
      </c>
      <c r="F938" s="124" t="s">
        <v>165</v>
      </c>
      <c r="G938" s="117" t="n">
        <v>4990</v>
      </c>
      <c r="H938" s="117" t="n">
        <v>10</v>
      </c>
      <c r="I938" s="393" t="n">
        <v>43385.59930555556</v>
      </c>
      <c r="J938" s="3" t="s">
        <v>152</v>
      </c>
      <c r="K938" s="171">
        <f>VLOOKUP(D938,Base!D:E,2,0)</f>
        <v/>
      </c>
    </row>
    <row customHeight="1" ht="15" r="939" s="183" spans="1:15">
      <c r="A939" s="37">
        <f>E939</f>
        <v/>
      </c>
      <c r="B939" s="117" t="s">
        <v>162</v>
      </c>
      <c r="C939" s="117" t="s">
        <v>75</v>
      </c>
      <c r="D939" s="117" t="s">
        <v>77</v>
      </c>
      <c r="E939" s="124" t="s">
        <v>164</v>
      </c>
      <c r="F939" s="124" t="s">
        <v>165</v>
      </c>
      <c r="G939" s="117" t="n">
        <v>5650</v>
      </c>
      <c r="H939" s="117" t="n">
        <v>10</v>
      </c>
      <c r="I939" s="393" t="n">
        <v>43385.59930555556</v>
      </c>
      <c r="J939" s="3" t="s">
        <v>152</v>
      </c>
      <c r="K939" s="171">
        <f>VLOOKUP(D939,Base!D:E,2,0)</f>
        <v/>
      </c>
    </row>
    <row customHeight="1" ht="15" r="940" s="183" spans="1:15">
      <c r="A940" s="37">
        <f>E940</f>
        <v/>
      </c>
      <c r="B940" s="117" t="s">
        <v>162</v>
      </c>
      <c r="C940" s="117" t="s">
        <v>75</v>
      </c>
      <c r="D940" s="117" t="s">
        <v>78</v>
      </c>
      <c r="E940" s="124" t="s">
        <v>164</v>
      </c>
      <c r="F940" s="124" t="s">
        <v>165</v>
      </c>
      <c r="G940" s="117" t="n">
        <v>6490</v>
      </c>
      <c r="H940" s="117" t="n">
        <v>11</v>
      </c>
      <c r="I940" s="393" t="n">
        <v>43385.59930555556</v>
      </c>
      <c r="J940" s="3" t="s">
        <v>152</v>
      </c>
      <c r="K940" s="171">
        <f>VLOOKUP(D940,Base!D:E,2,0)</f>
        <v/>
      </c>
    </row>
    <row customHeight="1" ht="15" r="941" s="183" spans="1:15">
      <c r="A941" s="37">
        <f>E941</f>
        <v/>
      </c>
      <c r="B941" s="117" t="s">
        <v>162</v>
      </c>
      <c r="C941" s="117" t="s">
        <v>75</v>
      </c>
      <c r="D941" s="117" t="s">
        <v>79</v>
      </c>
      <c r="E941" s="124" t="s">
        <v>164</v>
      </c>
      <c r="F941" s="124" t="s">
        <v>165</v>
      </c>
      <c r="G941" s="117" t="n">
        <v>4990</v>
      </c>
      <c r="H941" s="117" t="n">
        <v>10</v>
      </c>
      <c r="I941" s="393" t="n">
        <v>43385.59930555556</v>
      </c>
      <c r="J941" s="3" t="s">
        <v>152</v>
      </c>
      <c r="K941" s="171">
        <f>VLOOKUP(D941,Base!D:E,2,0)</f>
        <v/>
      </c>
    </row>
    <row customHeight="1" ht="15" r="942" s="183" spans="1:15">
      <c r="A942" s="37">
        <f>E942</f>
        <v/>
      </c>
      <c r="B942" s="117" t="s">
        <v>162</v>
      </c>
      <c r="C942" s="117" t="s">
        <v>75</v>
      </c>
      <c r="D942" s="117" t="s">
        <v>80</v>
      </c>
      <c r="E942" s="124" t="s">
        <v>164</v>
      </c>
      <c r="F942" s="124" t="s">
        <v>165</v>
      </c>
      <c r="G942" s="117" t="n">
        <v>4990</v>
      </c>
      <c r="H942" s="117" t="n">
        <v>10</v>
      </c>
      <c r="I942" s="393" t="n">
        <v>43385.59930555556</v>
      </c>
      <c r="J942" s="3" t="s">
        <v>152</v>
      </c>
      <c r="K942" s="171">
        <f>VLOOKUP(D942,Base!D:E,2,0)</f>
        <v/>
      </c>
    </row>
    <row customHeight="1" ht="15" r="943" s="183" spans="1:15">
      <c r="A943" s="37">
        <f>E943</f>
        <v/>
      </c>
      <c r="B943" s="117" t="s">
        <v>162</v>
      </c>
      <c r="C943" s="117" t="s">
        <v>75</v>
      </c>
      <c r="D943" s="117" t="s">
        <v>81</v>
      </c>
      <c r="E943" s="124" t="s">
        <v>164</v>
      </c>
      <c r="F943" s="124" t="s">
        <v>165</v>
      </c>
      <c r="G943" s="117" t="n">
        <v>6650</v>
      </c>
      <c r="H943" s="117" t="n">
        <v>11</v>
      </c>
      <c r="I943" s="393" t="n">
        <v>43385.59930555556</v>
      </c>
      <c r="J943" s="3" t="s">
        <v>152</v>
      </c>
      <c r="K943" s="171">
        <f>VLOOKUP(D943,Base!D:E,2,0)</f>
        <v/>
      </c>
    </row>
    <row customHeight="1" ht="15" r="944" s="183" spans="1:15">
      <c r="A944" s="37">
        <f>E944</f>
        <v/>
      </c>
      <c r="B944" s="117" t="s">
        <v>162</v>
      </c>
      <c r="C944" s="117" t="s">
        <v>75</v>
      </c>
      <c r="D944" s="117" t="s">
        <v>82</v>
      </c>
      <c r="E944" s="124" t="s">
        <v>164</v>
      </c>
      <c r="F944" s="124" t="s">
        <v>165</v>
      </c>
      <c r="G944" s="117" t="n">
        <v>6650</v>
      </c>
      <c r="H944" s="117" t="n">
        <v>11</v>
      </c>
      <c r="I944" s="393" t="n">
        <v>43385.59930555556</v>
      </c>
      <c r="J944" s="3" t="s">
        <v>152</v>
      </c>
      <c r="K944" s="171">
        <f>VLOOKUP(D944,Base!D:E,2,0)</f>
        <v/>
      </c>
    </row>
    <row customHeight="1" ht="15" r="945" s="183" spans="1:15">
      <c r="A945" s="37">
        <f>E945</f>
        <v/>
      </c>
      <c r="B945" s="117" t="s">
        <v>162</v>
      </c>
      <c r="C945" s="117" t="s">
        <v>75</v>
      </c>
      <c r="D945" s="117" t="s">
        <v>83</v>
      </c>
      <c r="E945" s="124" t="s">
        <v>164</v>
      </c>
      <c r="F945" s="124" t="s">
        <v>165</v>
      </c>
      <c r="G945" s="117" t="n">
        <v>3990</v>
      </c>
      <c r="H945" s="117" t="n">
        <v>10</v>
      </c>
      <c r="I945" s="393" t="n">
        <v>43385.59930555556</v>
      </c>
      <c r="J945" s="3" t="s">
        <v>152</v>
      </c>
      <c r="K945" s="171">
        <f>VLOOKUP(D945,Base!D:E,2,0)</f>
        <v/>
      </c>
    </row>
    <row customHeight="1" ht="15" r="946" s="183" spans="1:15">
      <c r="A946" s="37">
        <f>E946</f>
        <v/>
      </c>
      <c r="B946" s="117" t="s">
        <v>162</v>
      </c>
      <c r="C946" s="117" t="s">
        <v>75</v>
      </c>
      <c r="D946" s="117" t="s">
        <v>84</v>
      </c>
      <c r="E946" s="124" t="s">
        <v>164</v>
      </c>
      <c r="F946" s="124" t="s">
        <v>165</v>
      </c>
      <c r="G946" s="117" t="n">
        <v>5850</v>
      </c>
      <c r="H946" s="117" t="n">
        <v>10</v>
      </c>
      <c r="I946" s="393" t="n">
        <v>43385.59930555556</v>
      </c>
      <c r="J946" s="3" t="s">
        <v>152</v>
      </c>
      <c r="K946" s="171">
        <f>VLOOKUP(D946,Base!D:E,2,0)</f>
        <v/>
      </c>
    </row>
    <row customHeight="1" ht="15" r="947" s="183" spans="1:15">
      <c r="A947" s="37">
        <f>E947</f>
        <v/>
      </c>
      <c r="B947" s="117" t="s">
        <v>162</v>
      </c>
      <c r="C947" s="117" t="s">
        <v>75</v>
      </c>
      <c r="D947" s="117" t="s">
        <v>85</v>
      </c>
      <c r="E947" s="124" t="s">
        <v>164</v>
      </c>
      <c r="F947" s="124" t="s">
        <v>165</v>
      </c>
      <c r="G947" s="117" t="n">
        <v>3990</v>
      </c>
      <c r="H947" s="117" t="n">
        <v>10</v>
      </c>
      <c r="I947" s="393" t="n">
        <v>43385.59930555556</v>
      </c>
      <c r="J947" s="3" t="s">
        <v>152</v>
      </c>
      <c r="K947" s="171">
        <f>VLOOKUP(D947,Base!D:E,2,0)</f>
        <v/>
      </c>
    </row>
    <row customHeight="1" ht="15" r="948" s="183" spans="1:15">
      <c r="A948" s="37">
        <f>E948</f>
        <v/>
      </c>
      <c r="B948" s="117" t="s">
        <v>162</v>
      </c>
      <c r="C948" s="117" t="s">
        <v>86</v>
      </c>
      <c r="D948" s="117" t="s">
        <v>87</v>
      </c>
      <c r="E948" s="124" t="s">
        <v>164</v>
      </c>
      <c r="F948" s="124" t="s">
        <v>165</v>
      </c>
      <c r="G948" s="117" t="n">
        <v>6990</v>
      </c>
      <c r="H948" s="117" t="n">
        <v>12</v>
      </c>
      <c r="I948" s="393" t="n">
        <v>43385.59930555556</v>
      </c>
      <c r="J948" s="3" t="s">
        <v>152</v>
      </c>
      <c r="K948" s="171">
        <f>VLOOKUP(D948,Base!D:E,2,0)</f>
        <v/>
      </c>
    </row>
    <row customHeight="1" ht="15" r="949" s="183" spans="1:15">
      <c r="A949" s="37">
        <f>E949</f>
        <v/>
      </c>
      <c r="B949" s="117" t="s">
        <v>162</v>
      </c>
      <c r="C949" s="117" t="s">
        <v>86</v>
      </c>
      <c r="D949" s="117" t="s">
        <v>88</v>
      </c>
      <c r="E949" s="124" t="s">
        <v>164</v>
      </c>
      <c r="F949" s="124" t="s">
        <v>165</v>
      </c>
      <c r="G949" s="117" t="n">
        <v>6490</v>
      </c>
      <c r="H949" s="117" t="n">
        <v>11</v>
      </c>
      <c r="I949" s="393" t="n">
        <v>43385.59930555556</v>
      </c>
      <c r="J949" s="3" t="s">
        <v>152</v>
      </c>
      <c r="K949" s="171">
        <f>VLOOKUP(D949,Base!D:E,2,0)</f>
        <v/>
      </c>
    </row>
    <row customHeight="1" ht="15" r="950" s="183" spans="1:15">
      <c r="A950" s="37">
        <f>E950</f>
        <v/>
      </c>
      <c r="B950" s="117" t="s">
        <v>162</v>
      </c>
      <c r="C950" s="117" t="s">
        <v>86</v>
      </c>
      <c r="D950" s="117" t="s">
        <v>89</v>
      </c>
      <c r="E950" s="124" t="s">
        <v>164</v>
      </c>
      <c r="F950" s="124" t="s">
        <v>165</v>
      </c>
      <c r="G950" s="117" t="n">
        <v>5490</v>
      </c>
      <c r="H950" s="117" t="n">
        <v>15</v>
      </c>
      <c r="I950" s="393" t="n">
        <v>43385.59930555556</v>
      </c>
      <c r="J950" s="3" t="s">
        <v>152</v>
      </c>
      <c r="K950" s="171">
        <f>VLOOKUP(D950,Base!D:E,2,0)</f>
        <v/>
      </c>
    </row>
    <row customHeight="1" ht="15" r="951" s="183" spans="1:15">
      <c r="A951" s="37">
        <f>E951</f>
        <v/>
      </c>
      <c r="B951" s="117" t="s">
        <v>162</v>
      </c>
      <c r="C951" s="117" t="s">
        <v>86</v>
      </c>
      <c r="D951" s="117" t="s">
        <v>90</v>
      </c>
      <c r="E951" s="124" t="s">
        <v>164</v>
      </c>
      <c r="F951" s="124" t="s">
        <v>165</v>
      </c>
      <c r="G951" s="117" t="n">
        <v>4490</v>
      </c>
      <c r="H951" s="117" t="n">
        <v>11</v>
      </c>
      <c r="I951" s="393" t="n">
        <v>43385.59930555556</v>
      </c>
      <c r="J951" s="3" t="s">
        <v>152</v>
      </c>
      <c r="K951" s="171">
        <f>VLOOKUP(D951,Base!D:E,2,0)</f>
        <v/>
      </c>
    </row>
    <row customHeight="1" ht="15" r="952" s="183" spans="1:15">
      <c r="A952" s="37">
        <f>E952</f>
        <v/>
      </c>
      <c r="B952" s="117" t="s">
        <v>162</v>
      </c>
      <c r="C952" s="117" t="s">
        <v>86</v>
      </c>
      <c r="D952" s="117" t="s">
        <v>91</v>
      </c>
      <c r="E952" s="124" t="s">
        <v>164</v>
      </c>
      <c r="F952" s="124" t="s">
        <v>165</v>
      </c>
      <c r="G952" s="117" t="n">
        <v>6490</v>
      </c>
      <c r="H952" s="117" t="n">
        <v>11</v>
      </c>
      <c r="I952" s="393" t="n">
        <v>43385.59930555556</v>
      </c>
      <c r="J952" s="3" t="s">
        <v>152</v>
      </c>
      <c r="K952" s="171">
        <f>VLOOKUP(D952,Base!D:E,2,0)</f>
        <v/>
      </c>
    </row>
    <row customHeight="1" ht="15" r="953" s="183" spans="1:15">
      <c r="A953" s="37">
        <f>E953</f>
        <v/>
      </c>
      <c r="B953" s="117" t="s">
        <v>162</v>
      </c>
      <c r="C953" s="117" t="s">
        <v>86</v>
      </c>
      <c r="D953" s="117" t="s">
        <v>92</v>
      </c>
      <c r="E953" s="124" t="s">
        <v>164</v>
      </c>
      <c r="F953" s="124" t="s">
        <v>165</v>
      </c>
      <c r="G953" s="117" t="n">
        <v>6490</v>
      </c>
      <c r="H953" s="117" t="n">
        <v>12</v>
      </c>
      <c r="I953" s="393" t="n">
        <v>43385.59930555556</v>
      </c>
      <c r="J953" s="3" t="s">
        <v>152</v>
      </c>
      <c r="K953" s="171">
        <f>VLOOKUP(D953,Base!D:E,2,0)</f>
        <v/>
      </c>
    </row>
    <row customHeight="1" ht="15" r="954" s="183" spans="1:15">
      <c r="A954" s="37">
        <f>E954</f>
        <v/>
      </c>
      <c r="B954" s="117" t="s">
        <v>162</v>
      </c>
      <c r="C954" s="117" t="s">
        <v>86</v>
      </c>
      <c r="D954" s="117" t="s">
        <v>93</v>
      </c>
      <c r="E954" s="124" t="s">
        <v>164</v>
      </c>
      <c r="F954" s="124" t="s">
        <v>165</v>
      </c>
      <c r="G954" s="117" t="n">
        <v>5990</v>
      </c>
      <c r="H954" s="117" t="n">
        <v>15</v>
      </c>
      <c r="I954" s="393" t="n">
        <v>43385.59930555556</v>
      </c>
      <c r="J954" s="3" t="s">
        <v>152</v>
      </c>
      <c r="K954" s="171">
        <f>VLOOKUP(D954,Base!D:E,2,0)</f>
        <v/>
      </c>
    </row>
    <row customHeight="1" ht="15" r="955" s="183" spans="1:15">
      <c r="A955" s="37">
        <f>E955</f>
        <v/>
      </c>
      <c r="B955" s="117" t="s">
        <v>162</v>
      </c>
      <c r="C955" s="117" t="s">
        <v>86</v>
      </c>
      <c r="D955" s="117" t="s">
        <v>94</v>
      </c>
      <c r="E955" s="124" t="s">
        <v>164</v>
      </c>
      <c r="F955" s="124" t="s">
        <v>165</v>
      </c>
      <c r="G955" s="117" t="n">
        <v>5990</v>
      </c>
      <c r="H955" s="117" t="n">
        <v>11</v>
      </c>
      <c r="I955" s="393" t="n">
        <v>43385.59930555556</v>
      </c>
      <c r="J955" s="3" t="s">
        <v>152</v>
      </c>
      <c r="K955" s="171">
        <f>VLOOKUP(D955,Base!D:E,2,0)</f>
        <v/>
      </c>
    </row>
    <row customHeight="1" ht="15" r="956" s="183" spans="1:15">
      <c r="A956" s="37">
        <f>E956</f>
        <v/>
      </c>
      <c r="B956" s="117" t="s">
        <v>162</v>
      </c>
      <c r="C956" s="117" t="s">
        <v>86</v>
      </c>
      <c r="D956" s="117" t="s">
        <v>95</v>
      </c>
      <c r="E956" s="124" t="s">
        <v>164</v>
      </c>
      <c r="F956" s="124" t="s">
        <v>165</v>
      </c>
      <c r="G956" s="117" t="n">
        <v>5990</v>
      </c>
      <c r="H956" s="117" t="n">
        <v>11</v>
      </c>
      <c r="I956" s="393" t="n">
        <v>43385.59930555556</v>
      </c>
      <c r="J956" s="3" t="s">
        <v>152</v>
      </c>
      <c r="K956" s="171">
        <f>VLOOKUP(D956,Base!D:E,2,0)</f>
        <v/>
      </c>
    </row>
    <row customHeight="1" ht="15" r="957" s="183" spans="1:15">
      <c r="A957" s="37">
        <f>E957</f>
        <v/>
      </c>
      <c r="B957" s="117" t="s">
        <v>162</v>
      </c>
      <c r="C957" s="117" t="s">
        <v>96</v>
      </c>
      <c r="D957" s="117" t="s">
        <v>97</v>
      </c>
      <c r="E957" s="124" t="s">
        <v>164</v>
      </c>
      <c r="F957" s="124" t="s">
        <v>165</v>
      </c>
      <c r="G957" s="117" t="n">
        <v>4990</v>
      </c>
      <c r="H957" s="117" t="n">
        <v>15</v>
      </c>
      <c r="I957" s="393" t="n">
        <v>43385.59930555556</v>
      </c>
      <c r="J957" s="3" t="s">
        <v>152</v>
      </c>
      <c r="K957" s="171">
        <f>VLOOKUP(D957,Base!D:E,2,0)</f>
        <v/>
      </c>
    </row>
    <row customHeight="1" ht="15" r="958" s="183" spans="1:15">
      <c r="A958" s="37">
        <f>E958</f>
        <v/>
      </c>
      <c r="B958" s="117" t="s">
        <v>162</v>
      </c>
      <c r="C958" s="117" t="s">
        <v>96</v>
      </c>
      <c r="D958" s="117" t="s">
        <v>98</v>
      </c>
      <c r="E958" s="124" t="s">
        <v>164</v>
      </c>
      <c r="F958" s="124" t="s">
        <v>165</v>
      </c>
      <c r="G958" s="117" t="n">
        <v>4550</v>
      </c>
      <c r="H958" s="117" t="n">
        <v>15</v>
      </c>
      <c r="I958" s="393" t="n">
        <v>43385.59861111111</v>
      </c>
      <c r="J958" s="3" t="s">
        <v>152</v>
      </c>
      <c r="K958" s="171">
        <f>VLOOKUP(D958,Base!D:E,2,0)</f>
        <v/>
      </c>
    </row>
    <row customHeight="1" ht="15" r="959" s="183" spans="1:15">
      <c r="A959" s="37">
        <f>E959</f>
        <v/>
      </c>
      <c r="B959" s="117" t="s">
        <v>162</v>
      </c>
      <c r="C959" s="117" t="s">
        <v>96</v>
      </c>
      <c r="D959" s="117" t="s">
        <v>99</v>
      </c>
      <c r="E959" s="124" t="s">
        <v>164</v>
      </c>
      <c r="F959" s="124" t="s">
        <v>165</v>
      </c>
      <c r="G959" s="117" t="n">
        <v>5550</v>
      </c>
      <c r="H959" s="117" t="n">
        <v>15</v>
      </c>
      <c r="I959" s="393" t="n">
        <v>43385.59930555556</v>
      </c>
      <c r="J959" s="3" t="s">
        <v>152</v>
      </c>
      <c r="K959" s="171">
        <f>VLOOKUP(D959,Base!D:E,2,0)</f>
        <v/>
      </c>
    </row>
    <row customHeight="1" ht="15" r="960" s="183" spans="1:15">
      <c r="A960" s="37">
        <f>E960</f>
        <v/>
      </c>
      <c r="B960" s="117" t="s">
        <v>162</v>
      </c>
      <c r="C960" s="117" t="s">
        <v>96</v>
      </c>
      <c r="D960" s="117" t="s">
        <v>100</v>
      </c>
      <c r="E960" s="124" t="s">
        <v>164</v>
      </c>
      <c r="F960" s="124" t="s">
        <v>165</v>
      </c>
      <c r="G960" s="117" t="n">
        <v>5990</v>
      </c>
      <c r="H960" s="117" t="n">
        <v>15</v>
      </c>
      <c r="I960" s="393" t="n">
        <v>43385.59930555556</v>
      </c>
      <c r="J960" s="3" t="s">
        <v>152</v>
      </c>
      <c r="K960" s="171">
        <f>VLOOKUP(D960,Base!D:E,2,0)</f>
        <v/>
      </c>
    </row>
    <row customHeight="1" ht="15" r="961" s="183" spans="1:15">
      <c r="A961" s="37">
        <f>E961</f>
        <v/>
      </c>
      <c r="B961" s="117" t="s">
        <v>162</v>
      </c>
      <c r="C961" s="117" t="s">
        <v>101</v>
      </c>
      <c r="D961" s="117" t="s">
        <v>102</v>
      </c>
      <c r="E961" s="124" t="s">
        <v>164</v>
      </c>
      <c r="F961" s="124" t="s">
        <v>165</v>
      </c>
      <c r="G961" s="117" t="n">
        <v>4500</v>
      </c>
      <c r="H961" s="117" t="n">
        <v>11</v>
      </c>
      <c r="I961" s="393" t="n">
        <v>43385.59930555556</v>
      </c>
      <c r="J961" s="3" t="s">
        <v>152</v>
      </c>
      <c r="K961" s="171">
        <f>VLOOKUP(D961,Base!D:E,2,0)</f>
        <v/>
      </c>
    </row>
    <row customHeight="1" ht="15" r="962" s="183" spans="1:15">
      <c r="A962" s="37">
        <f>E962</f>
        <v/>
      </c>
      <c r="B962" s="117" t="s">
        <v>162</v>
      </c>
      <c r="C962" s="117" t="s">
        <v>101</v>
      </c>
      <c r="D962" s="117" t="s">
        <v>103</v>
      </c>
      <c r="E962" s="124" t="s">
        <v>164</v>
      </c>
      <c r="F962" s="124" t="s">
        <v>165</v>
      </c>
      <c r="G962" s="117" t="n">
        <v>7000</v>
      </c>
      <c r="H962" s="117" t="n">
        <v>15</v>
      </c>
      <c r="I962" s="393" t="n">
        <v>43385.59930555556</v>
      </c>
      <c r="J962" s="3" t="s">
        <v>152</v>
      </c>
      <c r="K962" s="171">
        <f>VLOOKUP(D962,Base!D:E,2,0)</f>
        <v/>
      </c>
    </row>
    <row customHeight="1" ht="15" r="963" s="183" spans="1:15">
      <c r="A963" s="37">
        <f>E963</f>
        <v/>
      </c>
      <c r="B963" s="117" t="s">
        <v>162</v>
      </c>
      <c r="C963" s="117" t="s">
        <v>101</v>
      </c>
      <c r="D963" s="117" t="s">
        <v>104</v>
      </c>
      <c r="E963" s="124" t="s">
        <v>164</v>
      </c>
      <c r="F963" s="124" t="s">
        <v>165</v>
      </c>
      <c r="G963" s="117" t="n">
        <v>4500</v>
      </c>
      <c r="H963" s="117" t="n">
        <v>12</v>
      </c>
      <c r="I963" s="393" t="n">
        <v>43385.59930555556</v>
      </c>
      <c r="J963" s="3" t="s">
        <v>152</v>
      </c>
      <c r="K963" s="171">
        <f>VLOOKUP(D963,Base!D:E,2,0)</f>
        <v/>
      </c>
    </row>
    <row customHeight="1" ht="15" r="964" s="183" spans="1:15">
      <c r="A964" s="37">
        <f>E964</f>
        <v/>
      </c>
      <c r="B964" s="117" t="s">
        <v>162</v>
      </c>
      <c r="C964" s="117" t="s">
        <v>105</v>
      </c>
      <c r="D964" s="117" t="s">
        <v>106</v>
      </c>
      <c r="E964" s="124" t="s">
        <v>164</v>
      </c>
      <c r="F964" s="124" t="s">
        <v>165</v>
      </c>
      <c r="G964" s="117" t="n">
        <v>4990</v>
      </c>
      <c r="H964" s="117" t="n">
        <v>6</v>
      </c>
      <c r="I964" s="393" t="n">
        <v>43385.59930555556</v>
      </c>
      <c r="J964" s="3" t="s">
        <v>152</v>
      </c>
      <c r="K964" s="171">
        <f>VLOOKUP(D964,Base!D:E,2,0)</f>
        <v/>
      </c>
    </row>
    <row customHeight="1" ht="15" r="965" s="183" spans="1:15">
      <c r="A965" s="37">
        <f>E965</f>
        <v/>
      </c>
      <c r="B965" s="117" t="s">
        <v>162</v>
      </c>
      <c r="C965" s="117" t="s">
        <v>105</v>
      </c>
      <c r="D965" s="117" t="s">
        <v>107</v>
      </c>
      <c r="E965" s="124" t="s">
        <v>164</v>
      </c>
      <c r="F965" s="124" t="s">
        <v>165</v>
      </c>
      <c r="G965" s="117" t="n">
        <v>4850</v>
      </c>
      <c r="H965" s="117" t="n">
        <v>4</v>
      </c>
      <c r="I965" s="393" t="n">
        <v>43385.59861111111</v>
      </c>
      <c r="J965" s="3" t="s">
        <v>152</v>
      </c>
      <c r="K965" s="171">
        <f>VLOOKUP(D965,Base!D:E,2,0)</f>
        <v/>
      </c>
    </row>
    <row customHeight="1" ht="15" r="966" s="183" spans="1:15">
      <c r="A966" s="37">
        <f>E966</f>
        <v/>
      </c>
      <c r="B966" s="117" t="s">
        <v>162</v>
      </c>
      <c r="C966" s="117" t="s">
        <v>105</v>
      </c>
      <c r="D966" s="117" t="s">
        <v>108</v>
      </c>
      <c r="E966" s="124" t="s">
        <v>164</v>
      </c>
      <c r="F966" s="124" t="s">
        <v>165</v>
      </c>
      <c r="G966" s="117" t="n">
        <v>4850</v>
      </c>
      <c r="H966" s="117" t="n">
        <v>5</v>
      </c>
      <c r="I966" s="393" t="n">
        <v>43385.59930555556</v>
      </c>
      <c r="J966" s="3" t="s">
        <v>152</v>
      </c>
      <c r="K966" s="171">
        <f>VLOOKUP(D966,Base!D:E,2,0)</f>
        <v/>
      </c>
    </row>
    <row customHeight="1" ht="15" r="967" s="183" spans="1:15">
      <c r="A967" s="37">
        <f>E967</f>
        <v/>
      </c>
      <c r="B967" s="117" t="s">
        <v>162</v>
      </c>
      <c r="C967" s="117" t="s">
        <v>105</v>
      </c>
      <c r="D967" s="117" t="s">
        <v>109</v>
      </c>
      <c r="E967" s="124" t="s">
        <v>164</v>
      </c>
      <c r="F967" s="124" t="s">
        <v>165</v>
      </c>
      <c r="G967" s="117" t="n">
        <v>4490</v>
      </c>
      <c r="H967" s="117" t="n">
        <v>6</v>
      </c>
      <c r="I967" s="393" t="n">
        <v>43385.59930555556</v>
      </c>
      <c r="J967" s="3" t="s">
        <v>152</v>
      </c>
      <c r="K967" s="171">
        <f>VLOOKUP(D967,Base!D:E,2,0)</f>
        <v/>
      </c>
    </row>
    <row customHeight="1" ht="15" r="968" s="183" spans="1:15">
      <c r="A968" s="37">
        <f>E968</f>
        <v/>
      </c>
      <c r="B968" s="117" t="s">
        <v>162</v>
      </c>
      <c r="C968" s="117" t="s">
        <v>105</v>
      </c>
      <c r="D968" s="117" t="s">
        <v>110</v>
      </c>
      <c r="E968" s="124" t="s">
        <v>164</v>
      </c>
      <c r="F968" s="124" t="s">
        <v>165</v>
      </c>
      <c r="G968" s="117" t="n">
        <v>4850</v>
      </c>
      <c r="H968" s="117" t="n">
        <v>5</v>
      </c>
      <c r="I968" s="393" t="n">
        <v>43385.59930555556</v>
      </c>
      <c r="J968" s="3" t="s">
        <v>152</v>
      </c>
      <c r="K968" s="171">
        <f>VLOOKUP(D968,Base!D:E,2,0)</f>
        <v/>
      </c>
    </row>
    <row customHeight="1" ht="15" r="969" s="183" spans="1:15">
      <c r="A969" s="37">
        <f>E969</f>
        <v/>
      </c>
      <c r="B969" s="117" t="s">
        <v>162</v>
      </c>
      <c r="C969" s="117" t="s">
        <v>105</v>
      </c>
      <c r="D969" s="117" t="s">
        <v>111</v>
      </c>
      <c r="E969" s="124" t="s">
        <v>164</v>
      </c>
      <c r="F969" s="124" t="s">
        <v>165</v>
      </c>
      <c r="G969" s="117" t="n">
        <v>4490</v>
      </c>
      <c r="H969" s="117" t="n">
        <v>4</v>
      </c>
      <c r="I969" s="393" t="n">
        <v>43385.59861111111</v>
      </c>
      <c r="J969" s="3" t="s">
        <v>152</v>
      </c>
      <c r="K969" s="171">
        <f>VLOOKUP(D969,Base!D:E,2,0)</f>
        <v/>
      </c>
    </row>
    <row customHeight="1" ht="15" r="970" s="183" spans="1:15">
      <c r="A970" s="37">
        <f>E970</f>
        <v/>
      </c>
      <c r="B970" s="117" t="s">
        <v>162</v>
      </c>
      <c r="C970" s="117" t="s">
        <v>105</v>
      </c>
      <c r="D970" s="117" t="s">
        <v>112</v>
      </c>
      <c r="E970" s="124" t="s">
        <v>164</v>
      </c>
      <c r="F970" s="124" t="s">
        <v>165</v>
      </c>
      <c r="G970" s="117" t="n">
        <v>3990</v>
      </c>
      <c r="H970" s="117" t="n">
        <v>5</v>
      </c>
      <c r="I970" s="393" t="n">
        <v>43385.59930555556</v>
      </c>
      <c r="J970" s="3" t="s">
        <v>152</v>
      </c>
      <c r="K970" s="171">
        <f>VLOOKUP(D970,Base!D:E,2,0)</f>
        <v/>
      </c>
    </row>
    <row customHeight="1" ht="15" r="971" s="183" spans="1:15">
      <c r="A971" s="37">
        <f>E971</f>
        <v/>
      </c>
      <c r="B971" s="117" t="s">
        <v>162</v>
      </c>
      <c r="C971" s="117" t="s">
        <v>105</v>
      </c>
      <c r="D971" s="117" t="s">
        <v>113</v>
      </c>
      <c r="E971" s="124" t="s">
        <v>164</v>
      </c>
      <c r="F971" s="124" t="s">
        <v>165</v>
      </c>
      <c r="G971" s="117" t="n">
        <v>3990</v>
      </c>
      <c r="H971" s="117" t="n">
        <v>5</v>
      </c>
      <c r="I971" s="393" t="n">
        <v>43385.59930555556</v>
      </c>
      <c r="J971" s="3" t="s">
        <v>152</v>
      </c>
      <c r="K971" s="171">
        <f>VLOOKUP(D971,Base!D:E,2,0)</f>
        <v/>
      </c>
    </row>
    <row customHeight="1" ht="15" r="972" s="183" spans="1:15">
      <c r="A972" s="37">
        <f>E972</f>
        <v/>
      </c>
      <c r="B972" s="117" t="s">
        <v>162</v>
      </c>
      <c r="C972" s="117" t="s">
        <v>105</v>
      </c>
      <c r="D972" s="117" t="s">
        <v>114</v>
      </c>
      <c r="E972" s="124" t="s">
        <v>164</v>
      </c>
      <c r="F972" s="124" t="s">
        <v>165</v>
      </c>
      <c r="G972" s="117" t="n">
        <v>4850</v>
      </c>
      <c r="H972" s="117" t="n">
        <v>5</v>
      </c>
      <c r="I972" s="393" t="n">
        <v>43385.59930555556</v>
      </c>
      <c r="J972" s="3" t="s">
        <v>152</v>
      </c>
      <c r="K972" s="171">
        <f>VLOOKUP(D972,Base!D:E,2,0)</f>
        <v/>
      </c>
    </row>
    <row customHeight="1" ht="15" r="973" s="183" spans="1:15">
      <c r="A973" s="37">
        <f>E973</f>
        <v/>
      </c>
      <c r="B973" s="117" t="s">
        <v>162</v>
      </c>
      <c r="C973" s="117" t="s">
        <v>105</v>
      </c>
      <c r="D973" s="117" t="s">
        <v>115</v>
      </c>
      <c r="E973" s="124" t="s">
        <v>164</v>
      </c>
      <c r="F973" s="124" t="s">
        <v>165</v>
      </c>
      <c r="G973" s="117" t="n">
        <v>4490</v>
      </c>
      <c r="H973" s="117" t="n">
        <v>5</v>
      </c>
      <c r="I973" s="393" t="n">
        <v>43385.59930555556</v>
      </c>
      <c r="J973" s="3" t="s">
        <v>152</v>
      </c>
      <c r="K973" s="171">
        <f>VLOOKUP(D973,Base!D:E,2,0)</f>
        <v/>
      </c>
    </row>
    <row customHeight="1" ht="15" r="974" s="183" spans="1:15">
      <c r="A974" s="37">
        <f>E974</f>
        <v/>
      </c>
      <c r="B974" s="117" t="s">
        <v>162</v>
      </c>
      <c r="C974" s="117" t="s">
        <v>105</v>
      </c>
      <c r="D974" s="117" t="s">
        <v>116</v>
      </c>
      <c r="E974" s="124" t="s">
        <v>164</v>
      </c>
      <c r="F974" s="124" t="s">
        <v>165</v>
      </c>
      <c r="G974" s="117" t="n">
        <v>3990</v>
      </c>
      <c r="H974" s="117" t="n">
        <v>4</v>
      </c>
      <c r="I974" s="393" t="n">
        <v>43385.59861111111</v>
      </c>
      <c r="J974" s="3" t="s">
        <v>152</v>
      </c>
      <c r="K974" s="171">
        <f>VLOOKUP(D974,Base!D:E,2,0)</f>
        <v/>
      </c>
    </row>
    <row customHeight="1" ht="15" r="975" s="183" spans="1:15">
      <c r="A975" s="37">
        <f>E975</f>
        <v/>
      </c>
      <c r="B975" s="117" t="s">
        <v>162</v>
      </c>
      <c r="C975" s="117" t="s">
        <v>105</v>
      </c>
      <c r="D975" s="117" t="s">
        <v>117</v>
      </c>
      <c r="E975" s="124" t="s">
        <v>164</v>
      </c>
      <c r="F975" s="124" t="s">
        <v>165</v>
      </c>
      <c r="G975" s="117" t="n">
        <v>4850</v>
      </c>
      <c r="H975" s="117" t="n">
        <v>5</v>
      </c>
      <c r="I975" s="393" t="n">
        <v>43385.59930555556</v>
      </c>
      <c r="J975" s="3" t="s">
        <v>152</v>
      </c>
      <c r="K975" s="171">
        <f>VLOOKUP(D975,Base!D:E,2,0)</f>
        <v/>
      </c>
    </row>
    <row customHeight="1" ht="15" r="976" s="183" spans="1:15">
      <c r="A976" s="37">
        <f>E976</f>
        <v/>
      </c>
      <c r="B976" s="117" t="s">
        <v>162</v>
      </c>
      <c r="C976" s="117" t="s">
        <v>105</v>
      </c>
      <c r="D976" s="117" t="s">
        <v>118</v>
      </c>
      <c r="E976" s="124" t="s">
        <v>164</v>
      </c>
      <c r="F976" s="124" t="s">
        <v>165</v>
      </c>
      <c r="G976" s="117" t="n">
        <v>4850</v>
      </c>
      <c r="H976" s="117" t="n">
        <v>4</v>
      </c>
      <c r="I976" s="393" t="n">
        <v>43385.59930555556</v>
      </c>
      <c r="J976" s="3" t="s">
        <v>152</v>
      </c>
      <c r="K976" s="171">
        <f>VLOOKUP(D976,Base!D:E,2,0)</f>
        <v/>
      </c>
    </row>
    <row customHeight="1" ht="15" r="977" s="183" spans="1:15">
      <c r="A977" s="37">
        <f>E977</f>
        <v/>
      </c>
      <c r="B977" s="117" t="s">
        <v>162</v>
      </c>
      <c r="C977" s="117" t="s">
        <v>105</v>
      </c>
      <c r="D977" s="117" t="s">
        <v>119</v>
      </c>
      <c r="E977" s="124" t="s">
        <v>164</v>
      </c>
      <c r="F977" s="124" t="s">
        <v>165</v>
      </c>
      <c r="G977" s="117" t="n">
        <v>3990</v>
      </c>
      <c r="H977" s="117" t="n">
        <v>4</v>
      </c>
      <c r="I977" s="393" t="n">
        <v>43385.59930555556</v>
      </c>
      <c r="J977" s="3" t="s">
        <v>152</v>
      </c>
      <c r="K977" s="171">
        <f>VLOOKUP(D977,Base!D:E,2,0)</f>
        <v/>
      </c>
    </row>
    <row customHeight="1" ht="15" r="978" s="183" spans="1:15">
      <c r="A978" s="37">
        <f>E978</f>
        <v/>
      </c>
      <c r="B978" s="117" t="s">
        <v>162</v>
      </c>
      <c r="C978" s="117" t="s">
        <v>105</v>
      </c>
      <c r="D978" s="117" t="s">
        <v>120</v>
      </c>
      <c r="E978" s="124" t="s">
        <v>164</v>
      </c>
      <c r="F978" s="124" t="s">
        <v>165</v>
      </c>
      <c r="G978" s="117" t="n">
        <v>5850</v>
      </c>
      <c r="H978" s="117" t="n">
        <v>6</v>
      </c>
      <c r="I978" s="393" t="n">
        <v>43385.59930555556</v>
      </c>
      <c r="J978" s="3" t="s">
        <v>152</v>
      </c>
      <c r="K978" s="171">
        <f>VLOOKUP(D978,Base!D:E,2,0)</f>
        <v/>
      </c>
    </row>
    <row customHeight="1" ht="15" r="979" s="183" spans="1:15">
      <c r="A979" s="37">
        <f>E979</f>
        <v/>
      </c>
      <c r="B979" s="117" t="s">
        <v>162</v>
      </c>
      <c r="C979" s="117" t="s">
        <v>105</v>
      </c>
      <c r="D979" s="117" t="s">
        <v>121</v>
      </c>
      <c r="E979" s="124" t="s">
        <v>164</v>
      </c>
      <c r="F979" s="124" t="s">
        <v>165</v>
      </c>
      <c r="G979" s="117" t="n">
        <v>3990</v>
      </c>
      <c r="H979" s="117" t="n">
        <v>4</v>
      </c>
      <c r="I979" s="393" t="n">
        <v>43385.59930555556</v>
      </c>
      <c r="J979" s="3" t="s">
        <v>152</v>
      </c>
      <c r="K979" s="171">
        <f>VLOOKUP(D979,Base!D:E,2,0)</f>
        <v/>
      </c>
    </row>
    <row customHeight="1" ht="15" r="980" s="183" spans="1:15">
      <c r="A980" s="37">
        <f>E980</f>
        <v/>
      </c>
      <c r="B980" s="117" t="s">
        <v>162</v>
      </c>
      <c r="C980" s="117" t="s">
        <v>105</v>
      </c>
      <c r="D980" s="117" t="s">
        <v>122</v>
      </c>
      <c r="E980" s="124" t="s">
        <v>164</v>
      </c>
      <c r="F980" s="124" t="s">
        <v>165</v>
      </c>
      <c r="G980" s="117" t="n">
        <v>3990</v>
      </c>
      <c r="H980" s="117" t="n">
        <v>4</v>
      </c>
      <c r="I980" s="393" t="n">
        <v>43385.59861111111</v>
      </c>
      <c r="J980" s="3" t="s">
        <v>152</v>
      </c>
      <c r="K980" s="171">
        <f>VLOOKUP(D980,Base!D:E,2,0)</f>
        <v/>
      </c>
    </row>
    <row customHeight="1" ht="15" r="981" s="183" spans="1:15">
      <c r="A981" s="37">
        <f>E981</f>
        <v/>
      </c>
      <c r="B981" s="117" t="s">
        <v>162</v>
      </c>
      <c r="C981" s="117" t="s">
        <v>105</v>
      </c>
      <c r="D981" s="117" t="s">
        <v>123</v>
      </c>
      <c r="E981" s="124" t="s">
        <v>164</v>
      </c>
      <c r="F981" s="124" t="s">
        <v>165</v>
      </c>
      <c r="G981" s="117" t="n">
        <v>4490</v>
      </c>
      <c r="H981" s="117" t="n">
        <v>4</v>
      </c>
      <c r="I981" s="393" t="n">
        <v>43385.59930555556</v>
      </c>
      <c r="J981" s="3" t="s">
        <v>152</v>
      </c>
      <c r="K981" s="171">
        <f>VLOOKUP(D981,Base!D:E,2,0)</f>
        <v/>
      </c>
    </row>
    <row customHeight="1" ht="15" r="982" s="183" spans="1:15">
      <c r="A982" s="37">
        <f>E982</f>
        <v/>
      </c>
      <c r="B982" s="117" t="s">
        <v>162</v>
      </c>
      <c r="C982" s="117" t="s">
        <v>105</v>
      </c>
      <c r="D982" s="117" t="s">
        <v>124</v>
      </c>
      <c r="E982" s="124" t="s">
        <v>164</v>
      </c>
      <c r="F982" s="124" t="s">
        <v>165</v>
      </c>
      <c r="G982" s="117" t="n">
        <v>4850</v>
      </c>
      <c r="H982" s="117" t="n">
        <v>4</v>
      </c>
      <c r="I982" s="393" t="n">
        <v>43385.59930555556</v>
      </c>
      <c r="J982" s="3" t="s">
        <v>152</v>
      </c>
      <c r="K982" s="171">
        <f>VLOOKUP(D982,Base!D:E,2,0)</f>
        <v/>
      </c>
    </row>
    <row customHeight="1" ht="15" r="983" s="183" spans="1:15">
      <c r="A983" s="37">
        <f>E983</f>
        <v/>
      </c>
      <c r="B983" s="117" t="s">
        <v>162</v>
      </c>
      <c r="C983" s="117" t="s">
        <v>105</v>
      </c>
      <c r="D983" s="117" t="s">
        <v>125</v>
      </c>
      <c r="E983" s="124" t="s">
        <v>164</v>
      </c>
      <c r="F983" s="124" t="s">
        <v>165</v>
      </c>
      <c r="G983" s="117" t="n">
        <v>3990</v>
      </c>
      <c r="H983" s="117" t="n">
        <v>4</v>
      </c>
      <c r="I983" s="393" t="n">
        <v>43385.59930555556</v>
      </c>
      <c r="J983" s="3" t="s">
        <v>152</v>
      </c>
      <c r="K983" s="171">
        <f>VLOOKUP(D983,Base!D:E,2,0)</f>
        <v/>
      </c>
    </row>
    <row customHeight="1" ht="15" r="984" s="183" spans="1:15">
      <c r="A984" s="37">
        <f>E984</f>
        <v/>
      </c>
      <c r="B984" s="117" t="s">
        <v>162</v>
      </c>
      <c r="C984" s="117" t="s">
        <v>105</v>
      </c>
      <c r="D984" s="117" t="s">
        <v>126</v>
      </c>
      <c r="E984" s="124" t="s">
        <v>164</v>
      </c>
      <c r="F984" s="124" t="s">
        <v>165</v>
      </c>
      <c r="G984" s="117" t="n">
        <v>3990</v>
      </c>
      <c r="H984" s="117" t="n">
        <v>5</v>
      </c>
      <c r="I984" s="393" t="n">
        <v>43385.59930555556</v>
      </c>
      <c r="J984" s="3" t="s">
        <v>152</v>
      </c>
      <c r="K984" s="171">
        <f>VLOOKUP(D984,Base!D:E,2,0)</f>
        <v/>
      </c>
    </row>
    <row customHeight="1" ht="15" r="985" s="183" spans="1:15">
      <c r="A985" s="37">
        <f>E985</f>
        <v/>
      </c>
      <c r="B985" s="117" t="s">
        <v>162</v>
      </c>
      <c r="C985" s="117" t="s">
        <v>105</v>
      </c>
      <c r="D985" s="117" t="s">
        <v>127</v>
      </c>
      <c r="E985" s="124" t="s">
        <v>164</v>
      </c>
      <c r="F985" s="124" t="s">
        <v>165</v>
      </c>
      <c r="G985" s="117" t="n">
        <v>5350</v>
      </c>
      <c r="H985" s="117" t="n">
        <v>6</v>
      </c>
      <c r="I985" s="393" t="n">
        <v>43385.59930555556</v>
      </c>
      <c r="J985" s="3" t="s">
        <v>152</v>
      </c>
      <c r="K985" s="171">
        <f>VLOOKUP(D985,Base!D:E,2,0)</f>
        <v/>
      </c>
    </row>
    <row customHeight="1" ht="15" r="986" s="183" spans="1:15">
      <c r="A986" s="37">
        <f>E986</f>
        <v/>
      </c>
      <c r="B986" s="117" t="s">
        <v>162</v>
      </c>
      <c r="C986" s="117" t="s">
        <v>105</v>
      </c>
      <c r="D986" s="117" t="s">
        <v>128</v>
      </c>
      <c r="E986" s="124" t="s">
        <v>164</v>
      </c>
      <c r="F986" s="124" t="s">
        <v>165</v>
      </c>
      <c r="G986" s="117" t="n">
        <v>3990</v>
      </c>
      <c r="H986" s="117" t="n">
        <v>4</v>
      </c>
      <c r="I986" s="393" t="n">
        <v>43385.59930555556</v>
      </c>
      <c r="J986" s="3" t="s">
        <v>152</v>
      </c>
      <c r="K986" s="171">
        <f>VLOOKUP(D986,Base!D:E,2,0)</f>
        <v/>
      </c>
    </row>
    <row customHeight="1" ht="15" r="987" s="183" spans="1:15">
      <c r="A987" s="37">
        <f>E987</f>
        <v/>
      </c>
      <c r="B987" s="117" t="s">
        <v>162</v>
      </c>
      <c r="C987" s="117" t="s">
        <v>105</v>
      </c>
      <c r="D987" s="117" t="s">
        <v>129</v>
      </c>
      <c r="E987" s="124" t="s">
        <v>164</v>
      </c>
      <c r="F987" s="124" t="s">
        <v>165</v>
      </c>
      <c r="G987" s="117" t="n">
        <v>5350</v>
      </c>
      <c r="H987" s="117" t="n">
        <v>6</v>
      </c>
      <c r="I987" s="393" t="n">
        <v>43385.59930555556</v>
      </c>
      <c r="J987" s="3" t="s">
        <v>152</v>
      </c>
      <c r="K987" s="171">
        <f>VLOOKUP(D987,Base!D:E,2,0)</f>
        <v/>
      </c>
    </row>
    <row customHeight="1" ht="15" r="988" s="183" spans="1:15">
      <c r="A988" s="37">
        <f>E988</f>
        <v/>
      </c>
      <c r="B988" s="117" t="s">
        <v>162</v>
      </c>
      <c r="C988" s="117" t="s">
        <v>105</v>
      </c>
      <c r="D988" s="117" t="s">
        <v>130</v>
      </c>
      <c r="E988" s="124" t="s">
        <v>164</v>
      </c>
      <c r="F988" s="124" t="s">
        <v>165</v>
      </c>
      <c r="G988" s="117" t="n">
        <v>4990</v>
      </c>
      <c r="H988" s="117" t="n">
        <v>6</v>
      </c>
      <c r="I988" s="393" t="n">
        <v>43385.59930555556</v>
      </c>
      <c r="J988" s="3" t="s">
        <v>152</v>
      </c>
      <c r="K988" s="171">
        <f>VLOOKUP(D988,Base!D:E,2,0)</f>
        <v/>
      </c>
    </row>
    <row customHeight="1" ht="15" r="989" s="183" spans="1:15">
      <c r="A989" s="37">
        <f>E989</f>
        <v/>
      </c>
      <c r="B989" s="117" t="s">
        <v>162</v>
      </c>
      <c r="C989" s="117" t="s">
        <v>105</v>
      </c>
      <c r="D989" s="117" t="s">
        <v>131</v>
      </c>
      <c r="E989" s="124" t="s">
        <v>164</v>
      </c>
      <c r="F989" s="124" t="s">
        <v>165</v>
      </c>
      <c r="G989" s="117" t="n">
        <v>4490</v>
      </c>
      <c r="H989" s="117" t="n">
        <v>4</v>
      </c>
      <c r="I989" s="393" t="n">
        <v>43385.59930555556</v>
      </c>
      <c r="J989" s="3" t="s">
        <v>152</v>
      </c>
      <c r="K989" s="171">
        <f>VLOOKUP(D989,Base!D:E,2,0)</f>
        <v/>
      </c>
    </row>
    <row customHeight="1" ht="15" r="990" s="183" spans="1:15">
      <c r="A990" s="37">
        <f>E990</f>
        <v/>
      </c>
      <c r="B990" s="117" t="s">
        <v>162</v>
      </c>
      <c r="C990" s="117" t="s">
        <v>105</v>
      </c>
      <c r="D990" s="117" t="s">
        <v>132</v>
      </c>
      <c r="E990" s="124" t="s">
        <v>164</v>
      </c>
      <c r="F990" s="124" t="s">
        <v>165</v>
      </c>
      <c r="G990" s="117" t="n">
        <v>5350</v>
      </c>
      <c r="H990" s="117" t="n">
        <v>6</v>
      </c>
      <c r="I990" s="393" t="n">
        <v>43385.59930555556</v>
      </c>
      <c r="J990" s="3" t="s">
        <v>152</v>
      </c>
      <c r="K990" s="171">
        <f>VLOOKUP(D990,Base!D:E,2,0)</f>
        <v/>
      </c>
    </row>
    <row customHeight="1" ht="15" r="991" s="183" spans="1:15">
      <c r="A991" s="37">
        <f>E991</f>
        <v/>
      </c>
      <c r="B991" s="117" t="s">
        <v>162</v>
      </c>
      <c r="C991" s="117" t="s">
        <v>105</v>
      </c>
      <c r="D991" s="117" t="s">
        <v>133</v>
      </c>
      <c r="E991" s="124" t="s">
        <v>164</v>
      </c>
      <c r="F991" s="124" t="s">
        <v>165</v>
      </c>
      <c r="G991" s="117" t="n">
        <v>3990</v>
      </c>
      <c r="H991" s="117" t="n">
        <v>4</v>
      </c>
      <c r="I991" s="393" t="n">
        <v>43385.59930555556</v>
      </c>
      <c r="J991" s="3" t="s">
        <v>152</v>
      </c>
      <c r="K991" s="171">
        <f>VLOOKUP(D991,Base!D:E,2,0)</f>
        <v/>
      </c>
    </row>
    <row customHeight="1" ht="15" r="992" s="183" spans="1:15">
      <c r="A992" s="37">
        <f>E992</f>
        <v/>
      </c>
      <c r="B992" s="117" t="s">
        <v>162</v>
      </c>
      <c r="C992" s="117" t="s">
        <v>105</v>
      </c>
      <c r="D992" s="117" t="s">
        <v>134</v>
      </c>
      <c r="E992" s="124" t="s">
        <v>164</v>
      </c>
      <c r="F992" s="124" t="s">
        <v>165</v>
      </c>
      <c r="G992" s="117" t="n">
        <v>3990</v>
      </c>
      <c r="H992" s="117" t="n">
        <v>5</v>
      </c>
      <c r="I992" s="393" t="n">
        <v>43385.59930555556</v>
      </c>
      <c r="J992" s="3" t="s">
        <v>152</v>
      </c>
      <c r="K992" s="171">
        <f>VLOOKUP(D992,Base!D:E,2,0)</f>
        <v/>
      </c>
    </row>
    <row customHeight="1" ht="15" r="993" s="183" spans="1:15">
      <c r="A993" s="37">
        <f>E993</f>
        <v/>
      </c>
      <c r="B993" s="117" t="s">
        <v>162</v>
      </c>
      <c r="C993" s="117" t="s">
        <v>105</v>
      </c>
      <c r="D993" s="117" t="s">
        <v>135</v>
      </c>
      <c r="E993" s="124" t="s">
        <v>164</v>
      </c>
      <c r="F993" s="124" t="s">
        <v>165</v>
      </c>
      <c r="G993" s="117" t="n">
        <v>3990</v>
      </c>
      <c r="H993" s="117" t="n">
        <v>5</v>
      </c>
      <c r="I993" s="393" t="n">
        <v>43385.59930555556</v>
      </c>
      <c r="J993" s="3" t="s">
        <v>152</v>
      </c>
      <c r="K993" s="171">
        <f>VLOOKUP(D993,Base!D:E,2,0)</f>
        <v/>
      </c>
    </row>
    <row customHeight="1" ht="15" r="994" s="183" spans="1:15">
      <c r="A994" s="37">
        <f>E994</f>
        <v/>
      </c>
      <c r="B994" s="117" t="s">
        <v>162</v>
      </c>
      <c r="C994" s="117" t="s">
        <v>105</v>
      </c>
      <c r="D994" s="117" t="s">
        <v>136</v>
      </c>
      <c r="E994" s="124" t="s">
        <v>164</v>
      </c>
      <c r="F994" s="124" t="s">
        <v>165</v>
      </c>
      <c r="G994" s="117" t="n">
        <v>3990</v>
      </c>
      <c r="H994" s="117" t="n">
        <v>5</v>
      </c>
      <c r="I994" s="393" t="n">
        <v>43385.59930555556</v>
      </c>
      <c r="J994" s="3" t="s">
        <v>152</v>
      </c>
      <c r="K994" s="171">
        <f>VLOOKUP(D994,Base!D:E,2,0)</f>
        <v/>
      </c>
    </row>
    <row customHeight="1" ht="15" r="995" s="183" spans="1:15">
      <c r="A995" s="37">
        <f>E995</f>
        <v/>
      </c>
      <c r="B995" s="117" t="s">
        <v>162</v>
      </c>
      <c r="C995" s="117" t="s">
        <v>105</v>
      </c>
      <c r="D995" s="117" t="s">
        <v>137</v>
      </c>
      <c r="E995" s="124" t="s">
        <v>164</v>
      </c>
      <c r="F995" s="124" t="s">
        <v>165</v>
      </c>
      <c r="G995" s="117" t="n">
        <v>3990</v>
      </c>
      <c r="H995" s="117" t="n">
        <v>5</v>
      </c>
      <c r="I995" s="393" t="n">
        <v>43385.59930555556</v>
      </c>
      <c r="J995" s="3" t="s">
        <v>152</v>
      </c>
      <c r="K995" s="171">
        <f>VLOOKUP(D995,Base!D:E,2,0)</f>
        <v/>
      </c>
    </row>
    <row customHeight="1" ht="15" r="996" s="183" spans="1:15">
      <c r="A996" s="37">
        <f>E996</f>
        <v/>
      </c>
      <c r="B996" s="117" t="s">
        <v>162</v>
      </c>
      <c r="C996" s="117" t="s">
        <v>105</v>
      </c>
      <c r="D996" s="117" t="s">
        <v>138</v>
      </c>
      <c r="E996" s="124" t="s">
        <v>164</v>
      </c>
      <c r="F996" s="124" t="s">
        <v>165</v>
      </c>
      <c r="G996" s="117" t="n">
        <v>3990</v>
      </c>
      <c r="H996" s="117" t="n">
        <v>5</v>
      </c>
      <c r="I996" s="393" t="n">
        <v>43385.59930555556</v>
      </c>
      <c r="J996" s="3" t="s">
        <v>152</v>
      </c>
      <c r="K996" s="171">
        <f>VLOOKUP(D996,Base!D:E,2,0)</f>
        <v/>
      </c>
    </row>
    <row customHeight="1" ht="15" r="997" s="183" spans="1:15">
      <c r="A997" s="37">
        <f>E997</f>
        <v/>
      </c>
      <c r="B997" s="117" t="s">
        <v>162</v>
      </c>
      <c r="C997" s="117" t="s">
        <v>105</v>
      </c>
      <c r="D997" s="117" t="s">
        <v>139</v>
      </c>
      <c r="E997" s="124" t="s">
        <v>164</v>
      </c>
      <c r="F997" s="124" t="s">
        <v>165</v>
      </c>
      <c r="G997" s="117" t="n">
        <v>3990</v>
      </c>
      <c r="H997" s="117" t="n">
        <v>5</v>
      </c>
      <c r="I997" s="393" t="n">
        <v>43385.59930555556</v>
      </c>
      <c r="J997" s="3" t="s">
        <v>152</v>
      </c>
      <c r="K997" s="171">
        <f>VLOOKUP(D997,Base!D:E,2,0)</f>
        <v/>
      </c>
    </row>
    <row customHeight="1" ht="15" r="998" s="183" spans="1:15">
      <c r="A998" s="37">
        <f>E998</f>
        <v/>
      </c>
      <c r="B998" s="117" t="s">
        <v>162</v>
      </c>
      <c r="C998" s="117" t="s">
        <v>105</v>
      </c>
      <c r="D998" s="117" t="s">
        <v>140</v>
      </c>
      <c r="E998" s="124" t="s">
        <v>164</v>
      </c>
      <c r="F998" s="124" t="s">
        <v>165</v>
      </c>
      <c r="G998" s="117" t="n">
        <v>3990</v>
      </c>
      <c r="H998" s="117" t="n">
        <v>4</v>
      </c>
      <c r="I998" s="393" t="n">
        <v>43385.59930555556</v>
      </c>
      <c r="J998" s="3" t="s">
        <v>152</v>
      </c>
      <c r="K998" s="171">
        <f>VLOOKUP(D998,Base!D:E,2,0)</f>
        <v/>
      </c>
    </row>
    <row customHeight="1" ht="15" r="999" s="183" spans="1:15">
      <c r="A999" s="37">
        <f>E999</f>
        <v/>
      </c>
      <c r="B999" s="117" t="s">
        <v>162</v>
      </c>
      <c r="C999" s="117" t="s">
        <v>105</v>
      </c>
      <c r="D999" s="117" t="s">
        <v>141</v>
      </c>
      <c r="E999" s="124" t="s">
        <v>164</v>
      </c>
      <c r="F999" s="124" t="s">
        <v>165</v>
      </c>
      <c r="G999" s="117" t="n">
        <v>3990</v>
      </c>
      <c r="H999" s="117" t="n">
        <v>5</v>
      </c>
      <c r="I999" s="393" t="n">
        <v>43385.59930555556</v>
      </c>
      <c r="J999" s="3" t="s">
        <v>152</v>
      </c>
      <c r="K999" s="171">
        <f>VLOOKUP(D999,Base!D:E,2,0)</f>
        <v/>
      </c>
    </row>
    <row customHeight="1" ht="15" r="1000" s="183" spans="1:15">
      <c r="A1000" s="37">
        <f>E1000</f>
        <v/>
      </c>
      <c r="B1000" s="117" t="s">
        <v>162</v>
      </c>
      <c r="C1000" s="117" t="s">
        <v>105</v>
      </c>
      <c r="D1000" s="117" t="s">
        <v>142</v>
      </c>
      <c r="E1000" s="124" t="s">
        <v>164</v>
      </c>
      <c r="F1000" s="124" t="s">
        <v>165</v>
      </c>
      <c r="G1000" s="117" t="n">
        <v>4490</v>
      </c>
      <c r="H1000" s="117" t="n">
        <v>4</v>
      </c>
      <c r="I1000" s="393" t="n">
        <v>43385.59930555556</v>
      </c>
      <c r="J1000" s="3" t="s">
        <v>152</v>
      </c>
      <c r="K1000" s="171">
        <f>VLOOKUP(D1000,Base!D:E,2,0)</f>
        <v/>
      </c>
    </row>
    <row customHeight="1" ht="15" r="1001" s="183" spans="1:15">
      <c r="A1001" s="37">
        <f>E1001</f>
        <v/>
      </c>
      <c r="B1001" s="117" t="s">
        <v>162</v>
      </c>
      <c r="C1001" s="117" t="s">
        <v>105</v>
      </c>
      <c r="D1001" s="117" t="s">
        <v>143</v>
      </c>
      <c r="E1001" s="124" t="s">
        <v>164</v>
      </c>
      <c r="F1001" s="124" t="s">
        <v>165</v>
      </c>
      <c r="G1001" s="117" t="n">
        <v>4490</v>
      </c>
      <c r="H1001" s="117" t="n">
        <v>4</v>
      </c>
      <c r="I1001" s="393" t="n">
        <v>43385.59861111111</v>
      </c>
      <c r="J1001" s="3" t="s">
        <v>152</v>
      </c>
      <c r="K1001" s="171">
        <f>VLOOKUP(D1001,Base!D:E,2,0)</f>
        <v/>
      </c>
    </row>
    <row customHeight="1" ht="15" r="1002" s="183" spans="1:15">
      <c r="A1002" s="37">
        <f>E1002</f>
        <v/>
      </c>
      <c r="B1002" s="117" t="s">
        <v>162</v>
      </c>
      <c r="C1002" s="117" t="s">
        <v>105</v>
      </c>
      <c r="D1002" s="117" t="s">
        <v>144</v>
      </c>
      <c r="E1002" s="124" t="s">
        <v>164</v>
      </c>
      <c r="F1002" s="124" t="s">
        <v>165</v>
      </c>
      <c r="G1002" s="117" t="n">
        <v>4490</v>
      </c>
      <c r="H1002" s="117" t="n">
        <v>5</v>
      </c>
      <c r="I1002" s="393" t="n">
        <v>43385.59930555556</v>
      </c>
      <c r="J1002" s="3" t="s">
        <v>152</v>
      </c>
      <c r="K1002" s="171">
        <f>VLOOKUP(D1002,Base!D:E,2,0)</f>
        <v/>
      </c>
    </row>
    <row customHeight="1" ht="15" r="1003" s="183" spans="1:15">
      <c r="A1003" s="37">
        <f>E1003</f>
        <v/>
      </c>
      <c r="B1003" s="117" t="s">
        <v>162</v>
      </c>
      <c r="C1003" s="117" t="s">
        <v>105</v>
      </c>
      <c r="D1003" s="117" t="s">
        <v>145</v>
      </c>
      <c r="E1003" s="124" t="s">
        <v>164</v>
      </c>
      <c r="F1003" s="124" t="s">
        <v>165</v>
      </c>
      <c r="G1003" s="117" t="n">
        <v>3990</v>
      </c>
      <c r="H1003" s="117" t="n">
        <v>5</v>
      </c>
      <c r="I1003" s="393" t="n">
        <v>43385.59930555556</v>
      </c>
      <c r="J1003" s="3" t="s">
        <v>152</v>
      </c>
      <c r="K1003" s="171">
        <f>VLOOKUP(D1003,Base!D:E,2,0)</f>
        <v/>
      </c>
    </row>
    <row customHeight="1" ht="15" r="1004" s="183" spans="1:15">
      <c r="A1004" s="37">
        <f>E1004</f>
        <v/>
      </c>
      <c r="B1004" s="117" t="s">
        <v>162</v>
      </c>
      <c r="C1004" s="117" t="s">
        <v>105</v>
      </c>
      <c r="D1004" s="117" t="s">
        <v>146</v>
      </c>
      <c r="E1004" s="124" t="s">
        <v>164</v>
      </c>
      <c r="F1004" s="124" t="s">
        <v>165</v>
      </c>
      <c r="G1004" s="117" t="n">
        <v>5350</v>
      </c>
      <c r="H1004" s="117" t="n">
        <v>6</v>
      </c>
      <c r="I1004" s="393" t="n">
        <v>43385.59930555556</v>
      </c>
      <c r="J1004" s="3" t="s">
        <v>152</v>
      </c>
      <c r="K1004" s="171">
        <f>VLOOKUP(D1004,Base!D:E,2,0)</f>
        <v/>
      </c>
    </row>
    <row customHeight="1" ht="15" r="1005" s="183" spans="1:15">
      <c r="A1005" s="37">
        <f>E1005</f>
        <v/>
      </c>
      <c r="B1005" s="117" t="s">
        <v>162</v>
      </c>
      <c r="C1005" s="117" t="s">
        <v>105</v>
      </c>
      <c r="D1005" s="117" t="s">
        <v>147</v>
      </c>
      <c r="E1005" s="124" t="s">
        <v>164</v>
      </c>
      <c r="F1005" s="124" t="s">
        <v>165</v>
      </c>
      <c r="G1005" s="117" t="n">
        <v>3990</v>
      </c>
      <c r="H1005" s="117" t="n">
        <v>4</v>
      </c>
      <c r="I1005" s="393" t="n">
        <v>43385.59930555556</v>
      </c>
      <c r="J1005" s="3" t="s">
        <v>152</v>
      </c>
      <c r="K1005" s="171">
        <f>VLOOKUP(D1005,Base!D:E,2,0)</f>
        <v/>
      </c>
    </row>
    <row customHeight="1" ht="15" r="1006" s="183" spans="1:15">
      <c r="A1006" s="37">
        <f>E1006</f>
        <v/>
      </c>
      <c r="B1006" s="117" t="s">
        <v>162</v>
      </c>
      <c r="C1006" s="117" t="s">
        <v>36</v>
      </c>
      <c r="D1006" s="117" t="s">
        <v>37</v>
      </c>
      <c r="E1006" s="117" t="s">
        <v>166</v>
      </c>
      <c r="F1006" s="124" t="s">
        <v>167</v>
      </c>
      <c r="G1006" s="117" t="n">
        <v>29990</v>
      </c>
      <c r="H1006" s="117" t="n">
        <v>36</v>
      </c>
      <c r="I1006" s="393" t="n">
        <v>43385.59861111111</v>
      </c>
      <c r="J1006" s="3" t="s">
        <v>154</v>
      </c>
      <c r="K1006" s="171">
        <f>VLOOKUP(D1006,Base!D:E,2,0)</f>
        <v/>
      </c>
    </row>
    <row customHeight="1" ht="15" r="1007" s="183" spans="1:15">
      <c r="A1007" s="37">
        <f>E1007</f>
        <v/>
      </c>
      <c r="B1007" s="117" t="s">
        <v>162</v>
      </c>
      <c r="C1007" s="117" t="s">
        <v>36</v>
      </c>
      <c r="D1007" s="117" t="s">
        <v>42</v>
      </c>
      <c r="E1007" s="117" t="s">
        <v>166</v>
      </c>
      <c r="F1007" s="124" t="s">
        <v>167</v>
      </c>
      <c r="G1007" s="117" t="n">
        <v>23990</v>
      </c>
      <c r="H1007" s="117" t="n">
        <v>36</v>
      </c>
      <c r="I1007" s="393" t="n">
        <v>43385.59861111111</v>
      </c>
      <c r="J1007" s="3" t="s">
        <v>154</v>
      </c>
      <c r="K1007" s="171">
        <f>VLOOKUP(D1007,Base!D:E,2,0)</f>
        <v/>
      </c>
    </row>
    <row customHeight="1" ht="15" r="1008" s="183" spans="1:15">
      <c r="A1008" s="37">
        <f>E1008</f>
        <v/>
      </c>
      <c r="B1008" s="117" t="s">
        <v>162</v>
      </c>
      <c r="C1008" s="117" t="s">
        <v>44</v>
      </c>
      <c r="D1008" s="117" t="s">
        <v>45</v>
      </c>
      <c r="E1008" s="117" t="s">
        <v>166</v>
      </c>
      <c r="F1008" s="124" t="s">
        <v>167</v>
      </c>
      <c r="G1008" s="117" t="n">
        <v>28990</v>
      </c>
      <c r="H1008" s="117" t="n">
        <v>31</v>
      </c>
      <c r="I1008" s="393" t="n">
        <v>43385.59930555556</v>
      </c>
      <c r="J1008" s="3" t="s">
        <v>154</v>
      </c>
      <c r="K1008" s="171">
        <f>VLOOKUP(D1008,Base!D:E,2,0)</f>
        <v/>
      </c>
    </row>
    <row customHeight="1" ht="15" r="1009" s="183" spans="1:15">
      <c r="A1009" s="37">
        <f>E1009</f>
        <v/>
      </c>
      <c r="B1009" s="117" t="s">
        <v>162</v>
      </c>
      <c r="C1009" s="117" t="s">
        <v>46</v>
      </c>
      <c r="D1009" s="117" t="s">
        <v>47</v>
      </c>
      <c r="E1009" s="117" t="s">
        <v>166</v>
      </c>
      <c r="F1009" s="124" t="s">
        <v>167</v>
      </c>
      <c r="G1009" s="117" t="n">
        <v>25990</v>
      </c>
      <c r="H1009" s="117" t="n">
        <v>36</v>
      </c>
      <c r="I1009" s="393" t="n">
        <v>43385.59861111111</v>
      </c>
      <c r="J1009" s="3" t="s">
        <v>154</v>
      </c>
      <c r="K1009" s="171">
        <f>VLOOKUP(D1009,Base!D:E,2,0)</f>
        <v/>
      </c>
    </row>
    <row customHeight="1" ht="15" r="1010" s="183" spans="1:15">
      <c r="A1010" s="37">
        <f>E1010</f>
        <v/>
      </c>
      <c r="B1010" s="117" t="s">
        <v>162</v>
      </c>
      <c r="C1010" s="117" t="s">
        <v>46</v>
      </c>
      <c r="D1010" s="117" t="s">
        <v>48</v>
      </c>
      <c r="E1010" s="117" t="s">
        <v>166</v>
      </c>
      <c r="F1010" s="124" t="s">
        <v>167</v>
      </c>
      <c r="G1010" s="117" t="n">
        <v>22990</v>
      </c>
      <c r="H1010" s="117" t="n">
        <v>36</v>
      </c>
      <c r="I1010" s="393" t="n">
        <v>43385.59930555556</v>
      </c>
      <c r="J1010" s="3" t="s">
        <v>154</v>
      </c>
      <c r="K1010" s="171">
        <f>VLOOKUP(D1010,Base!D:E,2,0)</f>
        <v/>
      </c>
    </row>
    <row customHeight="1" ht="15" r="1011" s="183" spans="1:15">
      <c r="A1011" s="37">
        <f>E1011</f>
        <v/>
      </c>
      <c r="B1011" s="117" t="s">
        <v>162</v>
      </c>
      <c r="C1011" s="117" t="s">
        <v>49</v>
      </c>
      <c r="D1011" s="117" t="s">
        <v>50</v>
      </c>
      <c r="E1011" s="117" t="s">
        <v>166</v>
      </c>
      <c r="F1011" s="124" t="s">
        <v>167</v>
      </c>
      <c r="G1011" s="117" t="n">
        <v>97500</v>
      </c>
      <c r="H1011" s="117" t="n">
        <v>14</v>
      </c>
      <c r="I1011" s="393" t="n">
        <v>43385.59930555556</v>
      </c>
      <c r="J1011" s="3" t="s">
        <v>154</v>
      </c>
      <c r="K1011" s="171">
        <f>VLOOKUP(D1011,Base!D:E,2,0)</f>
        <v/>
      </c>
    </row>
    <row customHeight="1" ht="15" r="1012" s="183" spans="1:15">
      <c r="A1012" s="37">
        <f>E1012</f>
        <v/>
      </c>
      <c r="B1012" s="117" t="s">
        <v>162</v>
      </c>
      <c r="C1012" s="117" t="s">
        <v>51</v>
      </c>
      <c r="D1012" s="117" t="s">
        <v>52</v>
      </c>
      <c r="E1012" s="117" t="s">
        <v>166</v>
      </c>
      <c r="F1012" s="124" t="s">
        <v>167</v>
      </c>
      <c r="G1012" s="117" t="n">
        <v>18490</v>
      </c>
      <c r="H1012" s="117" t="n">
        <v>22</v>
      </c>
      <c r="I1012" s="393" t="n">
        <v>43385.59861111111</v>
      </c>
      <c r="J1012" s="3" t="s">
        <v>154</v>
      </c>
      <c r="K1012" s="171">
        <f>VLOOKUP(D1012,Base!D:E,2,0)</f>
        <v/>
      </c>
    </row>
    <row customHeight="1" ht="15" r="1013" s="183" spans="1:15">
      <c r="A1013" s="37">
        <f>E1013</f>
        <v/>
      </c>
      <c r="B1013" s="117" t="s">
        <v>162</v>
      </c>
      <c r="C1013" s="117" t="s">
        <v>51</v>
      </c>
      <c r="D1013" s="117" t="s">
        <v>53</v>
      </c>
      <c r="E1013" s="117" t="s">
        <v>166</v>
      </c>
      <c r="F1013" s="124" t="s">
        <v>167</v>
      </c>
      <c r="G1013" s="117" t="n">
        <v>19000</v>
      </c>
      <c r="H1013" s="117" t="n">
        <v>25</v>
      </c>
      <c r="I1013" s="393" t="n">
        <v>43385.59930555556</v>
      </c>
      <c r="J1013" s="3" t="s">
        <v>154</v>
      </c>
      <c r="K1013" s="171">
        <f>VLOOKUP(D1013,Base!D:E,2,0)</f>
        <v/>
      </c>
    </row>
    <row customHeight="1" ht="15" r="1014" s="183" spans="1:15">
      <c r="A1014" s="37">
        <f>E1014</f>
        <v/>
      </c>
      <c r="B1014" s="117" t="s">
        <v>162</v>
      </c>
      <c r="C1014" s="117" t="s">
        <v>51</v>
      </c>
      <c r="D1014" s="117" t="s">
        <v>54</v>
      </c>
      <c r="E1014" s="117" t="s">
        <v>166</v>
      </c>
      <c r="F1014" s="124" t="s">
        <v>167</v>
      </c>
      <c r="G1014" s="117" t="n">
        <v>16500</v>
      </c>
      <c r="H1014" s="117" t="n">
        <v>22</v>
      </c>
      <c r="I1014" s="393" t="n">
        <v>43385.59861111111</v>
      </c>
      <c r="J1014" s="3" t="s">
        <v>154</v>
      </c>
      <c r="K1014" s="171">
        <f>VLOOKUP(D1014,Base!D:E,2,0)</f>
        <v/>
      </c>
    </row>
    <row customHeight="1" ht="15" r="1015" s="183" spans="1:15">
      <c r="A1015" s="37">
        <f>E1015</f>
        <v/>
      </c>
      <c r="B1015" s="117" t="s">
        <v>162</v>
      </c>
      <c r="C1015" s="117" t="s">
        <v>51</v>
      </c>
      <c r="D1015" s="117" t="s">
        <v>55</v>
      </c>
      <c r="E1015" s="117" t="s">
        <v>166</v>
      </c>
      <c r="F1015" s="124" t="s">
        <v>167</v>
      </c>
      <c r="G1015" s="117" t="n">
        <v>19000</v>
      </c>
      <c r="H1015" s="117" t="n">
        <v>22</v>
      </c>
      <c r="I1015" s="393" t="n">
        <v>43385.59930555556</v>
      </c>
      <c r="J1015" s="3" t="s">
        <v>154</v>
      </c>
      <c r="K1015" s="171">
        <f>VLOOKUP(D1015,Base!D:E,2,0)</f>
        <v/>
      </c>
    </row>
    <row customHeight="1" ht="15" r="1016" s="183" spans="1:15">
      <c r="A1016" s="37">
        <f>E1016</f>
        <v/>
      </c>
      <c r="B1016" s="117" t="s">
        <v>162</v>
      </c>
      <c r="C1016" s="117" t="s">
        <v>51</v>
      </c>
      <c r="D1016" s="117" t="s">
        <v>56</v>
      </c>
      <c r="E1016" s="117" t="s">
        <v>166</v>
      </c>
      <c r="F1016" s="124" t="s">
        <v>167</v>
      </c>
      <c r="G1016" s="117" t="n">
        <v>19000</v>
      </c>
      <c r="H1016" s="117" t="n">
        <v>22</v>
      </c>
      <c r="I1016" s="393" t="n">
        <v>43385.59930555556</v>
      </c>
      <c r="J1016" s="3" t="s">
        <v>154</v>
      </c>
      <c r="K1016" s="171">
        <f>VLOOKUP(D1016,Base!D:E,2,0)</f>
        <v/>
      </c>
    </row>
    <row customHeight="1" ht="15" r="1017" s="183" spans="1:15">
      <c r="A1017" s="37">
        <f>E1017</f>
        <v/>
      </c>
      <c r="B1017" s="117" t="s">
        <v>162</v>
      </c>
      <c r="C1017" s="117" t="s">
        <v>51</v>
      </c>
      <c r="D1017" s="117" t="s">
        <v>57</v>
      </c>
      <c r="E1017" s="117" t="s">
        <v>166</v>
      </c>
      <c r="F1017" s="124" t="s">
        <v>167</v>
      </c>
      <c r="G1017" s="117" t="n">
        <v>19000</v>
      </c>
      <c r="H1017" s="117" t="n">
        <v>25</v>
      </c>
      <c r="I1017" s="393" t="n">
        <v>43385.59930555556</v>
      </c>
      <c r="J1017" s="3" t="s">
        <v>154</v>
      </c>
      <c r="K1017" s="171">
        <f>VLOOKUP(D1017,Base!D:E,2,0)</f>
        <v/>
      </c>
    </row>
    <row customHeight="1" ht="15" r="1018" s="183" spans="1:15">
      <c r="A1018" s="37">
        <f>E1018</f>
        <v/>
      </c>
      <c r="B1018" s="117" t="s">
        <v>162</v>
      </c>
      <c r="C1018" s="117" t="s">
        <v>58</v>
      </c>
      <c r="D1018" s="117" t="s">
        <v>60</v>
      </c>
      <c r="E1018" s="117" t="s">
        <v>166</v>
      </c>
      <c r="F1018" s="124" t="s">
        <v>167</v>
      </c>
      <c r="G1018" s="117" t="n">
        <v>13550</v>
      </c>
      <c r="H1018" s="117" t="n">
        <v>24</v>
      </c>
      <c r="I1018" s="393" t="n">
        <v>43385.59930555556</v>
      </c>
      <c r="J1018" s="3" t="s">
        <v>154</v>
      </c>
      <c r="K1018" s="171">
        <f>VLOOKUP(D1018,Base!D:E,2,0)</f>
        <v/>
      </c>
    </row>
    <row customHeight="1" ht="15" r="1019" s="183" spans="1:15">
      <c r="A1019" s="37">
        <f>E1019</f>
        <v/>
      </c>
      <c r="B1019" s="117" t="s">
        <v>162</v>
      </c>
      <c r="C1019" s="117" t="s">
        <v>58</v>
      </c>
      <c r="D1019" s="117" t="s">
        <v>61</v>
      </c>
      <c r="E1019" s="117" t="s">
        <v>166</v>
      </c>
      <c r="F1019" s="124" t="s">
        <v>167</v>
      </c>
      <c r="G1019" s="117" t="n">
        <v>15990</v>
      </c>
      <c r="H1019" s="117" t="n">
        <v>22</v>
      </c>
      <c r="I1019" s="393" t="n">
        <v>43385.59861111111</v>
      </c>
      <c r="J1019" s="3" t="s">
        <v>154</v>
      </c>
      <c r="K1019" s="171">
        <f>VLOOKUP(D1019,Base!D:E,2,0)</f>
        <v/>
      </c>
    </row>
    <row customHeight="1" ht="15" r="1020" s="183" spans="1:15">
      <c r="A1020" s="37">
        <f>E1020</f>
        <v/>
      </c>
      <c r="B1020" s="117" t="s">
        <v>162</v>
      </c>
      <c r="C1020" s="117" t="s">
        <v>58</v>
      </c>
      <c r="D1020" s="117" t="s">
        <v>62</v>
      </c>
      <c r="E1020" s="117" t="s">
        <v>166</v>
      </c>
      <c r="F1020" s="124" t="s">
        <v>167</v>
      </c>
      <c r="G1020" s="117" t="n">
        <v>13550</v>
      </c>
      <c r="H1020" s="117" t="n">
        <v>24</v>
      </c>
      <c r="I1020" s="393" t="n">
        <v>43385.59930555556</v>
      </c>
      <c r="J1020" s="3" t="s">
        <v>154</v>
      </c>
      <c r="K1020" s="171">
        <f>VLOOKUP(D1020,Base!D:E,2,0)</f>
        <v/>
      </c>
    </row>
    <row customHeight="1" ht="15" r="1021" s="183" spans="1:15">
      <c r="A1021" s="37">
        <f>E1021</f>
        <v/>
      </c>
      <c r="B1021" s="117" t="s">
        <v>162</v>
      </c>
      <c r="C1021" s="117" t="s">
        <v>63</v>
      </c>
      <c r="D1021" s="117" t="s">
        <v>64</v>
      </c>
      <c r="E1021" s="117" t="s">
        <v>166</v>
      </c>
      <c r="F1021" s="124" t="s">
        <v>167</v>
      </c>
      <c r="G1021" s="117" t="n">
        <v>11990</v>
      </c>
      <c r="H1021" s="117" t="n">
        <v>25</v>
      </c>
      <c r="I1021" s="393" t="n">
        <v>43385.59930555556</v>
      </c>
      <c r="J1021" s="3" t="s">
        <v>154</v>
      </c>
      <c r="K1021" s="171">
        <f>VLOOKUP(D1021,Base!D:E,2,0)</f>
        <v/>
      </c>
    </row>
    <row customHeight="1" ht="15" r="1022" s="183" spans="1:15">
      <c r="A1022" s="37">
        <f>E1022</f>
        <v/>
      </c>
      <c r="B1022" s="117" t="s">
        <v>162</v>
      </c>
      <c r="C1022" s="117" t="s">
        <v>63</v>
      </c>
      <c r="D1022" s="117" t="s">
        <v>65</v>
      </c>
      <c r="E1022" s="117" t="s">
        <v>166</v>
      </c>
      <c r="F1022" s="124" t="s">
        <v>167</v>
      </c>
      <c r="G1022" s="117" t="n">
        <v>13550</v>
      </c>
      <c r="H1022" s="117" t="n">
        <v>22</v>
      </c>
      <c r="I1022" s="393" t="n">
        <v>43385.59861111111</v>
      </c>
      <c r="J1022" s="3" t="s">
        <v>154</v>
      </c>
      <c r="K1022" s="171">
        <f>VLOOKUP(D1022,Base!D:E,2,0)</f>
        <v/>
      </c>
    </row>
    <row customHeight="1" ht="15" r="1023" s="183" spans="1:15">
      <c r="A1023" s="37">
        <f>E1023</f>
        <v/>
      </c>
      <c r="B1023" s="117" t="s">
        <v>162</v>
      </c>
      <c r="C1023" s="117" t="s">
        <v>63</v>
      </c>
      <c r="D1023" s="117" t="s">
        <v>66</v>
      </c>
      <c r="E1023" s="117" t="s">
        <v>166</v>
      </c>
      <c r="F1023" s="124" t="s">
        <v>167</v>
      </c>
      <c r="G1023" s="117" t="n">
        <v>19990</v>
      </c>
      <c r="H1023" s="117" t="n">
        <v>19</v>
      </c>
      <c r="I1023" s="393" t="n">
        <v>43385.59861111111</v>
      </c>
      <c r="J1023" s="3" t="s">
        <v>154</v>
      </c>
      <c r="K1023" s="171">
        <f>VLOOKUP(D1023,Base!D:E,2,0)</f>
        <v/>
      </c>
    </row>
    <row customHeight="1" ht="15" r="1024" s="183" spans="1:15">
      <c r="A1024" s="37">
        <f>E1024</f>
        <v/>
      </c>
      <c r="B1024" s="117" t="s">
        <v>162</v>
      </c>
      <c r="C1024" s="117" t="s">
        <v>63</v>
      </c>
      <c r="D1024" s="117" t="s">
        <v>67</v>
      </c>
      <c r="E1024" s="117" t="s">
        <v>166</v>
      </c>
      <c r="F1024" s="124" t="s">
        <v>167</v>
      </c>
      <c r="G1024" s="117" t="n">
        <v>11550</v>
      </c>
      <c r="H1024" s="117" t="n">
        <v>19</v>
      </c>
      <c r="I1024" s="393" t="n">
        <v>43385.59930555556</v>
      </c>
      <c r="J1024" s="3" t="s">
        <v>154</v>
      </c>
      <c r="K1024" s="171">
        <f>VLOOKUP(D1024,Base!D:E,2,0)</f>
        <v/>
      </c>
    </row>
    <row customHeight="1" ht="15" r="1025" s="183" spans="1:15">
      <c r="A1025" s="37">
        <f>E1025</f>
        <v/>
      </c>
      <c r="B1025" s="117" t="s">
        <v>162</v>
      </c>
      <c r="C1025" s="117" t="s">
        <v>68</v>
      </c>
      <c r="D1025" s="117" t="s">
        <v>69</v>
      </c>
      <c r="E1025" s="117" t="s">
        <v>166</v>
      </c>
      <c r="F1025" s="124" t="s">
        <v>167</v>
      </c>
      <c r="G1025" s="117" t="n">
        <v>15650</v>
      </c>
      <c r="H1025" s="117" t="n">
        <v>10</v>
      </c>
      <c r="I1025" s="393" t="n">
        <v>43385.59930555556</v>
      </c>
      <c r="J1025" s="3" t="s">
        <v>154</v>
      </c>
      <c r="K1025" s="171">
        <f>VLOOKUP(D1025,Base!D:E,2,0)</f>
        <v/>
      </c>
    </row>
    <row customHeight="1" ht="15" r="1026" s="183" spans="1:15">
      <c r="A1026" s="37">
        <f>E1026</f>
        <v/>
      </c>
      <c r="B1026" s="117" t="s">
        <v>162</v>
      </c>
      <c r="C1026" s="117" t="s">
        <v>68</v>
      </c>
      <c r="D1026" s="117" t="s">
        <v>70</v>
      </c>
      <c r="E1026" s="117" t="s">
        <v>166</v>
      </c>
      <c r="F1026" s="124" t="s">
        <v>167</v>
      </c>
      <c r="G1026" s="117" t="n">
        <v>21990</v>
      </c>
      <c r="H1026" s="117" t="n">
        <v>10</v>
      </c>
      <c r="I1026" s="393" t="n">
        <v>43385.59930555556</v>
      </c>
      <c r="J1026" s="3" t="s">
        <v>154</v>
      </c>
      <c r="K1026" s="171">
        <f>VLOOKUP(D1026,Base!D:E,2,0)</f>
        <v/>
      </c>
    </row>
    <row customHeight="1" ht="15" r="1027" s="183" spans="1:15">
      <c r="A1027" s="37">
        <f>E1027</f>
        <v/>
      </c>
      <c r="B1027" s="117" t="s">
        <v>162</v>
      </c>
      <c r="C1027" s="117" t="s">
        <v>71</v>
      </c>
      <c r="D1027" s="117" t="s">
        <v>72</v>
      </c>
      <c r="E1027" s="117" t="s">
        <v>166</v>
      </c>
      <c r="F1027" s="124" t="s">
        <v>167</v>
      </c>
      <c r="G1027" s="117" t="n">
        <v>49990</v>
      </c>
      <c r="H1027" s="117" t="n">
        <v>27</v>
      </c>
      <c r="I1027" s="393" t="n">
        <v>43385.59930555556</v>
      </c>
      <c r="J1027" s="3" t="s">
        <v>154</v>
      </c>
      <c r="K1027" s="171">
        <f>VLOOKUP(D1027,Base!D:E,2,0)</f>
        <v/>
      </c>
    </row>
    <row customHeight="1" ht="15" r="1028" s="183" spans="1:15">
      <c r="A1028" s="37">
        <f>E1028</f>
        <v/>
      </c>
      <c r="B1028" s="117" t="s">
        <v>162</v>
      </c>
      <c r="C1028" s="117" t="s">
        <v>73</v>
      </c>
      <c r="D1028" s="117" t="s">
        <v>74</v>
      </c>
      <c r="E1028" s="117" t="s">
        <v>166</v>
      </c>
      <c r="F1028" s="124" t="s">
        <v>167</v>
      </c>
      <c r="G1028" s="117" t="n">
        <v>29990</v>
      </c>
      <c r="H1028" s="117" t="n">
        <v>34</v>
      </c>
      <c r="I1028" s="393" t="n">
        <v>43385.59930555556</v>
      </c>
      <c r="J1028" s="3" t="s">
        <v>154</v>
      </c>
      <c r="K1028" s="171">
        <f>VLOOKUP(D1028,Base!D:E,2,0)</f>
        <v/>
      </c>
    </row>
    <row customHeight="1" ht="15" r="1029" s="183" spans="1:15">
      <c r="A1029" s="37">
        <f>E1029</f>
        <v/>
      </c>
      <c r="B1029" s="117" t="s">
        <v>162</v>
      </c>
      <c r="C1029" s="117" t="s">
        <v>75</v>
      </c>
      <c r="D1029" s="117" t="s">
        <v>76</v>
      </c>
      <c r="E1029" s="117" t="s">
        <v>166</v>
      </c>
      <c r="F1029" s="124" t="s">
        <v>167</v>
      </c>
      <c r="G1029" s="117" t="n">
        <v>10990</v>
      </c>
      <c r="H1029" s="117" t="n">
        <v>22</v>
      </c>
      <c r="I1029" s="393" t="n">
        <v>43385.59930555556</v>
      </c>
      <c r="J1029" s="3" t="s">
        <v>154</v>
      </c>
      <c r="K1029" s="171">
        <f>VLOOKUP(D1029,Base!D:E,2,0)</f>
        <v/>
      </c>
    </row>
    <row customHeight="1" ht="15" r="1030" s="183" spans="1:15">
      <c r="A1030" s="37">
        <f>E1030</f>
        <v/>
      </c>
      <c r="B1030" s="117" t="s">
        <v>162</v>
      </c>
      <c r="C1030" s="117" t="s">
        <v>75</v>
      </c>
      <c r="D1030" s="117" t="s">
        <v>77</v>
      </c>
      <c r="E1030" s="117" t="s">
        <v>166</v>
      </c>
      <c r="F1030" s="124" t="s">
        <v>167</v>
      </c>
      <c r="G1030" s="117" t="n">
        <v>10990</v>
      </c>
      <c r="H1030" s="117" t="n">
        <v>22</v>
      </c>
      <c r="I1030" s="393" t="n">
        <v>43385.59930555556</v>
      </c>
      <c r="J1030" s="3" t="s">
        <v>154</v>
      </c>
      <c r="K1030" s="171">
        <f>VLOOKUP(D1030,Base!D:E,2,0)</f>
        <v/>
      </c>
    </row>
    <row customHeight="1" ht="15" r="1031" s="183" spans="1:15">
      <c r="A1031" s="37">
        <f>E1031</f>
        <v/>
      </c>
      <c r="B1031" s="117" t="s">
        <v>162</v>
      </c>
      <c r="C1031" s="117" t="s">
        <v>75</v>
      </c>
      <c r="D1031" s="117" t="s">
        <v>78</v>
      </c>
      <c r="E1031" s="117" t="s">
        <v>166</v>
      </c>
      <c r="F1031" s="124" t="s">
        <v>167</v>
      </c>
      <c r="G1031" s="117" t="n">
        <v>11990</v>
      </c>
      <c r="H1031" s="117" t="n">
        <v>22</v>
      </c>
      <c r="I1031" s="393" t="n">
        <v>43385.59930555556</v>
      </c>
      <c r="J1031" s="3" t="s">
        <v>154</v>
      </c>
      <c r="K1031" s="171">
        <f>VLOOKUP(D1031,Base!D:E,2,0)</f>
        <v/>
      </c>
    </row>
    <row customHeight="1" ht="15" r="1032" s="183" spans="1:15">
      <c r="A1032" s="37">
        <f>E1032</f>
        <v/>
      </c>
      <c r="B1032" s="117" t="s">
        <v>162</v>
      </c>
      <c r="C1032" s="117" t="s">
        <v>75</v>
      </c>
      <c r="D1032" s="117" t="s">
        <v>79</v>
      </c>
      <c r="E1032" s="117" t="s">
        <v>166</v>
      </c>
      <c r="F1032" s="124" t="s">
        <v>167</v>
      </c>
      <c r="G1032" s="117" t="n">
        <v>9990</v>
      </c>
      <c r="H1032" s="117" t="n">
        <v>24</v>
      </c>
      <c r="I1032" s="393" t="n">
        <v>43385.59930555556</v>
      </c>
      <c r="J1032" s="3" t="s">
        <v>154</v>
      </c>
      <c r="K1032" s="171">
        <f>VLOOKUP(D1032,Base!D:E,2,0)</f>
        <v/>
      </c>
    </row>
    <row customHeight="1" ht="15" r="1033" s="183" spans="1:15">
      <c r="A1033" s="37">
        <f>E1033</f>
        <v/>
      </c>
      <c r="B1033" s="117" t="s">
        <v>162</v>
      </c>
      <c r="C1033" s="117" t="s">
        <v>75</v>
      </c>
      <c r="D1033" s="117" t="s">
        <v>80</v>
      </c>
      <c r="E1033" s="117" t="s">
        <v>166</v>
      </c>
      <c r="F1033" s="124" t="s">
        <v>167</v>
      </c>
      <c r="G1033" s="117" t="n">
        <v>9990</v>
      </c>
      <c r="H1033" s="117" t="n">
        <v>22</v>
      </c>
      <c r="I1033" s="393" t="n">
        <v>43385.59930555556</v>
      </c>
      <c r="J1033" s="3" t="s">
        <v>154</v>
      </c>
      <c r="K1033" s="171">
        <f>VLOOKUP(D1033,Base!D:E,2,0)</f>
        <v/>
      </c>
    </row>
    <row customHeight="1" ht="15" r="1034" s="183" spans="1:15">
      <c r="A1034" s="37">
        <f>E1034</f>
        <v/>
      </c>
      <c r="B1034" s="117" t="s">
        <v>162</v>
      </c>
      <c r="C1034" s="117" t="s">
        <v>75</v>
      </c>
      <c r="D1034" s="117" t="s">
        <v>81</v>
      </c>
      <c r="E1034" s="117" t="s">
        <v>166</v>
      </c>
      <c r="F1034" s="124" t="s">
        <v>167</v>
      </c>
      <c r="G1034" s="117" t="n">
        <v>10990</v>
      </c>
      <c r="H1034" s="117" t="n">
        <v>5</v>
      </c>
      <c r="I1034" s="393" t="n">
        <v>43385.59930555556</v>
      </c>
      <c r="J1034" s="3" t="s">
        <v>154</v>
      </c>
      <c r="K1034" s="171">
        <f>VLOOKUP(D1034,Base!D:E,2,0)</f>
        <v/>
      </c>
    </row>
    <row customHeight="1" ht="15" r="1035" s="183" spans="1:15">
      <c r="A1035" s="37">
        <f>E1035</f>
        <v/>
      </c>
      <c r="B1035" s="117" t="s">
        <v>162</v>
      </c>
      <c r="C1035" s="117" t="s">
        <v>75</v>
      </c>
      <c r="D1035" s="117" t="s">
        <v>82</v>
      </c>
      <c r="E1035" s="117" t="s">
        <v>166</v>
      </c>
      <c r="F1035" s="124" t="s">
        <v>167</v>
      </c>
      <c r="G1035" s="117" t="n">
        <v>11990</v>
      </c>
      <c r="H1035" s="117" t="n">
        <v>22</v>
      </c>
      <c r="I1035" s="393" t="n">
        <v>43385.59930555556</v>
      </c>
      <c r="J1035" s="3" t="s">
        <v>154</v>
      </c>
      <c r="K1035" s="171">
        <f>VLOOKUP(D1035,Base!D:E,2,0)</f>
        <v/>
      </c>
    </row>
    <row customHeight="1" ht="15" r="1036" s="183" spans="1:15">
      <c r="A1036" s="37">
        <f>E1036</f>
        <v/>
      </c>
      <c r="B1036" s="117" t="s">
        <v>162</v>
      </c>
      <c r="C1036" s="117" t="s">
        <v>75</v>
      </c>
      <c r="D1036" s="117" t="s">
        <v>83</v>
      </c>
      <c r="E1036" s="117" t="s">
        <v>166</v>
      </c>
      <c r="F1036" s="124" t="s">
        <v>167</v>
      </c>
      <c r="G1036" s="117" t="n">
        <v>10990</v>
      </c>
      <c r="H1036" s="117" t="n">
        <v>22</v>
      </c>
      <c r="I1036" s="393" t="n">
        <v>43385.59930555556</v>
      </c>
      <c r="J1036" s="3" t="s">
        <v>154</v>
      </c>
      <c r="K1036" s="171">
        <f>VLOOKUP(D1036,Base!D:E,2,0)</f>
        <v/>
      </c>
    </row>
    <row customHeight="1" ht="15" r="1037" s="183" spans="1:15">
      <c r="A1037" s="37">
        <f>E1037</f>
        <v/>
      </c>
      <c r="B1037" s="117" t="s">
        <v>162</v>
      </c>
      <c r="C1037" s="117" t="s">
        <v>75</v>
      </c>
      <c r="D1037" s="117" t="s">
        <v>84</v>
      </c>
      <c r="E1037" s="117" t="s">
        <v>166</v>
      </c>
      <c r="F1037" s="124" t="s">
        <v>167</v>
      </c>
      <c r="G1037" s="117" t="n">
        <v>9990</v>
      </c>
      <c r="H1037" s="117" t="n">
        <v>22</v>
      </c>
      <c r="I1037" s="393" t="n">
        <v>43385.59930555556</v>
      </c>
      <c r="J1037" s="3" t="s">
        <v>154</v>
      </c>
      <c r="K1037" s="171">
        <f>VLOOKUP(D1037,Base!D:E,2,0)</f>
        <v/>
      </c>
    </row>
    <row customHeight="1" ht="15" r="1038" s="183" spans="1:15">
      <c r="A1038" s="37">
        <f>E1038</f>
        <v/>
      </c>
      <c r="B1038" s="117" t="s">
        <v>162</v>
      </c>
      <c r="C1038" s="117" t="s">
        <v>75</v>
      </c>
      <c r="D1038" s="117" t="s">
        <v>85</v>
      </c>
      <c r="E1038" s="117" t="s">
        <v>166</v>
      </c>
      <c r="F1038" s="124" t="s">
        <v>167</v>
      </c>
      <c r="G1038" s="117" t="n">
        <v>10490</v>
      </c>
      <c r="H1038" s="117" t="n">
        <v>22</v>
      </c>
      <c r="I1038" s="393" t="n">
        <v>43385.59930555556</v>
      </c>
      <c r="J1038" s="3" t="s">
        <v>154</v>
      </c>
      <c r="K1038" s="171">
        <f>VLOOKUP(D1038,Base!D:E,2,0)</f>
        <v/>
      </c>
    </row>
    <row customHeight="1" ht="15" r="1039" s="183" spans="1:15">
      <c r="A1039" s="37">
        <f>E1039</f>
        <v/>
      </c>
      <c r="B1039" s="117" t="s">
        <v>162</v>
      </c>
      <c r="C1039" s="117" t="s">
        <v>86</v>
      </c>
      <c r="D1039" s="117" t="s">
        <v>87</v>
      </c>
      <c r="E1039" s="117" t="s">
        <v>166</v>
      </c>
      <c r="F1039" s="124" t="s">
        <v>167</v>
      </c>
      <c r="G1039" s="117" t="n">
        <v>13990</v>
      </c>
      <c r="H1039" s="117" t="n">
        <v>29</v>
      </c>
      <c r="I1039" s="393" t="n">
        <v>43385.59930555556</v>
      </c>
      <c r="J1039" s="3" t="s">
        <v>154</v>
      </c>
      <c r="K1039" s="171">
        <f>VLOOKUP(D1039,Base!D:E,2,0)</f>
        <v/>
      </c>
    </row>
    <row customHeight="1" ht="15" r="1040" s="183" spans="1:15">
      <c r="A1040" s="37">
        <f>E1040</f>
        <v/>
      </c>
      <c r="B1040" s="117" t="s">
        <v>162</v>
      </c>
      <c r="C1040" s="117" t="s">
        <v>86</v>
      </c>
      <c r="D1040" s="117" t="s">
        <v>88</v>
      </c>
      <c r="E1040" s="117" t="s">
        <v>166</v>
      </c>
      <c r="F1040" s="124" t="s">
        <v>167</v>
      </c>
      <c r="G1040" s="117" t="n">
        <v>14990</v>
      </c>
      <c r="H1040" s="117" t="n">
        <v>28</v>
      </c>
      <c r="I1040" s="393" t="n">
        <v>43385.59930555556</v>
      </c>
      <c r="J1040" s="3" t="s">
        <v>154</v>
      </c>
      <c r="K1040" s="171">
        <f>VLOOKUP(D1040,Base!D:E,2,0)</f>
        <v/>
      </c>
    </row>
    <row customHeight="1" ht="15" r="1041" s="183" spans="1:15">
      <c r="A1041" s="37">
        <f>E1041</f>
        <v/>
      </c>
      <c r="B1041" s="117" t="s">
        <v>162</v>
      </c>
      <c r="C1041" s="117" t="s">
        <v>86</v>
      </c>
      <c r="D1041" s="117" t="s">
        <v>89</v>
      </c>
      <c r="E1041" s="117" t="s">
        <v>166</v>
      </c>
      <c r="F1041" s="124" t="s">
        <v>167</v>
      </c>
      <c r="G1041" s="117" t="n">
        <v>15990</v>
      </c>
      <c r="H1041" s="117" t="n">
        <v>22</v>
      </c>
      <c r="I1041" s="393" t="n">
        <v>43385.59930555556</v>
      </c>
      <c r="J1041" s="3" t="s">
        <v>154</v>
      </c>
      <c r="K1041" s="171">
        <f>VLOOKUP(D1041,Base!D:E,2,0)</f>
        <v/>
      </c>
    </row>
    <row customHeight="1" ht="15" r="1042" s="183" spans="1:15">
      <c r="A1042" s="37">
        <f>E1042</f>
        <v/>
      </c>
      <c r="B1042" s="117" t="s">
        <v>162</v>
      </c>
      <c r="C1042" s="117" t="s">
        <v>86</v>
      </c>
      <c r="D1042" s="117" t="s">
        <v>90</v>
      </c>
      <c r="E1042" s="117" t="s">
        <v>166</v>
      </c>
      <c r="F1042" s="124" t="s">
        <v>167</v>
      </c>
      <c r="G1042" s="117" t="n">
        <v>15990</v>
      </c>
      <c r="H1042" s="117" t="n">
        <v>28</v>
      </c>
      <c r="I1042" s="393" t="n">
        <v>43385.59930555556</v>
      </c>
      <c r="J1042" s="3" t="s">
        <v>154</v>
      </c>
      <c r="K1042" s="171">
        <f>VLOOKUP(D1042,Base!D:E,2,0)</f>
        <v/>
      </c>
    </row>
    <row customHeight="1" ht="15" r="1043" s="183" spans="1:15">
      <c r="A1043" s="37">
        <f>E1043</f>
        <v/>
      </c>
      <c r="B1043" s="117" t="s">
        <v>162</v>
      </c>
      <c r="C1043" s="117" t="s">
        <v>86</v>
      </c>
      <c r="D1043" s="117" t="s">
        <v>91</v>
      </c>
      <c r="E1043" s="117" t="s">
        <v>166</v>
      </c>
      <c r="F1043" s="124" t="s">
        <v>167</v>
      </c>
      <c r="G1043" s="117" t="n">
        <v>14990</v>
      </c>
      <c r="H1043" s="117" t="n">
        <v>28</v>
      </c>
      <c r="I1043" s="393" t="n">
        <v>43385.59930555556</v>
      </c>
      <c r="J1043" s="3" t="s">
        <v>154</v>
      </c>
      <c r="K1043" s="171">
        <f>VLOOKUP(D1043,Base!D:E,2,0)</f>
        <v/>
      </c>
    </row>
    <row customHeight="1" ht="15" r="1044" s="183" spans="1:15">
      <c r="A1044" s="37">
        <f>E1044</f>
        <v/>
      </c>
      <c r="B1044" s="117" t="s">
        <v>162</v>
      </c>
      <c r="C1044" s="117" t="s">
        <v>86</v>
      </c>
      <c r="D1044" s="117" t="s">
        <v>92</v>
      </c>
      <c r="E1044" s="117" t="s">
        <v>166</v>
      </c>
      <c r="F1044" s="124" t="s">
        <v>167</v>
      </c>
      <c r="G1044" s="117" t="n">
        <v>14990</v>
      </c>
      <c r="H1044" s="117" t="n">
        <v>29</v>
      </c>
      <c r="I1044" s="393" t="n">
        <v>43385.59930555556</v>
      </c>
      <c r="J1044" s="3" t="s">
        <v>154</v>
      </c>
      <c r="K1044" s="171">
        <f>VLOOKUP(D1044,Base!D:E,2,0)</f>
        <v/>
      </c>
    </row>
    <row customHeight="1" ht="15" r="1045" s="183" spans="1:15">
      <c r="A1045" s="37">
        <f>E1045</f>
        <v/>
      </c>
      <c r="B1045" s="117" t="s">
        <v>162</v>
      </c>
      <c r="C1045" s="117" t="s">
        <v>86</v>
      </c>
      <c r="D1045" s="117" t="s">
        <v>93</v>
      </c>
      <c r="E1045" s="117" t="s">
        <v>166</v>
      </c>
      <c r="F1045" s="124" t="s">
        <v>167</v>
      </c>
      <c r="G1045" s="117" t="n">
        <v>13990</v>
      </c>
      <c r="H1045" s="117" t="n">
        <v>22</v>
      </c>
      <c r="I1045" s="393" t="n">
        <v>43385.59930555556</v>
      </c>
      <c r="J1045" s="3" t="s">
        <v>154</v>
      </c>
      <c r="K1045" s="171">
        <f>VLOOKUP(D1045,Base!D:E,2,0)</f>
        <v/>
      </c>
    </row>
    <row customHeight="1" ht="15" r="1046" s="183" spans="1:15">
      <c r="A1046" s="37">
        <f>E1046</f>
        <v/>
      </c>
      <c r="B1046" s="117" t="s">
        <v>162</v>
      </c>
      <c r="C1046" s="117" t="s">
        <v>86</v>
      </c>
      <c r="D1046" s="117" t="s">
        <v>94</v>
      </c>
      <c r="E1046" s="117" t="s">
        <v>166</v>
      </c>
      <c r="F1046" s="124" t="s">
        <v>167</v>
      </c>
      <c r="G1046" s="117" t="n">
        <v>15990</v>
      </c>
      <c r="H1046" s="117" t="n">
        <v>28</v>
      </c>
      <c r="I1046" s="393" t="n">
        <v>43385.59930555556</v>
      </c>
      <c r="J1046" s="3" t="s">
        <v>154</v>
      </c>
      <c r="K1046" s="171">
        <f>VLOOKUP(D1046,Base!D:E,2,0)</f>
        <v/>
      </c>
    </row>
    <row customHeight="1" ht="15" r="1047" s="183" spans="1:15">
      <c r="A1047" s="37">
        <f>E1047</f>
        <v/>
      </c>
      <c r="B1047" s="117" t="s">
        <v>162</v>
      </c>
      <c r="C1047" s="117" t="s">
        <v>86</v>
      </c>
      <c r="D1047" s="117" t="s">
        <v>95</v>
      </c>
      <c r="E1047" s="117" t="s">
        <v>166</v>
      </c>
      <c r="F1047" s="124" t="s">
        <v>167</v>
      </c>
      <c r="G1047" s="117" t="n">
        <v>13990</v>
      </c>
      <c r="H1047" s="117" t="n">
        <v>28</v>
      </c>
      <c r="I1047" s="393" t="n">
        <v>43385.59930555556</v>
      </c>
      <c r="J1047" s="3" t="s">
        <v>154</v>
      </c>
      <c r="K1047" s="171">
        <f>VLOOKUP(D1047,Base!D:E,2,0)</f>
        <v/>
      </c>
    </row>
    <row customHeight="1" ht="15" r="1048" s="183" spans="1:15">
      <c r="A1048" s="37">
        <f>E1048</f>
        <v/>
      </c>
      <c r="B1048" s="117" t="s">
        <v>162</v>
      </c>
      <c r="C1048" s="117" t="s">
        <v>96</v>
      </c>
      <c r="D1048" s="117" t="s">
        <v>97</v>
      </c>
      <c r="E1048" s="117" t="s">
        <v>166</v>
      </c>
      <c r="F1048" s="124" t="s">
        <v>167</v>
      </c>
      <c r="G1048" s="117" t="n">
        <v>12990</v>
      </c>
      <c r="H1048" s="117" t="n">
        <v>17</v>
      </c>
      <c r="I1048" s="393" t="n">
        <v>43385.59930555556</v>
      </c>
      <c r="J1048" s="3" t="s">
        <v>154</v>
      </c>
      <c r="K1048" s="171">
        <f>VLOOKUP(D1048,Base!D:E,2,0)</f>
        <v/>
      </c>
    </row>
    <row customHeight="1" ht="15" r="1049" s="183" spans="1:15">
      <c r="A1049" s="37">
        <f>E1049</f>
        <v/>
      </c>
      <c r="B1049" s="117" t="s">
        <v>162</v>
      </c>
      <c r="C1049" s="117" t="s">
        <v>96</v>
      </c>
      <c r="D1049" s="117" t="s">
        <v>98</v>
      </c>
      <c r="E1049" s="117" t="s">
        <v>166</v>
      </c>
      <c r="F1049" s="124" t="s">
        <v>167</v>
      </c>
      <c r="G1049" s="117" t="n">
        <v>10990</v>
      </c>
      <c r="H1049" s="117" t="n">
        <v>17</v>
      </c>
      <c r="I1049" s="393" t="n">
        <v>43385.59861111111</v>
      </c>
      <c r="J1049" s="3" t="s">
        <v>154</v>
      </c>
      <c r="K1049" s="171">
        <f>VLOOKUP(D1049,Base!D:E,2,0)</f>
        <v/>
      </c>
    </row>
    <row customHeight="1" ht="15" r="1050" s="183" spans="1:15">
      <c r="A1050" s="37">
        <f>E1050</f>
        <v/>
      </c>
      <c r="B1050" s="117" t="s">
        <v>162</v>
      </c>
      <c r="C1050" s="117" t="s">
        <v>96</v>
      </c>
      <c r="D1050" s="117" t="s">
        <v>99</v>
      </c>
      <c r="E1050" s="117" t="s">
        <v>166</v>
      </c>
      <c r="F1050" s="124" t="s">
        <v>167</v>
      </c>
      <c r="G1050" s="117" t="n">
        <v>14990</v>
      </c>
      <c r="H1050" s="117" t="n">
        <v>17</v>
      </c>
      <c r="I1050" s="393" t="n">
        <v>43385.59930555556</v>
      </c>
      <c r="J1050" s="3" t="s">
        <v>154</v>
      </c>
      <c r="K1050" s="171">
        <f>VLOOKUP(D1050,Base!D:E,2,0)</f>
        <v/>
      </c>
    </row>
    <row customHeight="1" ht="15" r="1051" s="183" spans="1:15">
      <c r="A1051" s="37">
        <f>E1051</f>
        <v/>
      </c>
      <c r="B1051" s="117" t="s">
        <v>162</v>
      </c>
      <c r="C1051" s="117" t="s">
        <v>96</v>
      </c>
      <c r="D1051" s="117" t="s">
        <v>100</v>
      </c>
      <c r="E1051" s="117" t="s">
        <v>166</v>
      </c>
      <c r="F1051" s="124" t="s">
        <v>167</v>
      </c>
      <c r="G1051" s="117" t="n">
        <v>10990</v>
      </c>
      <c r="H1051" s="117" t="n">
        <v>17</v>
      </c>
      <c r="I1051" s="393" t="n">
        <v>43385.59930555556</v>
      </c>
      <c r="J1051" s="3" t="s">
        <v>154</v>
      </c>
      <c r="K1051" s="171">
        <f>VLOOKUP(D1051,Base!D:E,2,0)</f>
        <v/>
      </c>
    </row>
    <row customHeight="1" ht="15" r="1052" s="183" spans="1:15">
      <c r="A1052" s="37">
        <f>E1052</f>
        <v/>
      </c>
      <c r="B1052" s="117" t="s">
        <v>162</v>
      </c>
      <c r="C1052" s="117" t="s">
        <v>101</v>
      </c>
      <c r="D1052" s="117" t="s">
        <v>102</v>
      </c>
      <c r="E1052" s="117" t="s">
        <v>166</v>
      </c>
      <c r="F1052" s="124" t="s">
        <v>167</v>
      </c>
      <c r="G1052" s="117" t="n">
        <v>12990</v>
      </c>
      <c r="H1052" s="117" t="n">
        <v>22</v>
      </c>
      <c r="I1052" s="393" t="n">
        <v>43385.59930555556</v>
      </c>
      <c r="J1052" s="3" t="s">
        <v>154</v>
      </c>
      <c r="K1052" s="171">
        <f>VLOOKUP(D1052,Base!D:E,2,0)</f>
        <v/>
      </c>
    </row>
    <row customHeight="1" ht="15" r="1053" s="183" spans="1:15">
      <c r="A1053" s="37">
        <f>E1053</f>
        <v/>
      </c>
      <c r="B1053" s="117" t="s">
        <v>162</v>
      </c>
      <c r="C1053" s="117" t="s">
        <v>101</v>
      </c>
      <c r="D1053" s="117" t="s">
        <v>103</v>
      </c>
      <c r="E1053" s="117" t="s">
        <v>166</v>
      </c>
      <c r="F1053" s="124" t="s">
        <v>167</v>
      </c>
      <c r="G1053" s="117" t="n">
        <v>15000</v>
      </c>
      <c r="H1053" s="117" t="n">
        <v>22</v>
      </c>
      <c r="I1053" s="393" t="n">
        <v>43385.59930555556</v>
      </c>
      <c r="J1053" s="3" t="s">
        <v>154</v>
      </c>
      <c r="K1053" s="171">
        <f>VLOOKUP(D1053,Base!D:E,2,0)</f>
        <v/>
      </c>
    </row>
    <row customHeight="1" ht="15" r="1054" s="183" spans="1:15">
      <c r="A1054" s="37">
        <f>E1054</f>
        <v/>
      </c>
      <c r="B1054" s="117" t="s">
        <v>162</v>
      </c>
      <c r="C1054" s="117" t="s">
        <v>101</v>
      </c>
      <c r="D1054" s="117" t="s">
        <v>104</v>
      </c>
      <c r="E1054" s="117" t="s">
        <v>166</v>
      </c>
      <c r="F1054" s="124" t="s">
        <v>167</v>
      </c>
      <c r="G1054" s="117" t="n">
        <v>13990</v>
      </c>
      <c r="H1054" s="117" t="n">
        <v>22</v>
      </c>
      <c r="I1054" s="393" t="n">
        <v>43385.59930555556</v>
      </c>
      <c r="J1054" s="3" t="s">
        <v>154</v>
      </c>
      <c r="K1054" s="171">
        <f>VLOOKUP(D1054,Base!D:E,2,0)</f>
        <v/>
      </c>
    </row>
    <row customHeight="1" ht="15" r="1055" s="183" spans="1:15">
      <c r="A1055" s="37">
        <f>E1055</f>
        <v/>
      </c>
      <c r="B1055" s="117" t="s">
        <v>162</v>
      </c>
      <c r="C1055" s="117" t="s">
        <v>105</v>
      </c>
      <c r="D1055" s="117" t="s">
        <v>106</v>
      </c>
      <c r="E1055" s="117" t="s">
        <v>166</v>
      </c>
      <c r="F1055" s="124" t="s">
        <v>167</v>
      </c>
      <c r="G1055" s="117" t="n">
        <v>11990</v>
      </c>
      <c r="H1055" s="117" t="n">
        <v>5</v>
      </c>
      <c r="I1055" s="393" t="n">
        <v>43385.59930555556</v>
      </c>
      <c r="J1055" s="3" t="s">
        <v>154</v>
      </c>
      <c r="K1055" s="171">
        <f>VLOOKUP(D1055,Base!D:E,2,0)</f>
        <v/>
      </c>
    </row>
    <row customHeight="1" ht="15" r="1056" s="183" spans="1:15">
      <c r="A1056" s="37">
        <f>E1056</f>
        <v/>
      </c>
      <c r="B1056" s="117" t="s">
        <v>162</v>
      </c>
      <c r="C1056" s="117" t="s">
        <v>105</v>
      </c>
      <c r="D1056" s="117" t="s">
        <v>107</v>
      </c>
      <c r="E1056" s="117" t="s">
        <v>166</v>
      </c>
      <c r="F1056" s="124" t="s">
        <v>167</v>
      </c>
      <c r="G1056" s="117" t="n">
        <v>9990</v>
      </c>
      <c r="H1056" s="117" t="n">
        <v>4</v>
      </c>
      <c r="I1056" s="393" t="n">
        <v>43385.59930555556</v>
      </c>
      <c r="J1056" s="3" t="s">
        <v>154</v>
      </c>
      <c r="K1056" s="171">
        <f>VLOOKUP(D1056,Base!D:E,2,0)</f>
        <v/>
      </c>
    </row>
    <row customHeight="1" ht="15" r="1057" s="183" spans="1:15">
      <c r="A1057" s="37">
        <f>E1057</f>
        <v/>
      </c>
      <c r="B1057" s="117" t="s">
        <v>162</v>
      </c>
      <c r="C1057" s="117" t="s">
        <v>105</v>
      </c>
      <c r="D1057" s="117" t="s">
        <v>108</v>
      </c>
      <c r="E1057" s="117" t="s">
        <v>166</v>
      </c>
      <c r="F1057" s="124" t="s">
        <v>167</v>
      </c>
      <c r="G1057" s="117" t="n">
        <v>9490</v>
      </c>
      <c r="H1057" s="117" t="n">
        <v>7</v>
      </c>
      <c r="I1057" s="393" t="n">
        <v>43385.59930555556</v>
      </c>
      <c r="J1057" s="3" t="s">
        <v>154</v>
      </c>
      <c r="K1057" s="171">
        <f>VLOOKUP(D1057,Base!D:E,2,0)</f>
        <v/>
      </c>
    </row>
    <row customHeight="1" ht="15" r="1058" s="183" spans="1:15">
      <c r="A1058" s="37">
        <f>E1058</f>
        <v/>
      </c>
      <c r="B1058" s="117" t="s">
        <v>162</v>
      </c>
      <c r="C1058" s="117" t="s">
        <v>105</v>
      </c>
      <c r="D1058" s="117" t="s">
        <v>109</v>
      </c>
      <c r="E1058" s="117" t="s">
        <v>166</v>
      </c>
      <c r="F1058" s="124" t="s">
        <v>167</v>
      </c>
      <c r="G1058" s="117" t="n">
        <v>10990</v>
      </c>
      <c r="H1058" s="117" t="n">
        <v>7</v>
      </c>
      <c r="I1058" s="393" t="n">
        <v>43385.59930555556</v>
      </c>
      <c r="J1058" s="3" t="s">
        <v>154</v>
      </c>
      <c r="K1058" s="171">
        <f>VLOOKUP(D1058,Base!D:E,2,0)</f>
        <v/>
      </c>
    </row>
    <row customHeight="1" ht="15" r="1059" s="183" spans="1:15">
      <c r="A1059" s="37">
        <f>E1059</f>
        <v/>
      </c>
      <c r="B1059" s="117" t="s">
        <v>162</v>
      </c>
      <c r="C1059" s="117" t="s">
        <v>105</v>
      </c>
      <c r="D1059" s="117" t="s">
        <v>110</v>
      </c>
      <c r="E1059" s="117" t="s">
        <v>166</v>
      </c>
      <c r="F1059" s="124" t="s">
        <v>167</v>
      </c>
      <c r="G1059" s="117" t="n">
        <v>9990</v>
      </c>
      <c r="H1059" s="117" t="n">
        <v>7</v>
      </c>
      <c r="I1059" s="393" t="n">
        <v>43385.59930555556</v>
      </c>
      <c r="J1059" s="3" t="s">
        <v>154</v>
      </c>
      <c r="K1059" s="171">
        <f>VLOOKUP(D1059,Base!D:E,2,0)</f>
        <v/>
      </c>
    </row>
    <row customHeight="1" ht="15" r="1060" s="183" spans="1:15">
      <c r="A1060" s="37">
        <f>E1060</f>
        <v/>
      </c>
      <c r="B1060" s="117" t="s">
        <v>162</v>
      </c>
      <c r="C1060" s="117" t="s">
        <v>105</v>
      </c>
      <c r="D1060" s="117" t="s">
        <v>111</v>
      </c>
      <c r="E1060" s="117" t="s">
        <v>166</v>
      </c>
      <c r="F1060" s="124" t="s">
        <v>167</v>
      </c>
      <c r="G1060" s="117" t="n">
        <v>9990</v>
      </c>
      <c r="H1060" s="117" t="n">
        <v>5</v>
      </c>
      <c r="I1060" s="393" t="n">
        <v>43385.59861111111</v>
      </c>
      <c r="J1060" s="3" t="s">
        <v>154</v>
      </c>
      <c r="K1060" s="171">
        <f>VLOOKUP(D1060,Base!D:E,2,0)</f>
        <v/>
      </c>
    </row>
    <row customHeight="1" ht="15" r="1061" s="183" spans="1:15">
      <c r="A1061" s="37">
        <f>E1061</f>
        <v/>
      </c>
      <c r="B1061" s="117" t="s">
        <v>162</v>
      </c>
      <c r="C1061" s="117" t="s">
        <v>105</v>
      </c>
      <c r="D1061" s="117" t="s">
        <v>112</v>
      </c>
      <c r="E1061" s="117" t="s">
        <v>166</v>
      </c>
      <c r="F1061" s="124" t="s">
        <v>167</v>
      </c>
      <c r="G1061" s="117" t="n">
        <v>9990</v>
      </c>
      <c r="H1061" s="117" t="n">
        <v>4</v>
      </c>
      <c r="I1061" s="393" t="n">
        <v>43385.59930555556</v>
      </c>
      <c r="J1061" s="3" t="s">
        <v>154</v>
      </c>
      <c r="K1061" s="171">
        <f>VLOOKUP(D1061,Base!D:E,2,0)</f>
        <v/>
      </c>
    </row>
    <row customHeight="1" ht="15" r="1062" s="183" spans="1:15">
      <c r="A1062" s="37">
        <f>E1062</f>
        <v/>
      </c>
      <c r="B1062" s="117" t="s">
        <v>162</v>
      </c>
      <c r="C1062" s="117" t="s">
        <v>105</v>
      </c>
      <c r="D1062" s="117" t="s">
        <v>113</v>
      </c>
      <c r="E1062" s="117" t="s">
        <v>166</v>
      </c>
      <c r="F1062" s="124" t="s">
        <v>167</v>
      </c>
      <c r="G1062" s="117" t="n">
        <v>9990</v>
      </c>
      <c r="H1062" s="117" t="n">
        <v>7</v>
      </c>
      <c r="I1062" s="393" t="n">
        <v>43385.59930555556</v>
      </c>
      <c r="J1062" s="3" t="s">
        <v>154</v>
      </c>
      <c r="K1062" s="171">
        <f>VLOOKUP(D1062,Base!D:E,2,0)</f>
        <v/>
      </c>
    </row>
    <row customHeight="1" ht="15" r="1063" s="183" spans="1:15">
      <c r="A1063" s="37">
        <f>E1063</f>
        <v/>
      </c>
      <c r="B1063" s="117" t="s">
        <v>162</v>
      </c>
      <c r="C1063" s="117" t="s">
        <v>105</v>
      </c>
      <c r="D1063" s="117" t="s">
        <v>114</v>
      </c>
      <c r="E1063" s="117" t="s">
        <v>166</v>
      </c>
      <c r="F1063" s="124" t="s">
        <v>167</v>
      </c>
      <c r="G1063" s="117" t="n">
        <v>9990</v>
      </c>
      <c r="H1063" s="117" t="n">
        <v>7</v>
      </c>
      <c r="I1063" s="393" t="n">
        <v>43385.59930555556</v>
      </c>
      <c r="J1063" s="3" t="s">
        <v>154</v>
      </c>
      <c r="K1063" s="171">
        <f>VLOOKUP(D1063,Base!D:E,2,0)</f>
        <v/>
      </c>
    </row>
    <row customHeight="1" ht="15" r="1064" s="183" spans="1:15">
      <c r="A1064" s="37">
        <f>E1064</f>
        <v/>
      </c>
      <c r="B1064" s="117" t="s">
        <v>162</v>
      </c>
      <c r="C1064" s="117" t="s">
        <v>105</v>
      </c>
      <c r="D1064" s="117" t="s">
        <v>115</v>
      </c>
      <c r="E1064" s="117" t="s">
        <v>166</v>
      </c>
      <c r="F1064" s="124" t="s">
        <v>167</v>
      </c>
      <c r="G1064" s="117" t="n">
        <v>9990</v>
      </c>
      <c r="H1064" s="117" t="n">
        <v>5</v>
      </c>
      <c r="I1064" s="393" t="n">
        <v>43385.59930555556</v>
      </c>
      <c r="J1064" s="3" t="s">
        <v>154</v>
      </c>
      <c r="K1064" s="171">
        <f>VLOOKUP(D1064,Base!D:E,2,0)</f>
        <v/>
      </c>
    </row>
    <row customHeight="1" ht="15" r="1065" s="183" spans="1:15">
      <c r="A1065" s="37">
        <f>E1065</f>
        <v/>
      </c>
      <c r="B1065" s="117" t="s">
        <v>162</v>
      </c>
      <c r="C1065" s="117" t="s">
        <v>105</v>
      </c>
      <c r="D1065" s="117" t="s">
        <v>116</v>
      </c>
      <c r="E1065" s="117" t="s">
        <v>166</v>
      </c>
      <c r="F1065" s="124" t="s">
        <v>167</v>
      </c>
      <c r="G1065" s="117" t="n">
        <v>9990</v>
      </c>
      <c r="H1065" s="117" t="n">
        <v>10</v>
      </c>
      <c r="I1065" s="393" t="n">
        <v>43385.59861111111</v>
      </c>
      <c r="J1065" s="3" t="s">
        <v>154</v>
      </c>
      <c r="K1065" s="171">
        <f>VLOOKUP(D1065,Base!D:E,2,0)</f>
        <v/>
      </c>
    </row>
    <row customHeight="1" ht="15" r="1066" s="183" spans="1:15">
      <c r="A1066" s="37">
        <f>E1066</f>
        <v/>
      </c>
      <c r="B1066" s="117" t="s">
        <v>162</v>
      </c>
      <c r="C1066" s="117" t="s">
        <v>105</v>
      </c>
      <c r="D1066" s="117" t="s">
        <v>117</v>
      </c>
      <c r="E1066" s="117" t="s">
        <v>166</v>
      </c>
      <c r="F1066" s="124" t="s">
        <v>167</v>
      </c>
      <c r="G1066" s="117" t="n">
        <v>9990</v>
      </c>
      <c r="H1066" s="117" t="n">
        <v>10</v>
      </c>
      <c r="I1066" s="393" t="n">
        <v>43385.59930555556</v>
      </c>
      <c r="J1066" s="3" t="s">
        <v>154</v>
      </c>
      <c r="K1066" s="171">
        <f>VLOOKUP(D1066,Base!D:E,2,0)</f>
        <v/>
      </c>
    </row>
    <row customHeight="1" ht="15" r="1067" s="183" spans="1:15">
      <c r="A1067" s="37">
        <f>E1067</f>
        <v/>
      </c>
      <c r="B1067" s="117" t="s">
        <v>162</v>
      </c>
      <c r="C1067" s="117" t="s">
        <v>105</v>
      </c>
      <c r="D1067" s="117" t="s">
        <v>118</v>
      </c>
      <c r="E1067" s="117" t="s">
        <v>166</v>
      </c>
      <c r="F1067" s="124" t="s">
        <v>167</v>
      </c>
      <c r="G1067" s="117" t="n">
        <v>8990</v>
      </c>
      <c r="H1067" s="117" t="n">
        <v>10</v>
      </c>
      <c r="I1067" s="393" t="n">
        <v>43385.59930555556</v>
      </c>
      <c r="J1067" s="3" t="s">
        <v>154</v>
      </c>
      <c r="K1067" s="171">
        <f>VLOOKUP(D1067,Base!D:E,2,0)</f>
        <v/>
      </c>
    </row>
    <row customHeight="1" ht="15" r="1068" s="183" spans="1:15">
      <c r="A1068" s="37">
        <f>E1068</f>
        <v/>
      </c>
      <c r="B1068" s="117" t="s">
        <v>162</v>
      </c>
      <c r="C1068" s="117" t="s">
        <v>105</v>
      </c>
      <c r="D1068" s="117" t="s">
        <v>119</v>
      </c>
      <c r="E1068" s="117" t="s">
        <v>166</v>
      </c>
      <c r="F1068" s="124" t="s">
        <v>167</v>
      </c>
      <c r="G1068" s="117" t="n">
        <v>9990</v>
      </c>
      <c r="H1068" s="117" t="n">
        <v>5</v>
      </c>
      <c r="I1068" s="393" t="n">
        <v>43385.59930555556</v>
      </c>
      <c r="J1068" s="3" t="s">
        <v>154</v>
      </c>
      <c r="K1068" s="171">
        <f>VLOOKUP(D1068,Base!D:E,2,0)</f>
        <v/>
      </c>
    </row>
    <row customHeight="1" ht="15" r="1069" s="183" spans="1:15">
      <c r="A1069" s="37">
        <f>E1069</f>
        <v/>
      </c>
      <c r="B1069" s="117" t="s">
        <v>162</v>
      </c>
      <c r="C1069" s="117" t="s">
        <v>105</v>
      </c>
      <c r="D1069" s="117" t="s">
        <v>120</v>
      </c>
      <c r="E1069" s="117" t="s">
        <v>166</v>
      </c>
      <c r="F1069" s="124" t="s">
        <v>167</v>
      </c>
      <c r="G1069" s="117" t="n">
        <v>9990</v>
      </c>
      <c r="H1069" s="117" t="n">
        <v>7</v>
      </c>
      <c r="I1069" s="393" t="n">
        <v>43385.59930555556</v>
      </c>
      <c r="J1069" s="3" t="s">
        <v>154</v>
      </c>
      <c r="K1069" s="171">
        <f>VLOOKUP(D1069,Base!D:E,2,0)</f>
        <v/>
      </c>
    </row>
    <row customHeight="1" ht="15" r="1070" s="183" spans="1:15">
      <c r="A1070" s="37">
        <f>E1070</f>
        <v/>
      </c>
      <c r="B1070" s="117" t="s">
        <v>162</v>
      </c>
      <c r="C1070" s="117" t="s">
        <v>105</v>
      </c>
      <c r="D1070" s="117" t="s">
        <v>121</v>
      </c>
      <c r="E1070" s="117" t="s">
        <v>166</v>
      </c>
      <c r="F1070" s="124" t="s">
        <v>167</v>
      </c>
      <c r="G1070" s="117" t="n">
        <v>9990</v>
      </c>
      <c r="H1070" s="117" t="n">
        <v>6</v>
      </c>
      <c r="I1070" s="393" t="n">
        <v>43385.59930555556</v>
      </c>
      <c r="J1070" s="3" t="s">
        <v>154</v>
      </c>
      <c r="K1070" s="171">
        <f>VLOOKUP(D1070,Base!D:E,2,0)</f>
        <v/>
      </c>
    </row>
    <row customHeight="1" ht="15" r="1071" s="183" spans="1:15">
      <c r="A1071" s="37">
        <f>E1071</f>
        <v/>
      </c>
      <c r="B1071" s="117" t="s">
        <v>162</v>
      </c>
      <c r="C1071" s="117" t="s">
        <v>105</v>
      </c>
      <c r="D1071" s="117" t="s">
        <v>122</v>
      </c>
      <c r="E1071" s="117" t="s">
        <v>166</v>
      </c>
      <c r="F1071" s="124" t="s">
        <v>167</v>
      </c>
      <c r="G1071" s="117" t="n">
        <v>9990</v>
      </c>
      <c r="H1071" s="117" t="n">
        <v>4</v>
      </c>
      <c r="I1071" s="393" t="n">
        <v>43385.59861111111</v>
      </c>
      <c r="J1071" s="3" t="s">
        <v>154</v>
      </c>
      <c r="K1071" s="171">
        <f>VLOOKUP(D1071,Base!D:E,2,0)</f>
        <v/>
      </c>
    </row>
    <row customHeight="1" ht="15" r="1072" s="183" spans="1:15">
      <c r="A1072" s="37">
        <f>E1072</f>
        <v/>
      </c>
      <c r="B1072" s="117" t="s">
        <v>162</v>
      </c>
      <c r="C1072" s="117" t="s">
        <v>105</v>
      </c>
      <c r="D1072" s="117" t="s">
        <v>123</v>
      </c>
      <c r="E1072" s="117" t="s">
        <v>166</v>
      </c>
      <c r="F1072" s="124" t="s">
        <v>167</v>
      </c>
      <c r="G1072" s="117" t="n">
        <v>8990</v>
      </c>
      <c r="H1072" s="117" t="n">
        <v>5</v>
      </c>
      <c r="I1072" s="393" t="n">
        <v>43385.59930555556</v>
      </c>
      <c r="J1072" s="3" t="s">
        <v>154</v>
      </c>
      <c r="K1072" s="171">
        <f>VLOOKUP(D1072,Base!D:E,2,0)</f>
        <v/>
      </c>
    </row>
    <row customHeight="1" ht="15" r="1073" s="183" spans="1:15">
      <c r="A1073" s="37">
        <f>E1073</f>
        <v/>
      </c>
      <c r="B1073" s="117" t="s">
        <v>162</v>
      </c>
      <c r="C1073" s="117" t="s">
        <v>105</v>
      </c>
      <c r="D1073" s="117" t="s">
        <v>124</v>
      </c>
      <c r="E1073" s="117" t="s">
        <v>166</v>
      </c>
      <c r="F1073" s="124" t="s">
        <v>167</v>
      </c>
      <c r="G1073" s="117" t="n">
        <v>8990</v>
      </c>
      <c r="H1073" s="117" t="n">
        <v>4</v>
      </c>
      <c r="I1073" s="393" t="n">
        <v>43385.59930555556</v>
      </c>
      <c r="J1073" s="3" t="s">
        <v>154</v>
      </c>
      <c r="K1073" s="171">
        <f>VLOOKUP(D1073,Base!D:E,2,0)</f>
        <v/>
      </c>
    </row>
    <row customHeight="1" ht="15" r="1074" s="183" spans="1:15">
      <c r="A1074" s="37">
        <f>E1074</f>
        <v/>
      </c>
      <c r="B1074" s="117" t="s">
        <v>162</v>
      </c>
      <c r="C1074" s="117" t="s">
        <v>105</v>
      </c>
      <c r="D1074" s="117" t="s">
        <v>125</v>
      </c>
      <c r="E1074" s="117" t="s">
        <v>166</v>
      </c>
      <c r="F1074" s="124" t="s">
        <v>167</v>
      </c>
      <c r="G1074" s="117" t="n">
        <v>9990</v>
      </c>
      <c r="H1074" s="117" t="n">
        <v>5</v>
      </c>
      <c r="I1074" s="393" t="n">
        <v>43385.59930555556</v>
      </c>
      <c r="J1074" s="3" t="s">
        <v>154</v>
      </c>
      <c r="K1074" s="171">
        <f>VLOOKUP(D1074,Base!D:E,2,0)</f>
        <v/>
      </c>
    </row>
    <row customHeight="1" ht="15" r="1075" s="183" spans="1:15">
      <c r="A1075" s="37">
        <f>E1075</f>
        <v/>
      </c>
      <c r="B1075" s="117" t="s">
        <v>162</v>
      </c>
      <c r="C1075" s="117" t="s">
        <v>105</v>
      </c>
      <c r="D1075" s="117" t="s">
        <v>126</v>
      </c>
      <c r="E1075" s="117" t="s">
        <v>166</v>
      </c>
      <c r="F1075" s="124" t="s">
        <v>167</v>
      </c>
      <c r="G1075" s="117" t="n">
        <v>9990</v>
      </c>
      <c r="H1075" s="117" t="n">
        <v>4</v>
      </c>
      <c r="I1075" s="393" t="n">
        <v>43385.59930555556</v>
      </c>
      <c r="J1075" s="3" t="s">
        <v>154</v>
      </c>
      <c r="K1075" s="171">
        <f>VLOOKUP(D1075,Base!D:E,2,0)</f>
        <v/>
      </c>
    </row>
    <row customHeight="1" ht="15" r="1076" s="183" spans="1:15">
      <c r="A1076" s="37">
        <f>E1076</f>
        <v/>
      </c>
      <c r="B1076" s="117" t="s">
        <v>162</v>
      </c>
      <c r="C1076" s="117" t="s">
        <v>105</v>
      </c>
      <c r="D1076" s="117" t="s">
        <v>127</v>
      </c>
      <c r="E1076" s="117" t="s">
        <v>166</v>
      </c>
      <c r="F1076" s="124" t="s">
        <v>167</v>
      </c>
      <c r="G1076" s="117" t="n">
        <v>14490</v>
      </c>
      <c r="H1076" s="117" t="n">
        <v>5</v>
      </c>
      <c r="I1076" s="393" t="n">
        <v>43385.59930555556</v>
      </c>
      <c r="J1076" s="3" t="s">
        <v>154</v>
      </c>
      <c r="K1076" s="171">
        <f>VLOOKUP(D1076,Base!D:E,2,0)</f>
        <v/>
      </c>
    </row>
    <row customHeight="1" ht="15" r="1077" s="183" spans="1:15">
      <c r="A1077" s="37">
        <f>E1077</f>
        <v/>
      </c>
      <c r="B1077" s="117" t="s">
        <v>162</v>
      </c>
      <c r="C1077" s="117" t="s">
        <v>105</v>
      </c>
      <c r="D1077" s="117" t="s">
        <v>128</v>
      </c>
      <c r="E1077" s="117" t="s">
        <v>166</v>
      </c>
      <c r="F1077" s="124" t="s">
        <v>167</v>
      </c>
      <c r="G1077" s="117" t="n">
        <v>9990</v>
      </c>
      <c r="H1077" s="117" t="n">
        <v>5</v>
      </c>
      <c r="I1077" s="393" t="n">
        <v>43385.59930555556</v>
      </c>
      <c r="J1077" s="3" t="s">
        <v>154</v>
      </c>
      <c r="K1077" s="171">
        <f>VLOOKUP(D1077,Base!D:E,2,0)</f>
        <v/>
      </c>
    </row>
    <row customHeight="1" ht="15" r="1078" s="183" spans="1:15">
      <c r="A1078" s="37">
        <f>E1078</f>
        <v/>
      </c>
      <c r="B1078" s="117" t="s">
        <v>162</v>
      </c>
      <c r="C1078" s="117" t="s">
        <v>105</v>
      </c>
      <c r="D1078" s="117" t="s">
        <v>129</v>
      </c>
      <c r="E1078" s="117" t="s">
        <v>166</v>
      </c>
      <c r="F1078" s="124" t="s">
        <v>167</v>
      </c>
      <c r="G1078" s="117" t="n">
        <v>9990</v>
      </c>
      <c r="H1078" s="117" t="n">
        <v>4</v>
      </c>
      <c r="I1078" s="393" t="n">
        <v>43385.59930555556</v>
      </c>
      <c r="J1078" s="3" t="s">
        <v>154</v>
      </c>
      <c r="K1078" s="171">
        <f>VLOOKUP(D1078,Base!D:E,2,0)</f>
        <v/>
      </c>
    </row>
    <row customHeight="1" ht="15" r="1079" s="183" spans="1:15">
      <c r="A1079" s="37">
        <f>E1079</f>
        <v/>
      </c>
      <c r="B1079" s="117" t="s">
        <v>162</v>
      </c>
      <c r="C1079" s="117" t="s">
        <v>105</v>
      </c>
      <c r="D1079" s="117" t="s">
        <v>130</v>
      </c>
      <c r="E1079" s="117" t="s">
        <v>166</v>
      </c>
      <c r="F1079" s="124" t="s">
        <v>167</v>
      </c>
      <c r="G1079" s="117" t="n">
        <v>11490</v>
      </c>
      <c r="H1079" s="117" t="n">
        <v>5</v>
      </c>
      <c r="I1079" s="393" t="n">
        <v>43385.59930555556</v>
      </c>
      <c r="J1079" s="3" t="s">
        <v>154</v>
      </c>
      <c r="K1079" s="171">
        <f>VLOOKUP(D1079,Base!D:E,2,0)</f>
        <v/>
      </c>
    </row>
    <row customHeight="1" ht="15" r="1080" s="183" spans="1:15">
      <c r="A1080" s="37">
        <f>E1080</f>
        <v/>
      </c>
      <c r="B1080" s="117" t="s">
        <v>162</v>
      </c>
      <c r="C1080" s="117" t="s">
        <v>105</v>
      </c>
      <c r="D1080" s="117" t="s">
        <v>131</v>
      </c>
      <c r="E1080" s="117" t="s">
        <v>166</v>
      </c>
      <c r="F1080" s="124" t="s">
        <v>167</v>
      </c>
      <c r="G1080" s="117" t="n">
        <v>8990</v>
      </c>
      <c r="H1080" s="117" t="n">
        <v>5</v>
      </c>
      <c r="I1080" s="393" t="n">
        <v>43385.59930555556</v>
      </c>
      <c r="J1080" s="3" t="s">
        <v>154</v>
      </c>
      <c r="K1080" s="171">
        <f>VLOOKUP(D1080,Base!D:E,2,0)</f>
        <v/>
      </c>
    </row>
    <row customHeight="1" ht="15" r="1081" s="183" spans="1:15">
      <c r="A1081" s="37">
        <f>E1081</f>
        <v/>
      </c>
      <c r="B1081" s="117" t="s">
        <v>162</v>
      </c>
      <c r="C1081" s="117" t="s">
        <v>105</v>
      </c>
      <c r="D1081" s="117" t="s">
        <v>132</v>
      </c>
      <c r="E1081" s="117" t="s">
        <v>166</v>
      </c>
      <c r="F1081" s="124" t="s">
        <v>167</v>
      </c>
      <c r="G1081" s="117" t="n">
        <v>9990</v>
      </c>
      <c r="H1081" s="117" t="n">
        <v>4</v>
      </c>
      <c r="I1081" s="393" t="n">
        <v>43385.59930555556</v>
      </c>
      <c r="J1081" s="3" t="s">
        <v>154</v>
      </c>
      <c r="K1081" s="171">
        <f>VLOOKUP(D1081,Base!D:E,2,0)</f>
        <v/>
      </c>
    </row>
    <row customHeight="1" ht="15" r="1082" s="183" spans="1:15">
      <c r="A1082" s="37">
        <f>E1082</f>
        <v/>
      </c>
      <c r="B1082" s="117" t="s">
        <v>162</v>
      </c>
      <c r="C1082" s="117" t="s">
        <v>105</v>
      </c>
      <c r="D1082" s="117" t="s">
        <v>133</v>
      </c>
      <c r="E1082" s="117" t="s">
        <v>166</v>
      </c>
      <c r="F1082" s="124" t="s">
        <v>167</v>
      </c>
      <c r="G1082" s="117" t="n">
        <v>9990</v>
      </c>
      <c r="H1082" s="117" t="n">
        <v>5</v>
      </c>
      <c r="I1082" s="393" t="n">
        <v>43385.59930555556</v>
      </c>
      <c r="J1082" s="3" t="s">
        <v>154</v>
      </c>
      <c r="K1082" s="171">
        <f>VLOOKUP(D1082,Base!D:E,2,0)</f>
        <v/>
      </c>
    </row>
    <row customHeight="1" ht="15" r="1083" s="183" spans="1:15">
      <c r="A1083" s="37">
        <f>E1083</f>
        <v/>
      </c>
      <c r="B1083" s="117" t="s">
        <v>162</v>
      </c>
      <c r="C1083" s="117" t="s">
        <v>105</v>
      </c>
      <c r="D1083" s="117" t="s">
        <v>134</v>
      </c>
      <c r="E1083" s="117" t="s">
        <v>166</v>
      </c>
      <c r="F1083" s="124" t="s">
        <v>167</v>
      </c>
      <c r="G1083" s="117" t="n">
        <v>9990</v>
      </c>
      <c r="H1083" s="117" t="n">
        <v>6</v>
      </c>
      <c r="I1083" s="393" t="n">
        <v>43385.59861111111</v>
      </c>
      <c r="J1083" s="3" t="s">
        <v>154</v>
      </c>
      <c r="K1083" s="171">
        <f>VLOOKUP(D1083,Base!D:E,2,0)</f>
        <v/>
      </c>
    </row>
    <row customHeight="1" ht="15" r="1084" s="183" spans="1:15">
      <c r="A1084" s="37">
        <f>E1084</f>
        <v/>
      </c>
      <c r="B1084" s="117" t="s">
        <v>162</v>
      </c>
      <c r="C1084" s="117" t="s">
        <v>105</v>
      </c>
      <c r="D1084" s="117" t="s">
        <v>135</v>
      </c>
      <c r="E1084" s="124" t="s">
        <v>166</v>
      </c>
      <c r="F1084" s="124" t="s">
        <v>167</v>
      </c>
      <c r="G1084" s="124" t="n">
        <v>9990</v>
      </c>
      <c r="H1084" s="117" t="n">
        <v>4</v>
      </c>
      <c r="I1084" s="393" t="n">
        <v>43385.59930555556</v>
      </c>
      <c r="J1084" s="3" t="s">
        <v>154</v>
      </c>
      <c r="K1084" s="171">
        <f>VLOOKUP(D1084,Base!D:E,2,0)</f>
        <v/>
      </c>
    </row>
    <row customHeight="1" ht="15" r="1085" s="183" spans="1:15">
      <c r="A1085" s="37">
        <f>E1085</f>
        <v/>
      </c>
      <c r="B1085" s="117" t="s">
        <v>162</v>
      </c>
      <c r="C1085" s="117" t="s">
        <v>105</v>
      </c>
      <c r="D1085" s="117" t="s">
        <v>136</v>
      </c>
      <c r="E1085" s="124" t="s">
        <v>166</v>
      </c>
      <c r="F1085" s="124" t="s">
        <v>167</v>
      </c>
      <c r="G1085" s="124" t="n">
        <v>9990</v>
      </c>
      <c r="H1085" s="117" t="n">
        <v>10</v>
      </c>
      <c r="I1085" s="393" t="n">
        <v>43385.59930555556</v>
      </c>
      <c r="J1085" s="3" t="s">
        <v>154</v>
      </c>
      <c r="K1085" s="171">
        <f>VLOOKUP(D1085,Base!D:E,2,0)</f>
        <v/>
      </c>
    </row>
    <row customHeight="1" ht="15" r="1086" s="183" spans="1:15">
      <c r="A1086" s="37">
        <f>E1086</f>
        <v/>
      </c>
      <c r="B1086" s="117" t="s">
        <v>162</v>
      </c>
      <c r="C1086" s="117" t="s">
        <v>105</v>
      </c>
      <c r="D1086" s="117" t="s">
        <v>137</v>
      </c>
      <c r="E1086" s="124" t="s">
        <v>166</v>
      </c>
      <c r="F1086" s="124" t="s">
        <v>167</v>
      </c>
      <c r="G1086" s="124" t="n">
        <v>9990</v>
      </c>
      <c r="H1086" s="117" t="n">
        <v>7</v>
      </c>
      <c r="I1086" s="393" t="n">
        <v>43385.59861111111</v>
      </c>
      <c r="J1086" s="3" t="s">
        <v>154</v>
      </c>
      <c r="K1086" s="171">
        <f>VLOOKUP(D1086,Base!D:E,2,0)</f>
        <v/>
      </c>
    </row>
    <row customHeight="1" ht="15" r="1087" s="183" spans="1:15">
      <c r="A1087" s="37">
        <f>E1087</f>
        <v/>
      </c>
      <c r="B1087" s="117" t="s">
        <v>162</v>
      </c>
      <c r="C1087" s="117" t="s">
        <v>105</v>
      </c>
      <c r="D1087" s="117" t="s">
        <v>138</v>
      </c>
      <c r="E1087" s="124" t="s">
        <v>166</v>
      </c>
      <c r="F1087" s="124" t="s">
        <v>167</v>
      </c>
      <c r="G1087" s="124" t="n">
        <v>9990</v>
      </c>
      <c r="H1087" s="117" t="n">
        <v>7</v>
      </c>
      <c r="I1087" s="393" t="n">
        <v>43385.59930555556</v>
      </c>
      <c r="J1087" s="3" t="s">
        <v>154</v>
      </c>
      <c r="K1087" s="171">
        <f>VLOOKUP(D1087,Base!D:E,2,0)</f>
        <v/>
      </c>
    </row>
    <row customHeight="1" ht="15" r="1088" s="183" spans="1:15">
      <c r="A1088" s="37">
        <f>E1088</f>
        <v/>
      </c>
      <c r="B1088" s="117" t="s">
        <v>162</v>
      </c>
      <c r="C1088" s="117" t="s">
        <v>105</v>
      </c>
      <c r="D1088" s="117" t="s">
        <v>139</v>
      </c>
      <c r="E1088" s="124" t="s">
        <v>166</v>
      </c>
      <c r="F1088" s="124" t="s">
        <v>167</v>
      </c>
      <c r="G1088" s="124" t="n">
        <v>9990</v>
      </c>
      <c r="H1088" s="117" t="n">
        <v>6</v>
      </c>
      <c r="I1088" s="393" t="n">
        <v>43385.59930555556</v>
      </c>
      <c r="J1088" s="3" t="s">
        <v>154</v>
      </c>
      <c r="K1088" s="171">
        <f>VLOOKUP(D1088,Base!D:E,2,0)</f>
        <v/>
      </c>
    </row>
    <row customHeight="1" ht="15" r="1089" s="183" spans="1:15">
      <c r="A1089" s="37">
        <f>E1089</f>
        <v/>
      </c>
      <c r="B1089" s="117" t="s">
        <v>162</v>
      </c>
      <c r="C1089" s="117" t="s">
        <v>105</v>
      </c>
      <c r="D1089" s="117" t="s">
        <v>140</v>
      </c>
      <c r="E1089" s="124" t="s">
        <v>166</v>
      </c>
      <c r="F1089" s="124" t="s">
        <v>167</v>
      </c>
      <c r="G1089" s="117" t="n">
        <v>9990</v>
      </c>
      <c r="H1089" s="117" t="n">
        <v>7</v>
      </c>
      <c r="I1089" s="393" t="n">
        <v>43385.59930555556</v>
      </c>
      <c r="J1089" s="3" t="s">
        <v>154</v>
      </c>
      <c r="K1089" s="171">
        <f>VLOOKUP(D1089,Base!D:E,2,0)</f>
        <v/>
      </c>
    </row>
    <row customHeight="1" ht="15" r="1090" s="183" spans="1:15">
      <c r="A1090" s="37">
        <f>E1090</f>
        <v/>
      </c>
      <c r="B1090" s="117" t="s">
        <v>162</v>
      </c>
      <c r="C1090" s="117" t="s">
        <v>105</v>
      </c>
      <c r="D1090" s="117" t="s">
        <v>141</v>
      </c>
      <c r="E1090" s="117" t="s">
        <v>166</v>
      </c>
      <c r="F1090" s="124" t="s">
        <v>167</v>
      </c>
      <c r="G1090" s="117" t="n">
        <v>9990</v>
      </c>
      <c r="H1090" s="117" t="n">
        <v>5</v>
      </c>
      <c r="I1090" s="393" t="n">
        <v>43385.59930555556</v>
      </c>
      <c r="J1090" s="3" t="s">
        <v>154</v>
      </c>
      <c r="K1090" s="171">
        <f>VLOOKUP(D1090,Base!D:E,2,0)</f>
        <v/>
      </c>
    </row>
    <row customHeight="1" ht="15" r="1091" s="183" spans="1:15">
      <c r="A1091" s="37">
        <f>E1091</f>
        <v/>
      </c>
      <c r="B1091" s="117" t="s">
        <v>162</v>
      </c>
      <c r="C1091" s="117" t="s">
        <v>105</v>
      </c>
      <c r="D1091" s="117" t="s">
        <v>142</v>
      </c>
      <c r="E1091" s="117" t="s">
        <v>166</v>
      </c>
      <c r="F1091" s="124" t="s">
        <v>167</v>
      </c>
      <c r="G1091" s="117" t="n">
        <v>8990</v>
      </c>
      <c r="H1091" s="117" t="n">
        <v>5</v>
      </c>
      <c r="I1091" s="393" t="n">
        <v>43385.59930555556</v>
      </c>
      <c r="J1091" s="3" t="s">
        <v>154</v>
      </c>
      <c r="K1091" s="171">
        <f>VLOOKUP(D1091,Base!D:E,2,0)</f>
        <v/>
      </c>
    </row>
    <row customHeight="1" ht="15" r="1092" s="183" spans="1:15">
      <c r="A1092" s="37">
        <f>E1092</f>
        <v/>
      </c>
      <c r="B1092" s="117" t="s">
        <v>162</v>
      </c>
      <c r="C1092" s="117" t="s">
        <v>105</v>
      </c>
      <c r="D1092" s="117" t="s">
        <v>143</v>
      </c>
      <c r="E1092" s="117" t="s">
        <v>166</v>
      </c>
      <c r="F1092" s="124" t="s">
        <v>167</v>
      </c>
      <c r="G1092" s="117" t="n">
        <v>7990</v>
      </c>
      <c r="H1092" s="117" t="n">
        <v>5</v>
      </c>
      <c r="I1092" s="393" t="n">
        <v>43385.59861111111</v>
      </c>
      <c r="J1092" s="3" t="s">
        <v>154</v>
      </c>
      <c r="K1092" s="171">
        <f>VLOOKUP(D1092,Base!D:E,2,0)</f>
        <v/>
      </c>
    </row>
    <row customHeight="1" ht="15" r="1093" s="183" spans="1:15">
      <c r="A1093" s="37">
        <f>E1093</f>
        <v/>
      </c>
      <c r="B1093" s="117" t="s">
        <v>162</v>
      </c>
      <c r="C1093" s="117" t="s">
        <v>105</v>
      </c>
      <c r="D1093" s="117" t="s">
        <v>144</v>
      </c>
      <c r="E1093" s="117" t="s">
        <v>166</v>
      </c>
      <c r="F1093" s="124" t="s">
        <v>167</v>
      </c>
      <c r="G1093" s="117" t="n">
        <v>8990</v>
      </c>
      <c r="H1093" s="117" t="n">
        <v>5</v>
      </c>
      <c r="I1093" s="393" t="n">
        <v>43385.59930555556</v>
      </c>
      <c r="J1093" s="3" t="s">
        <v>154</v>
      </c>
      <c r="K1093" s="171">
        <f>VLOOKUP(D1093,Base!D:E,2,0)</f>
        <v/>
      </c>
    </row>
    <row customHeight="1" ht="15" r="1094" s="183" spans="1:15">
      <c r="A1094" s="37">
        <f>E1094</f>
        <v/>
      </c>
      <c r="B1094" s="117" t="s">
        <v>162</v>
      </c>
      <c r="C1094" s="117" t="s">
        <v>105</v>
      </c>
      <c r="D1094" s="117" t="s">
        <v>145</v>
      </c>
      <c r="E1094" s="117" t="s">
        <v>166</v>
      </c>
      <c r="F1094" s="124" t="s">
        <v>167</v>
      </c>
      <c r="G1094" s="117" t="n">
        <v>10490</v>
      </c>
      <c r="H1094" s="117" t="n">
        <v>6</v>
      </c>
      <c r="I1094" s="393" t="n">
        <v>43385.59930555556</v>
      </c>
      <c r="J1094" s="3" t="s">
        <v>154</v>
      </c>
      <c r="K1094" s="171">
        <f>VLOOKUP(D1094,Base!D:E,2,0)</f>
        <v/>
      </c>
    </row>
    <row customHeight="1" ht="15" r="1095" s="183" spans="1:15">
      <c r="A1095" s="37">
        <f>E1095</f>
        <v/>
      </c>
      <c r="B1095" s="117" t="s">
        <v>162</v>
      </c>
      <c r="C1095" s="117" t="s">
        <v>105</v>
      </c>
      <c r="D1095" s="117" t="s">
        <v>146</v>
      </c>
      <c r="E1095" s="117" t="s">
        <v>166</v>
      </c>
      <c r="F1095" s="124" t="s">
        <v>167</v>
      </c>
      <c r="G1095" s="117" t="n">
        <v>8990</v>
      </c>
      <c r="H1095" s="117" t="n">
        <v>4</v>
      </c>
      <c r="I1095" s="393" t="n">
        <v>43385.59930555556</v>
      </c>
      <c r="J1095" s="3" t="s">
        <v>154</v>
      </c>
      <c r="K1095" s="171">
        <f>VLOOKUP(D1095,Base!D:E,2,0)</f>
        <v/>
      </c>
    </row>
    <row customHeight="1" ht="15" r="1096" s="183" spans="1:15">
      <c r="A1096" s="37">
        <f>E1096</f>
        <v/>
      </c>
      <c r="B1096" s="117" t="s">
        <v>162</v>
      </c>
      <c r="C1096" s="117" t="s">
        <v>105</v>
      </c>
      <c r="D1096" s="117" t="s">
        <v>147</v>
      </c>
      <c r="E1096" s="117" t="s">
        <v>166</v>
      </c>
      <c r="F1096" s="124" t="s">
        <v>167</v>
      </c>
      <c r="G1096" s="117" t="n">
        <v>9990</v>
      </c>
      <c r="H1096" s="117" t="n">
        <v>4</v>
      </c>
      <c r="I1096" s="393" t="n">
        <v>43385.59930555556</v>
      </c>
      <c r="J1096" s="3" t="s">
        <v>154</v>
      </c>
      <c r="K1096" s="171">
        <f>VLOOKUP(D1096,Base!D:E,2,0)</f>
        <v/>
      </c>
    </row>
    <row customHeight="1" ht="15" r="1097" s="183" spans="1:15">
      <c r="A1097" s="37">
        <f>E1097</f>
        <v/>
      </c>
      <c r="B1097" s="117" t="s">
        <v>162</v>
      </c>
      <c r="C1097" s="117" t="s">
        <v>36</v>
      </c>
      <c r="D1097" s="117" t="s">
        <v>37</v>
      </c>
      <c r="E1097" s="117" t="s">
        <v>168</v>
      </c>
      <c r="F1097" s="124" t="s">
        <v>169</v>
      </c>
      <c r="G1097" s="117" t="n">
        <v>21990</v>
      </c>
      <c r="H1097" s="117" t="n">
        <v>26</v>
      </c>
      <c r="I1097" s="393" t="n">
        <v>43385.59861111111</v>
      </c>
      <c r="J1097" s="3" t="s">
        <v>156</v>
      </c>
      <c r="K1097" s="171">
        <f>VLOOKUP(D1097,Base!D:E,2,0)</f>
        <v/>
      </c>
    </row>
    <row customHeight="1" ht="15" r="1098" s="183" spans="1:15">
      <c r="A1098" s="37">
        <f>E1098</f>
        <v/>
      </c>
      <c r="B1098" s="117" t="s">
        <v>162</v>
      </c>
      <c r="C1098" s="117" t="s">
        <v>36</v>
      </c>
      <c r="D1098" s="117" t="s">
        <v>42</v>
      </c>
      <c r="E1098" s="117" t="s">
        <v>168</v>
      </c>
      <c r="F1098" s="124" t="s">
        <v>169</v>
      </c>
      <c r="G1098" s="117" t="n">
        <v>23990</v>
      </c>
      <c r="H1098" s="117" t="n">
        <v>26</v>
      </c>
      <c r="I1098" s="393" t="n">
        <v>43385.59861111111</v>
      </c>
      <c r="J1098" s="3" t="s">
        <v>156</v>
      </c>
      <c r="K1098" s="171">
        <f>VLOOKUP(D1098,Base!D:E,2,0)</f>
        <v/>
      </c>
    </row>
    <row customHeight="1" ht="15" r="1099" s="183" spans="1:15">
      <c r="A1099" s="37">
        <f>E1099</f>
        <v/>
      </c>
      <c r="B1099" s="117" t="s">
        <v>162</v>
      </c>
      <c r="C1099" s="117" t="s">
        <v>44</v>
      </c>
      <c r="D1099" s="117" t="s">
        <v>45</v>
      </c>
      <c r="E1099" s="117" t="s">
        <v>168</v>
      </c>
      <c r="F1099" s="124" t="s">
        <v>169</v>
      </c>
      <c r="G1099" s="117" t="n">
        <v>24990</v>
      </c>
      <c r="H1099" s="117" t="n">
        <v>24</v>
      </c>
      <c r="I1099" s="393" t="n">
        <v>43385.59930555556</v>
      </c>
      <c r="J1099" s="3" t="s">
        <v>156</v>
      </c>
      <c r="K1099" s="171">
        <f>VLOOKUP(D1099,Base!D:E,2,0)</f>
        <v/>
      </c>
    </row>
    <row customHeight="1" ht="15" r="1100" s="183" spans="1:15">
      <c r="A1100" s="37">
        <f>E1100</f>
        <v/>
      </c>
      <c r="B1100" s="117" t="s">
        <v>162</v>
      </c>
      <c r="C1100" s="117" t="s">
        <v>46</v>
      </c>
      <c r="D1100" s="117" t="s">
        <v>48</v>
      </c>
      <c r="E1100" s="117" t="s">
        <v>168</v>
      </c>
      <c r="F1100" s="124" t="s">
        <v>169</v>
      </c>
      <c r="G1100" s="117" t="n">
        <v>9990</v>
      </c>
      <c r="H1100" s="117" t="n">
        <v>7</v>
      </c>
      <c r="I1100" s="393" t="n">
        <v>43385.59930555556</v>
      </c>
      <c r="J1100" s="3" t="s">
        <v>156</v>
      </c>
      <c r="K1100" s="171">
        <f>VLOOKUP(D1100,Base!D:E,2,0)</f>
        <v/>
      </c>
    </row>
    <row customHeight="1" ht="15" r="1101" s="183" spans="1:15">
      <c r="A1101" s="37">
        <f>E1101</f>
        <v/>
      </c>
      <c r="B1101" s="117" t="s">
        <v>162</v>
      </c>
      <c r="C1101" s="117" t="s">
        <v>49</v>
      </c>
      <c r="D1101" s="117" t="s">
        <v>50</v>
      </c>
      <c r="E1101" s="117" t="s">
        <v>168</v>
      </c>
      <c r="F1101" s="124" t="s">
        <v>169</v>
      </c>
      <c r="G1101" s="117" t="n">
        <v>30490</v>
      </c>
      <c r="H1101" s="117" t="n">
        <v>13</v>
      </c>
      <c r="I1101" s="393" t="n">
        <v>43385.59930555556</v>
      </c>
      <c r="J1101" s="3" t="s">
        <v>156</v>
      </c>
      <c r="K1101" s="171">
        <f>VLOOKUP(D1101,Base!D:E,2,0)</f>
        <v/>
      </c>
    </row>
    <row customHeight="1" ht="15" r="1102" s="183" spans="1:15">
      <c r="A1102" s="37">
        <f>E1102</f>
        <v/>
      </c>
      <c r="B1102" s="117" t="s">
        <v>162</v>
      </c>
      <c r="C1102" s="117" t="s">
        <v>51</v>
      </c>
      <c r="D1102" s="117" t="s">
        <v>52</v>
      </c>
      <c r="E1102" s="117" t="s">
        <v>168</v>
      </c>
      <c r="F1102" s="124" t="s">
        <v>169</v>
      </c>
      <c r="G1102" s="117" t="n">
        <v>17490</v>
      </c>
      <c r="H1102" s="117" t="n">
        <v>10</v>
      </c>
      <c r="I1102" s="393" t="n">
        <v>43385.59930555556</v>
      </c>
      <c r="J1102" s="3" t="s">
        <v>156</v>
      </c>
      <c r="K1102" s="171">
        <f>VLOOKUP(D1102,Base!D:E,2,0)</f>
        <v/>
      </c>
    </row>
    <row customHeight="1" ht="15" r="1103" s="183" spans="1:15">
      <c r="A1103" s="37">
        <f>E1103</f>
        <v/>
      </c>
      <c r="B1103" s="117" t="s">
        <v>162</v>
      </c>
      <c r="C1103" s="117" t="s">
        <v>51</v>
      </c>
      <c r="D1103" s="117" t="s">
        <v>53</v>
      </c>
      <c r="E1103" s="117" t="s">
        <v>168</v>
      </c>
      <c r="F1103" s="124" t="s">
        <v>169</v>
      </c>
      <c r="G1103" s="117" t="n">
        <v>19000</v>
      </c>
      <c r="H1103" s="117" t="n">
        <v>11</v>
      </c>
      <c r="I1103" s="393" t="n">
        <v>43385.59930555556</v>
      </c>
      <c r="J1103" s="3" t="s">
        <v>156</v>
      </c>
      <c r="K1103" s="171">
        <f>VLOOKUP(D1103,Base!D:E,2,0)</f>
        <v/>
      </c>
    </row>
    <row customHeight="1" ht="15" r="1104" s="183" spans="1:15">
      <c r="A1104" s="37">
        <f>E1104</f>
        <v/>
      </c>
      <c r="B1104" s="117" t="s">
        <v>162</v>
      </c>
      <c r="C1104" s="117" t="s">
        <v>51</v>
      </c>
      <c r="D1104" s="117" t="s">
        <v>54</v>
      </c>
      <c r="E1104" s="117" t="s">
        <v>168</v>
      </c>
      <c r="F1104" s="124" t="s">
        <v>169</v>
      </c>
      <c r="G1104" s="117" t="n">
        <v>16500</v>
      </c>
      <c r="H1104" s="117" t="n">
        <v>10</v>
      </c>
      <c r="I1104" s="393" t="n">
        <v>43385.59930555556</v>
      </c>
      <c r="J1104" s="3" t="s">
        <v>156</v>
      </c>
      <c r="K1104" s="171">
        <f>VLOOKUP(D1104,Base!D:E,2,0)</f>
        <v/>
      </c>
    </row>
    <row customHeight="1" ht="15" r="1105" s="183" spans="1:15">
      <c r="A1105" s="37">
        <f>E1105</f>
        <v/>
      </c>
      <c r="B1105" s="117" t="s">
        <v>162</v>
      </c>
      <c r="C1105" s="117" t="s">
        <v>51</v>
      </c>
      <c r="D1105" s="117" t="s">
        <v>55</v>
      </c>
      <c r="E1105" s="117" t="s">
        <v>168</v>
      </c>
      <c r="F1105" s="124" t="s">
        <v>169</v>
      </c>
      <c r="G1105" s="117" t="n">
        <v>19000</v>
      </c>
      <c r="H1105" s="117" t="n">
        <v>10</v>
      </c>
      <c r="I1105" s="393" t="n">
        <v>43385.59930555556</v>
      </c>
      <c r="J1105" s="3" t="s">
        <v>156</v>
      </c>
      <c r="K1105" s="171">
        <f>VLOOKUP(D1105,Base!D:E,2,0)</f>
        <v/>
      </c>
    </row>
    <row customHeight="1" ht="15" r="1106" s="183" spans="1:15">
      <c r="A1106" s="37">
        <f>E1106</f>
        <v/>
      </c>
      <c r="B1106" s="117" t="s">
        <v>162</v>
      </c>
      <c r="C1106" s="117" t="s">
        <v>51</v>
      </c>
      <c r="D1106" s="117" t="s">
        <v>56</v>
      </c>
      <c r="E1106" s="117" t="s">
        <v>168</v>
      </c>
      <c r="F1106" s="124" t="s">
        <v>169</v>
      </c>
      <c r="G1106" s="117" t="n">
        <v>19000</v>
      </c>
      <c r="H1106" s="117" t="n">
        <v>10</v>
      </c>
      <c r="I1106" s="393" t="n">
        <v>43385.59930555556</v>
      </c>
      <c r="J1106" s="3" t="s">
        <v>156</v>
      </c>
      <c r="K1106" s="171">
        <f>VLOOKUP(D1106,Base!D:E,2,0)</f>
        <v/>
      </c>
    </row>
    <row customHeight="1" ht="15" r="1107" s="183" spans="1:15">
      <c r="A1107" s="37">
        <f>E1107</f>
        <v/>
      </c>
      <c r="B1107" s="117" t="s">
        <v>162</v>
      </c>
      <c r="C1107" s="117" t="s">
        <v>51</v>
      </c>
      <c r="D1107" s="117" t="s">
        <v>57</v>
      </c>
      <c r="E1107" s="117" t="s">
        <v>168</v>
      </c>
      <c r="F1107" s="124" t="s">
        <v>169</v>
      </c>
      <c r="G1107" s="117" t="n">
        <v>19000</v>
      </c>
      <c r="H1107" s="117" t="n">
        <v>11</v>
      </c>
      <c r="I1107" s="393" t="n">
        <v>43385.59930555556</v>
      </c>
      <c r="J1107" s="3" t="s">
        <v>156</v>
      </c>
      <c r="K1107" s="171">
        <f>VLOOKUP(D1107,Base!D:E,2,0)</f>
        <v/>
      </c>
    </row>
    <row customHeight="1" ht="15" r="1108" s="183" spans="1:15">
      <c r="A1108" s="37">
        <f>E1108</f>
        <v/>
      </c>
      <c r="B1108" s="117" t="s">
        <v>162</v>
      </c>
      <c r="C1108" s="117" t="s">
        <v>58</v>
      </c>
      <c r="D1108" s="117" t="s">
        <v>59</v>
      </c>
      <c r="E1108" s="117" t="s">
        <v>168</v>
      </c>
      <c r="F1108" s="124" t="s">
        <v>169</v>
      </c>
      <c r="G1108" s="117" t="n">
        <v>13550</v>
      </c>
      <c r="H1108" s="117" t="n">
        <v>18</v>
      </c>
      <c r="I1108" s="393" t="n">
        <v>43385.59930555556</v>
      </c>
      <c r="J1108" s="3" t="s">
        <v>156</v>
      </c>
      <c r="K1108" s="171">
        <f>VLOOKUP(D1108,Base!D:E,2,0)</f>
        <v/>
      </c>
    </row>
    <row customHeight="1" ht="15" r="1109" s="183" spans="1:15">
      <c r="A1109" s="37">
        <f>E1109</f>
        <v/>
      </c>
      <c r="B1109" s="117" t="s">
        <v>162</v>
      </c>
      <c r="C1109" s="117" t="s">
        <v>58</v>
      </c>
      <c r="D1109" s="117" t="s">
        <v>60</v>
      </c>
      <c r="E1109" s="117" t="s">
        <v>168</v>
      </c>
      <c r="F1109" s="124" t="s">
        <v>169</v>
      </c>
      <c r="G1109" s="117" t="n">
        <v>13550</v>
      </c>
      <c r="H1109" s="117" t="n">
        <v>34</v>
      </c>
      <c r="I1109" s="393" t="n">
        <v>43385.59930555556</v>
      </c>
      <c r="J1109" s="3" t="s">
        <v>156</v>
      </c>
      <c r="K1109" s="171">
        <f>VLOOKUP(D1109,Base!D:E,2,0)</f>
        <v/>
      </c>
    </row>
    <row customHeight="1" ht="15" r="1110" s="183" spans="1:15">
      <c r="A1110" s="37">
        <f>E1110</f>
        <v/>
      </c>
      <c r="B1110" s="117" t="s">
        <v>162</v>
      </c>
      <c r="C1110" s="117" t="s">
        <v>58</v>
      </c>
      <c r="D1110" s="117" t="s">
        <v>61</v>
      </c>
      <c r="E1110" s="117" t="s">
        <v>168</v>
      </c>
      <c r="F1110" s="124" t="s">
        <v>169</v>
      </c>
      <c r="G1110" s="117" t="n">
        <v>15990</v>
      </c>
      <c r="H1110" s="117" t="n">
        <v>18</v>
      </c>
      <c r="I1110" s="393" t="n">
        <v>43385.59861111111</v>
      </c>
      <c r="J1110" s="3" t="s">
        <v>156</v>
      </c>
      <c r="K1110" s="171">
        <f>VLOOKUP(D1110,Base!D:E,2,0)</f>
        <v/>
      </c>
    </row>
    <row customHeight="1" ht="15" r="1111" s="183" spans="1:15">
      <c r="A1111" s="37">
        <f>E1111</f>
        <v/>
      </c>
      <c r="B1111" s="117" t="s">
        <v>162</v>
      </c>
      <c r="C1111" s="117" t="s">
        <v>58</v>
      </c>
      <c r="D1111" s="117" t="s">
        <v>62</v>
      </c>
      <c r="E1111" s="117" t="s">
        <v>168</v>
      </c>
      <c r="F1111" s="124" t="s">
        <v>169</v>
      </c>
      <c r="G1111" s="117" t="n">
        <v>13550</v>
      </c>
      <c r="H1111" s="117" t="n">
        <v>34</v>
      </c>
      <c r="I1111" s="393" t="n">
        <v>43385.59930555556</v>
      </c>
      <c r="J1111" s="3" t="s">
        <v>156</v>
      </c>
      <c r="K1111" s="171">
        <f>VLOOKUP(D1111,Base!D:E,2,0)</f>
        <v/>
      </c>
    </row>
    <row customHeight="1" ht="15" r="1112" s="183" spans="1:15">
      <c r="A1112" s="37">
        <f>E1112</f>
        <v/>
      </c>
      <c r="B1112" s="117" t="s">
        <v>162</v>
      </c>
      <c r="C1112" s="117" t="s">
        <v>63</v>
      </c>
      <c r="D1112" s="117" t="s">
        <v>64</v>
      </c>
      <c r="E1112" s="117" t="s">
        <v>168</v>
      </c>
      <c r="F1112" s="124" t="s">
        <v>169</v>
      </c>
      <c r="G1112" s="117" t="n">
        <v>11990</v>
      </c>
      <c r="H1112" s="117" t="n">
        <v>34</v>
      </c>
      <c r="I1112" s="393" t="n">
        <v>43385.59861111111</v>
      </c>
      <c r="J1112" s="3" t="s">
        <v>156</v>
      </c>
      <c r="K1112" s="171">
        <f>VLOOKUP(D1112,Base!D:E,2,0)</f>
        <v/>
      </c>
    </row>
    <row customHeight="1" ht="15" r="1113" s="183" spans="1:15">
      <c r="A1113" s="37">
        <f>E1113</f>
        <v/>
      </c>
      <c r="B1113" s="117" t="s">
        <v>162</v>
      </c>
      <c r="C1113" s="117" t="s">
        <v>63</v>
      </c>
      <c r="D1113" s="117" t="s">
        <v>65</v>
      </c>
      <c r="E1113" s="117" t="s">
        <v>168</v>
      </c>
      <c r="F1113" s="124" t="s">
        <v>169</v>
      </c>
      <c r="G1113" s="117" t="n">
        <v>13550</v>
      </c>
      <c r="H1113" s="117" t="n">
        <v>36</v>
      </c>
      <c r="I1113" s="393" t="n">
        <v>43385.59861111111</v>
      </c>
      <c r="J1113" s="3" t="s">
        <v>156</v>
      </c>
      <c r="K1113" s="171">
        <f>VLOOKUP(D1113,Base!D:E,2,0)</f>
        <v/>
      </c>
    </row>
    <row customHeight="1" ht="15" r="1114" s="183" spans="1:15">
      <c r="A1114" s="37">
        <f>E1114</f>
        <v/>
      </c>
      <c r="B1114" s="117" t="s">
        <v>162</v>
      </c>
      <c r="C1114" s="117" t="s">
        <v>63</v>
      </c>
      <c r="D1114" s="117" t="s">
        <v>66</v>
      </c>
      <c r="E1114" s="117" t="s">
        <v>168</v>
      </c>
      <c r="F1114" s="124" t="s">
        <v>169</v>
      </c>
      <c r="G1114" s="117" t="n">
        <v>19990</v>
      </c>
      <c r="H1114" s="117" t="n">
        <v>26</v>
      </c>
      <c r="I1114" s="393" t="n">
        <v>43385.59861111111</v>
      </c>
      <c r="J1114" s="3" t="s">
        <v>156</v>
      </c>
      <c r="K1114" s="171">
        <f>VLOOKUP(D1114,Base!D:E,2,0)</f>
        <v/>
      </c>
    </row>
    <row customHeight="1" ht="15" r="1115" s="183" spans="1:15">
      <c r="A1115" s="37">
        <f>E1115</f>
        <v/>
      </c>
      <c r="B1115" s="117" t="s">
        <v>162</v>
      </c>
      <c r="C1115" s="117" t="s">
        <v>63</v>
      </c>
      <c r="D1115" s="117" t="s">
        <v>67</v>
      </c>
      <c r="E1115" s="117" t="s">
        <v>168</v>
      </c>
      <c r="F1115" s="124" t="s">
        <v>169</v>
      </c>
      <c r="G1115" s="117" t="n">
        <v>11550</v>
      </c>
      <c r="H1115" s="117" t="n">
        <v>26</v>
      </c>
      <c r="I1115" s="393" t="n">
        <v>43385.59930555556</v>
      </c>
      <c r="J1115" s="3" t="s">
        <v>156</v>
      </c>
      <c r="K1115" s="171">
        <f>VLOOKUP(D1115,Base!D:E,2,0)</f>
        <v/>
      </c>
    </row>
    <row customHeight="1" ht="15" r="1116" s="183" spans="1:15">
      <c r="A1116" s="37">
        <f>E1116</f>
        <v/>
      </c>
      <c r="B1116" s="117" t="s">
        <v>162</v>
      </c>
      <c r="C1116" s="117" t="s">
        <v>68</v>
      </c>
      <c r="D1116" s="117" t="s">
        <v>69</v>
      </c>
      <c r="E1116" s="117" t="s">
        <v>168</v>
      </c>
      <c r="F1116" s="124" t="s">
        <v>169</v>
      </c>
      <c r="G1116" s="117" t="n">
        <v>13550</v>
      </c>
      <c r="H1116" s="117" t="n">
        <v>10</v>
      </c>
      <c r="I1116" s="393" t="n">
        <v>43385.59930555556</v>
      </c>
      <c r="J1116" s="3" t="s">
        <v>156</v>
      </c>
      <c r="K1116" s="171">
        <f>VLOOKUP(D1116,Base!D:E,2,0)</f>
        <v/>
      </c>
    </row>
    <row customHeight="1" ht="15" r="1117" s="183" spans="1:15">
      <c r="A1117" s="37">
        <f>E1117</f>
        <v/>
      </c>
      <c r="B1117" s="117" t="s">
        <v>162</v>
      </c>
      <c r="C1117" s="117" t="s">
        <v>68</v>
      </c>
      <c r="D1117" s="117" t="s">
        <v>70</v>
      </c>
      <c r="E1117" s="117" t="s">
        <v>168</v>
      </c>
      <c r="F1117" s="124" t="s">
        <v>169</v>
      </c>
      <c r="G1117" s="117" t="n">
        <v>20990</v>
      </c>
      <c r="H1117" s="117" t="n">
        <v>10</v>
      </c>
      <c r="I1117" s="393" t="n">
        <v>43385.59861111111</v>
      </c>
      <c r="J1117" s="3" t="s">
        <v>156</v>
      </c>
      <c r="K1117" s="171">
        <f>VLOOKUP(D1117,Base!D:E,2,0)</f>
        <v/>
      </c>
    </row>
    <row customHeight="1" ht="15" r="1118" s="183" spans="1:15">
      <c r="A1118" s="37">
        <f>E1118</f>
        <v/>
      </c>
      <c r="B1118" s="117" t="s">
        <v>162</v>
      </c>
      <c r="C1118" s="117" t="s">
        <v>73</v>
      </c>
      <c r="D1118" s="117" t="s">
        <v>74</v>
      </c>
      <c r="E1118" s="117" t="s">
        <v>168</v>
      </c>
      <c r="F1118" s="124" t="s">
        <v>169</v>
      </c>
      <c r="G1118" s="117" t="n">
        <v>21990</v>
      </c>
      <c r="H1118" s="117" t="n">
        <v>26</v>
      </c>
      <c r="I1118" s="393" t="n">
        <v>43385.59930555556</v>
      </c>
      <c r="J1118" s="3" t="s">
        <v>156</v>
      </c>
      <c r="K1118" s="171">
        <f>VLOOKUP(D1118,Base!D:E,2,0)</f>
        <v/>
      </c>
    </row>
    <row customHeight="1" ht="15" r="1119" s="183" spans="1:15">
      <c r="A1119" s="37">
        <f>E1119</f>
        <v/>
      </c>
      <c r="B1119" s="117" t="s">
        <v>162</v>
      </c>
      <c r="C1119" s="117" t="s">
        <v>75</v>
      </c>
      <c r="D1119" s="117" t="s">
        <v>76</v>
      </c>
      <c r="E1119" s="117" t="s">
        <v>168</v>
      </c>
      <c r="F1119" s="124" t="s">
        <v>169</v>
      </c>
      <c r="G1119" s="117" t="n">
        <v>8590</v>
      </c>
      <c r="H1119" s="117" t="n">
        <v>10</v>
      </c>
      <c r="I1119" s="393" t="n">
        <v>43385.59930555556</v>
      </c>
      <c r="J1119" s="3" t="s">
        <v>156</v>
      </c>
      <c r="K1119" s="171">
        <f>VLOOKUP(D1119,Base!D:E,2,0)</f>
        <v/>
      </c>
    </row>
    <row customHeight="1" ht="15" r="1120" s="183" spans="1:15">
      <c r="A1120" s="37">
        <f>E1120</f>
        <v/>
      </c>
      <c r="B1120" s="117" t="s">
        <v>162</v>
      </c>
      <c r="C1120" s="117" t="s">
        <v>75</v>
      </c>
      <c r="D1120" s="117" t="s">
        <v>77</v>
      </c>
      <c r="E1120" s="117" t="s">
        <v>168</v>
      </c>
      <c r="F1120" s="124" t="s">
        <v>169</v>
      </c>
      <c r="G1120" s="117" t="n">
        <v>9450</v>
      </c>
      <c r="H1120" s="117" t="n">
        <v>10</v>
      </c>
      <c r="I1120" s="393" t="n">
        <v>43385.59930555556</v>
      </c>
      <c r="J1120" s="3" t="s">
        <v>156</v>
      </c>
      <c r="K1120" s="171">
        <f>VLOOKUP(D1120,Base!D:E,2,0)</f>
        <v/>
      </c>
    </row>
    <row customHeight="1" ht="15" r="1121" s="183" spans="1:15">
      <c r="A1121" s="37">
        <f>E1121</f>
        <v/>
      </c>
      <c r="B1121" s="117" t="s">
        <v>162</v>
      </c>
      <c r="C1121" s="117" t="s">
        <v>75</v>
      </c>
      <c r="D1121" s="117" t="s">
        <v>78</v>
      </c>
      <c r="E1121" s="117" t="s">
        <v>168</v>
      </c>
      <c r="F1121" s="124" t="s">
        <v>169</v>
      </c>
      <c r="G1121" s="117" t="n">
        <v>10890</v>
      </c>
      <c r="H1121" s="117" t="n">
        <v>11</v>
      </c>
      <c r="I1121" s="393" t="n">
        <v>43385.59930555556</v>
      </c>
      <c r="J1121" s="3" t="s">
        <v>156</v>
      </c>
      <c r="K1121" s="171">
        <f>VLOOKUP(D1121,Base!D:E,2,0)</f>
        <v/>
      </c>
    </row>
    <row customHeight="1" ht="15" r="1122" s="183" spans="1:15">
      <c r="A1122" s="37">
        <f>E1122</f>
        <v/>
      </c>
      <c r="B1122" s="117" t="s">
        <v>162</v>
      </c>
      <c r="C1122" s="117" t="s">
        <v>75</v>
      </c>
      <c r="D1122" s="117" t="s">
        <v>79</v>
      </c>
      <c r="E1122" s="117" t="s">
        <v>168</v>
      </c>
      <c r="F1122" s="124" t="s">
        <v>169</v>
      </c>
      <c r="G1122" s="117" t="n">
        <v>8590</v>
      </c>
      <c r="H1122" s="117" t="n">
        <v>10</v>
      </c>
      <c r="I1122" s="393" t="n">
        <v>43385.59930555556</v>
      </c>
      <c r="J1122" s="3" t="s">
        <v>156</v>
      </c>
      <c r="K1122" s="171">
        <f>VLOOKUP(D1122,Base!D:E,2,0)</f>
        <v/>
      </c>
    </row>
    <row customHeight="1" ht="15" r="1123" s="183" spans="1:15">
      <c r="A1123" s="37">
        <f>E1123</f>
        <v/>
      </c>
      <c r="B1123" s="117" t="s">
        <v>162</v>
      </c>
      <c r="C1123" s="117" t="s">
        <v>75</v>
      </c>
      <c r="D1123" s="117" t="s">
        <v>80</v>
      </c>
      <c r="E1123" s="117" t="s">
        <v>168</v>
      </c>
      <c r="F1123" s="124" t="s">
        <v>169</v>
      </c>
      <c r="G1123" s="117" t="n">
        <v>9450</v>
      </c>
      <c r="H1123" s="117" t="n">
        <v>10</v>
      </c>
      <c r="I1123" s="393" t="n">
        <v>43385.59930555556</v>
      </c>
      <c r="J1123" s="3" t="s">
        <v>156</v>
      </c>
      <c r="K1123" s="171">
        <f>VLOOKUP(D1123,Base!D:E,2,0)</f>
        <v/>
      </c>
    </row>
    <row customHeight="1" ht="15" r="1124" s="183" spans="1:15">
      <c r="A1124" s="37">
        <f>E1124</f>
        <v/>
      </c>
      <c r="B1124" s="117" t="s">
        <v>162</v>
      </c>
      <c r="C1124" s="117" t="s">
        <v>75</v>
      </c>
      <c r="D1124" s="117" t="s">
        <v>81</v>
      </c>
      <c r="E1124" s="117" t="s">
        <v>168</v>
      </c>
      <c r="F1124" s="124" t="s">
        <v>169</v>
      </c>
      <c r="G1124" s="117" t="n">
        <v>9990</v>
      </c>
      <c r="H1124" s="117" t="n">
        <v>11</v>
      </c>
      <c r="I1124" s="393" t="n">
        <v>43385.59930555556</v>
      </c>
      <c r="J1124" s="3" t="s">
        <v>156</v>
      </c>
      <c r="K1124" s="171">
        <f>VLOOKUP(D1124,Base!D:E,2,0)</f>
        <v/>
      </c>
    </row>
    <row customHeight="1" ht="15" r="1125" s="183" spans="1:15">
      <c r="A1125" s="37">
        <f>E1125</f>
        <v/>
      </c>
      <c r="B1125" s="117" t="s">
        <v>162</v>
      </c>
      <c r="C1125" s="117" t="s">
        <v>75</v>
      </c>
      <c r="D1125" s="117" t="s">
        <v>82</v>
      </c>
      <c r="E1125" s="117" t="s">
        <v>168</v>
      </c>
      <c r="F1125" s="124" t="s">
        <v>169</v>
      </c>
      <c r="G1125" s="117" t="n">
        <v>11750</v>
      </c>
      <c r="H1125" s="117" t="n">
        <v>11</v>
      </c>
      <c r="I1125" s="393" t="n">
        <v>43385.59930555556</v>
      </c>
      <c r="J1125" s="3" t="s">
        <v>156</v>
      </c>
      <c r="K1125" s="171">
        <f>VLOOKUP(D1125,Base!D:E,2,0)</f>
        <v/>
      </c>
    </row>
    <row customHeight="1" ht="15" r="1126" s="183" spans="1:15">
      <c r="A1126" s="37">
        <f>E1126</f>
        <v/>
      </c>
      <c r="B1126" s="117" t="s">
        <v>162</v>
      </c>
      <c r="C1126" s="117" t="s">
        <v>75</v>
      </c>
      <c r="D1126" s="117" t="s">
        <v>83</v>
      </c>
      <c r="E1126" s="117" t="s">
        <v>168</v>
      </c>
      <c r="F1126" s="124" t="s">
        <v>169</v>
      </c>
      <c r="G1126" s="117" t="n">
        <v>9990</v>
      </c>
      <c r="H1126" s="117" t="n">
        <v>10</v>
      </c>
      <c r="I1126" s="393" t="n">
        <v>43385.59930555556</v>
      </c>
      <c r="J1126" s="3" t="s">
        <v>156</v>
      </c>
      <c r="K1126" s="171">
        <f>VLOOKUP(D1126,Base!D:E,2,0)</f>
        <v/>
      </c>
    </row>
    <row customHeight="1" ht="15" r="1127" s="183" spans="1:15">
      <c r="A1127" s="37">
        <f>E1127</f>
        <v/>
      </c>
      <c r="B1127" s="117" t="s">
        <v>162</v>
      </c>
      <c r="C1127" s="117" t="s">
        <v>75</v>
      </c>
      <c r="D1127" s="117" t="s">
        <v>84</v>
      </c>
      <c r="E1127" s="117" t="s">
        <v>168</v>
      </c>
      <c r="F1127" s="124" t="s">
        <v>169</v>
      </c>
      <c r="G1127" s="117" t="n">
        <v>9450</v>
      </c>
      <c r="H1127" s="117" t="n">
        <v>10</v>
      </c>
      <c r="I1127" s="393" t="n">
        <v>43385.59930555556</v>
      </c>
      <c r="J1127" s="3" t="s">
        <v>156</v>
      </c>
      <c r="K1127" s="171">
        <f>VLOOKUP(D1127,Base!D:E,2,0)</f>
        <v/>
      </c>
    </row>
    <row customHeight="1" ht="15" r="1128" s="183" spans="1:15">
      <c r="A1128" s="37">
        <f>E1128</f>
        <v/>
      </c>
      <c r="B1128" s="117" t="s">
        <v>162</v>
      </c>
      <c r="C1128" s="117" t="s">
        <v>75</v>
      </c>
      <c r="D1128" s="117" t="s">
        <v>85</v>
      </c>
      <c r="E1128" s="117" t="s">
        <v>168</v>
      </c>
      <c r="F1128" s="124" t="s">
        <v>169</v>
      </c>
      <c r="G1128" s="117" t="n">
        <v>8990</v>
      </c>
      <c r="H1128" s="117" t="n">
        <v>10</v>
      </c>
      <c r="I1128" s="393" t="n">
        <v>43385.59861111111</v>
      </c>
      <c r="J1128" s="3" t="s">
        <v>156</v>
      </c>
      <c r="K1128" s="171">
        <f>VLOOKUP(D1128,Base!D:E,2,0)</f>
        <v/>
      </c>
    </row>
    <row customHeight="1" ht="15" r="1129" s="183" spans="1:15">
      <c r="A1129" s="37">
        <f>E1129</f>
        <v/>
      </c>
      <c r="B1129" s="117" t="s">
        <v>162</v>
      </c>
      <c r="C1129" s="117" t="s">
        <v>86</v>
      </c>
      <c r="D1129" s="117" t="s">
        <v>87</v>
      </c>
      <c r="E1129" s="117" t="s">
        <v>168</v>
      </c>
      <c r="F1129" s="124" t="s">
        <v>169</v>
      </c>
      <c r="G1129" s="117" t="n">
        <v>8990</v>
      </c>
      <c r="H1129" s="117" t="n">
        <v>26</v>
      </c>
      <c r="I1129" s="393" t="n">
        <v>43385.59930555556</v>
      </c>
      <c r="J1129" s="3" t="s">
        <v>156</v>
      </c>
      <c r="K1129" s="171">
        <f>VLOOKUP(D1129,Base!D:E,2,0)</f>
        <v/>
      </c>
    </row>
    <row customHeight="1" ht="15" r="1130" s="183" spans="1:15">
      <c r="A1130" s="37">
        <f>E1130</f>
        <v/>
      </c>
      <c r="B1130" s="117" t="s">
        <v>162</v>
      </c>
      <c r="C1130" s="117" t="s">
        <v>86</v>
      </c>
      <c r="D1130" s="117" t="s">
        <v>88</v>
      </c>
      <c r="E1130" s="117" t="s">
        <v>168</v>
      </c>
      <c r="F1130" s="124" t="s">
        <v>169</v>
      </c>
      <c r="G1130" s="117" t="n">
        <v>12990</v>
      </c>
      <c r="H1130" s="117" t="n">
        <v>25</v>
      </c>
      <c r="I1130" s="393" t="n">
        <v>43385.59930555556</v>
      </c>
      <c r="J1130" s="3" t="s">
        <v>156</v>
      </c>
      <c r="K1130" s="171">
        <f>VLOOKUP(D1130,Base!D:E,2,0)</f>
        <v/>
      </c>
    </row>
    <row customHeight="1" ht="15" r="1131" s="183" spans="1:15">
      <c r="A1131" s="37">
        <f>E1131</f>
        <v/>
      </c>
      <c r="B1131" s="117" t="s">
        <v>162</v>
      </c>
      <c r="C1131" s="117" t="s">
        <v>86</v>
      </c>
      <c r="D1131" s="117" t="s">
        <v>89</v>
      </c>
      <c r="E1131" s="117" t="s">
        <v>168</v>
      </c>
      <c r="F1131" s="124" t="s">
        <v>169</v>
      </c>
      <c r="G1131" s="117" t="n">
        <v>14990</v>
      </c>
      <c r="H1131" s="117" t="n">
        <v>8</v>
      </c>
      <c r="I1131" s="393" t="n">
        <v>43385.59930555556</v>
      </c>
      <c r="J1131" s="3" t="s">
        <v>156</v>
      </c>
      <c r="K1131" s="171">
        <f>VLOOKUP(D1131,Base!D:E,2,0)</f>
        <v/>
      </c>
    </row>
    <row customHeight="1" ht="15" r="1132" s="183" spans="1:15">
      <c r="A1132" s="37">
        <f>E1132</f>
        <v/>
      </c>
      <c r="B1132" s="117" t="s">
        <v>162</v>
      </c>
      <c r="C1132" s="117" t="s">
        <v>86</v>
      </c>
      <c r="D1132" s="117" t="s">
        <v>90</v>
      </c>
      <c r="E1132" s="117" t="s">
        <v>168</v>
      </c>
      <c r="F1132" s="124" t="s">
        <v>169</v>
      </c>
      <c r="G1132" s="117" t="n">
        <v>14990</v>
      </c>
      <c r="H1132" s="117" t="n">
        <v>25</v>
      </c>
      <c r="I1132" s="393" t="n">
        <v>43385.59930555556</v>
      </c>
      <c r="J1132" s="3" t="s">
        <v>156</v>
      </c>
      <c r="K1132" s="171">
        <f>VLOOKUP(D1132,Base!D:E,2,0)</f>
        <v/>
      </c>
    </row>
    <row customHeight="1" ht="15" r="1133" s="183" spans="1:15">
      <c r="A1133" s="37">
        <f>E1133</f>
        <v/>
      </c>
      <c r="B1133" s="117" t="s">
        <v>162</v>
      </c>
      <c r="C1133" s="117" t="s">
        <v>86</v>
      </c>
      <c r="D1133" s="117" t="s">
        <v>91</v>
      </c>
      <c r="E1133" s="117" t="s">
        <v>168</v>
      </c>
      <c r="F1133" s="124" t="s">
        <v>169</v>
      </c>
      <c r="G1133" s="117" t="n">
        <v>11990</v>
      </c>
      <c r="H1133" s="117" t="n">
        <v>25</v>
      </c>
      <c r="I1133" s="393" t="n">
        <v>43385.59930555556</v>
      </c>
      <c r="J1133" s="3" t="s">
        <v>156</v>
      </c>
      <c r="K1133" s="171">
        <f>VLOOKUP(D1133,Base!D:E,2,0)</f>
        <v/>
      </c>
    </row>
    <row customHeight="1" ht="15" r="1134" s="183" spans="1:15">
      <c r="A1134" s="37">
        <f>E1134</f>
        <v/>
      </c>
      <c r="B1134" s="117" t="s">
        <v>162</v>
      </c>
      <c r="C1134" s="117" t="s">
        <v>86</v>
      </c>
      <c r="D1134" s="117" t="s">
        <v>92</v>
      </c>
      <c r="E1134" s="117" t="s">
        <v>168</v>
      </c>
      <c r="F1134" s="124" t="s">
        <v>169</v>
      </c>
      <c r="G1134" s="117" t="n">
        <v>11990</v>
      </c>
      <c r="H1134" s="117" t="n">
        <v>26</v>
      </c>
      <c r="I1134" s="393" t="n">
        <v>43385.59930555556</v>
      </c>
      <c r="J1134" s="3" t="s">
        <v>156</v>
      </c>
      <c r="K1134" s="171">
        <f>VLOOKUP(D1134,Base!D:E,2,0)</f>
        <v/>
      </c>
    </row>
    <row customHeight="1" ht="15" r="1135" s="183" spans="1:15">
      <c r="A1135" s="37">
        <f>E1135</f>
        <v/>
      </c>
      <c r="B1135" s="117" t="s">
        <v>162</v>
      </c>
      <c r="C1135" s="117" t="s">
        <v>86</v>
      </c>
      <c r="D1135" s="117" t="s">
        <v>93</v>
      </c>
      <c r="E1135" s="117" t="s">
        <v>168</v>
      </c>
      <c r="F1135" s="124" t="s">
        <v>169</v>
      </c>
      <c r="G1135" s="117" t="n">
        <v>9990</v>
      </c>
      <c r="H1135" s="117" t="n">
        <v>8</v>
      </c>
      <c r="I1135" s="393" t="n">
        <v>43385.59930555556</v>
      </c>
      <c r="J1135" s="3" t="s">
        <v>156</v>
      </c>
      <c r="K1135" s="171">
        <f>VLOOKUP(D1135,Base!D:E,2,0)</f>
        <v/>
      </c>
    </row>
    <row customHeight="1" ht="15" r="1136" s="183" spans="1:15">
      <c r="A1136" s="37">
        <f>E1136</f>
        <v/>
      </c>
      <c r="B1136" s="117" t="s">
        <v>162</v>
      </c>
      <c r="C1136" s="117" t="s">
        <v>86</v>
      </c>
      <c r="D1136" s="117" t="s">
        <v>94</v>
      </c>
      <c r="E1136" s="117" t="s">
        <v>168</v>
      </c>
      <c r="F1136" s="124" t="s">
        <v>169</v>
      </c>
      <c r="G1136" s="117" t="n">
        <v>10990</v>
      </c>
      <c r="H1136" s="117" t="n">
        <v>25</v>
      </c>
      <c r="I1136" s="393" t="n">
        <v>43385.59930555556</v>
      </c>
      <c r="J1136" s="3" t="s">
        <v>156</v>
      </c>
      <c r="K1136" s="171">
        <f>VLOOKUP(D1136,Base!D:E,2,0)</f>
        <v/>
      </c>
    </row>
    <row customHeight="1" ht="15" r="1137" s="183" spans="1:15">
      <c r="A1137" s="37">
        <f>E1137</f>
        <v/>
      </c>
      <c r="B1137" s="117" t="s">
        <v>162</v>
      </c>
      <c r="C1137" s="117" t="s">
        <v>86</v>
      </c>
      <c r="D1137" s="117" t="s">
        <v>95</v>
      </c>
      <c r="E1137" s="117" t="s">
        <v>168</v>
      </c>
      <c r="F1137" s="124" t="s">
        <v>169</v>
      </c>
      <c r="G1137" s="117" t="n">
        <v>14990</v>
      </c>
      <c r="H1137" s="117" t="n">
        <v>25</v>
      </c>
      <c r="I1137" s="393" t="n">
        <v>43385.59930555556</v>
      </c>
      <c r="J1137" s="3" t="s">
        <v>156</v>
      </c>
      <c r="K1137" s="171">
        <f>VLOOKUP(D1137,Base!D:E,2,0)</f>
        <v/>
      </c>
    </row>
    <row customHeight="1" ht="15" r="1138" s="183" spans="1:15">
      <c r="A1138" s="37">
        <f>E1138</f>
        <v/>
      </c>
      <c r="B1138" s="117" t="s">
        <v>162</v>
      </c>
      <c r="C1138" s="117" t="s">
        <v>96</v>
      </c>
      <c r="D1138" s="117" t="s">
        <v>97</v>
      </c>
      <c r="E1138" s="117" t="s">
        <v>168</v>
      </c>
      <c r="F1138" s="124" t="s">
        <v>169</v>
      </c>
      <c r="G1138" s="117" t="n">
        <v>10990</v>
      </c>
      <c r="H1138" s="117" t="n">
        <v>15</v>
      </c>
      <c r="I1138" s="393" t="n">
        <v>43385.59930555556</v>
      </c>
      <c r="J1138" s="3" t="s">
        <v>156</v>
      </c>
      <c r="K1138" s="171">
        <f>VLOOKUP(D1138,Base!D:E,2,0)</f>
        <v/>
      </c>
    </row>
    <row customHeight="1" ht="15" r="1139" s="183" spans="1:15">
      <c r="A1139" s="37">
        <f>E1139</f>
        <v/>
      </c>
      <c r="B1139" s="117" t="s">
        <v>162</v>
      </c>
      <c r="C1139" s="117" t="s">
        <v>96</v>
      </c>
      <c r="D1139" s="117" t="s">
        <v>98</v>
      </c>
      <c r="E1139" s="117" t="s">
        <v>168</v>
      </c>
      <c r="F1139" s="124" t="s">
        <v>169</v>
      </c>
      <c r="G1139" s="117" t="n">
        <v>7990</v>
      </c>
      <c r="H1139" s="117" t="n">
        <v>15</v>
      </c>
      <c r="I1139" s="393" t="n">
        <v>43385.59861111111</v>
      </c>
      <c r="J1139" s="3" t="s">
        <v>156</v>
      </c>
      <c r="K1139" s="171">
        <f>VLOOKUP(D1139,Base!D:E,2,0)</f>
        <v/>
      </c>
    </row>
    <row customHeight="1" ht="15" r="1140" s="183" spans="1:15">
      <c r="A1140" s="37">
        <f>E1140</f>
        <v/>
      </c>
      <c r="B1140" s="117" t="s">
        <v>162</v>
      </c>
      <c r="C1140" s="117" t="s">
        <v>96</v>
      </c>
      <c r="D1140" s="117" t="s">
        <v>99</v>
      </c>
      <c r="E1140" s="117" t="s">
        <v>168</v>
      </c>
      <c r="F1140" s="124" t="s">
        <v>169</v>
      </c>
      <c r="G1140" s="117" t="n">
        <v>11650</v>
      </c>
      <c r="H1140" s="117" t="n">
        <v>15</v>
      </c>
      <c r="I1140" s="393" t="n">
        <v>43385.59930555556</v>
      </c>
      <c r="J1140" s="3" t="s">
        <v>156</v>
      </c>
      <c r="K1140" s="171">
        <f>VLOOKUP(D1140,Base!D:E,2,0)</f>
        <v/>
      </c>
    </row>
    <row customHeight="1" ht="15" r="1141" s="183" spans="1:15">
      <c r="A1141" s="37">
        <f>E1141</f>
        <v/>
      </c>
      <c r="B1141" s="117" t="s">
        <v>162</v>
      </c>
      <c r="C1141" s="117" t="s">
        <v>96</v>
      </c>
      <c r="D1141" s="117" t="s">
        <v>100</v>
      </c>
      <c r="E1141" s="117" t="s">
        <v>168</v>
      </c>
      <c r="F1141" s="124" t="s">
        <v>169</v>
      </c>
      <c r="G1141" s="117" t="n">
        <v>10850</v>
      </c>
      <c r="H1141" s="117" t="n">
        <v>15</v>
      </c>
      <c r="I1141" s="393" t="n">
        <v>43385.59930555556</v>
      </c>
      <c r="J1141" s="3" t="s">
        <v>156</v>
      </c>
      <c r="K1141" s="171">
        <f>VLOOKUP(D1141,Base!D:E,2,0)</f>
        <v/>
      </c>
    </row>
    <row customHeight="1" ht="15" r="1142" s="183" spans="1:15">
      <c r="A1142" s="37">
        <f>E1142</f>
        <v/>
      </c>
      <c r="B1142" s="117" t="s">
        <v>162</v>
      </c>
      <c r="C1142" s="117" t="s">
        <v>101</v>
      </c>
      <c r="D1142" s="117" t="s">
        <v>102</v>
      </c>
      <c r="E1142" s="117" t="s">
        <v>168</v>
      </c>
      <c r="F1142" s="124" t="s">
        <v>169</v>
      </c>
      <c r="G1142" s="117" t="n">
        <v>11990</v>
      </c>
      <c r="H1142" s="117" t="n">
        <v>11</v>
      </c>
      <c r="I1142" s="393" t="n">
        <v>43385.59930555556</v>
      </c>
      <c r="J1142" s="3" t="s">
        <v>156</v>
      </c>
      <c r="K1142" s="171">
        <f>VLOOKUP(D1142,Base!D:E,2,0)</f>
        <v/>
      </c>
    </row>
    <row customHeight="1" ht="15" r="1143" s="183" spans="1:15">
      <c r="A1143" s="37">
        <f>E1143</f>
        <v/>
      </c>
      <c r="B1143" s="117" t="s">
        <v>162</v>
      </c>
      <c r="C1143" s="117" t="s">
        <v>101</v>
      </c>
      <c r="D1143" s="117" t="s">
        <v>103</v>
      </c>
      <c r="E1143" s="117" t="s">
        <v>168</v>
      </c>
      <c r="F1143" s="124" t="s">
        <v>169</v>
      </c>
      <c r="G1143" s="117" t="n">
        <v>15000</v>
      </c>
      <c r="H1143" s="117" t="n">
        <v>15</v>
      </c>
      <c r="I1143" s="393" t="n">
        <v>43385.59930555556</v>
      </c>
      <c r="J1143" s="3" t="s">
        <v>156</v>
      </c>
      <c r="K1143" s="171">
        <f>VLOOKUP(D1143,Base!D:E,2,0)</f>
        <v/>
      </c>
    </row>
    <row customHeight="1" ht="15" r="1144" s="183" spans="1:15">
      <c r="A1144" s="37">
        <f>E1144</f>
        <v/>
      </c>
      <c r="B1144" s="117" t="s">
        <v>162</v>
      </c>
      <c r="C1144" s="117" t="s">
        <v>101</v>
      </c>
      <c r="D1144" s="117" t="s">
        <v>104</v>
      </c>
      <c r="E1144" s="117" t="s">
        <v>168</v>
      </c>
      <c r="F1144" s="124" t="s">
        <v>169</v>
      </c>
      <c r="G1144" s="117" t="n">
        <v>11990</v>
      </c>
      <c r="H1144" s="117" t="n">
        <v>12</v>
      </c>
      <c r="I1144" s="393" t="n">
        <v>43385.59930555556</v>
      </c>
      <c r="J1144" s="3" t="s">
        <v>156</v>
      </c>
      <c r="K1144" s="171">
        <f>VLOOKUP(D1144,Base!D:E,2,0)</f>
        <v/>
      </c>
    </row>
    <row customHeight="1" ht="15" r="1145" s="183" spans="1:15">
      <c r="A1145" s="37">
        <f>E1145</f>
        <v/>
      </c>
      <c r="B1145" s="117" t="s">
        <v>162</v>
      </c>
      <c r="C1145" s="117" t="s">
        <v>105</v>
      </c>
      <c r="D1145" s="117" t="s">
        <v>106</v>
      </c>
      <c r="E1145" s="117" t="s">
        <v>168</v>
      </c>
      <c r="F1145" s="124" t="s">
        <v>169</v>
      </c>
      <c r="G1145" s="117" t="n">
        <v>8990</v>
      </c>
      <c r="H1145" s="117" t="n">
        <v>4</v>
      </c>
      <c r="I1145" s="393" t="n">
        <v>43385.59930555556</v>
      </c>
      <c r="J1145" s="3" t="s">
        <v>156</v>
      </c>
      <c r="K1145" s="171">
        <f>VLOOKUP(D1145,Base!D:E,2,0)</f>
        <v/>
      </c>
    </row>
    <row customHeight="1" ht="15" r="1146" s="183" spans="1:15">
      <c r="A1146" s="37">
        <f>E1146</f>
        <v/>
      </c>
      <c r="B1146" s="117" t="s">
        <v>162</v>
      </c>
      <c r="C1146" s="117" t="s">
        <v>105</v>
      </c>
      <c r="D1146" s="117" t="s">
        <v>107</v>
      </c>
      <c r="E1146" s="117" t="s">
        <v>168</v>
      </c>
      <c r="F1146" s="124" t="s">
        <v>169</v>
      </c>
      <c r="G1146" s="117" t="n">
        <v>8990</v>
      </c>
      <c r="H1146" s="117" t="n">
        <v>6</v>
      </c>
      <c r="I1146" s="393" t="n">
        <v>43385.59930555556</v>
      </c>
      <c r="J1146" s="3" t="s">
        <v>156</v>
      </c>
      <c r="K1146" s="171">
        <f>VLOOKUP(D1146,Base!D:E,2,0)</f>
        <v/>
      </c>
    </row>
    <row customHeight="1" ht="15" r="1147" s="183" spans="1:15">
      <c r="A1147" s="37">
        <f>E1147</f>
        <v/>
      </c>
      <c r="B1147" s="117" t="s">
        <v>162</v>
      </c>
      <c r="C1147" s="117" t="s">
        <v>105</v>
      </c>
      <c r="D1147" s="117" t="s">
        <v>108</v>
      </c>
      <c r="E1147" s="117" t="s">
        <v>168</v>
      </c>
      <c r="F1147" s="124" t="s">
        <v>169</v>
      </c>
      <c r="G1147" s="117" t="n">
        <v>8990</v>
      </c>
      <c r="H1147" s="117" t="n">
        <v>4</v>
      </c>
      <c r="I1147" s="393" t="n">
        <v>43385.59930555556</v>
      </c>
      <c r="J1147" s="3" t="s">
        <v>156</v>
      </c>
      <c r="K1147" s="171">
        <f>VLOOKUP(D1147,Base!D:E,2,0)</f>
        <v/>
      </c>
    </row>
    <row customHeight="1" ht="15" r="1148" s="183" spans="1:15">
      <c r="A1148" s="37">
        <f>E1148</f>
        <v/>
      </c>
      <c r="B1148" s="117" t="s">
        <v>162</v>
      </c>
      <c r="C1148" s="117" t="s">
        <v>105</v>
      </c>
      <c r="D1148" s="117" t="s">
        <v>109</v>
      </c>
      <c r="E1148" s="117" t="s">
        <v>168</v>
      </c>
      <c r="F1148" s="124" t="s">
        <v>169</v>
      </c>
      <c r="G1148" s="117" t="n">
        <v>8990</v>
      </c>
      <c r="H1148" s="117" t="n">
        <v>4</v>
      </c>
      <c r="I1148" s="393" t="n">
        <v>43385.59861111111</v>
      </c>
      <c r="J1148" s="3" t="s">
        <v>156</v>
      </c>
      <c r="K1148" s="171">
        <f>VLOOKUP(D1148,Base!D:E,2,0)</f>
        <v/>
      </c>
    </row>
    <row customHeight="1" ht="15" r="1149" s="183" spans="1:15">
      <c r="A1149" s="37">
        <f>E1149</f>
        <v/>
      </c>
      <c r="B1149" s="117" t="s">
        <v>162</v>
      </c>
      <c r="C1149" s="117" t="s">
        <v>105</v>
      </c>
      <c r="D1149" s="117" t="s">
        <v>110</v>
      </c>
      <c r="E1149" s="117" t="s">
        <v>168</v>
      </c>
      <c r="F1149" s="124" t="s">
        <v>169</v>
      </c>
      <c r="G1149" s="117" t="n">
        <v>8990</v>
      </c>
      <c r="H1149" s="117" t="n">
        <v>4</v>
      </c>
      <c r="I1149" s="393" t="n">
        <v>43385.59930555556</v>
      </c>
      <c r="J1149" s="3" t="s">
        <v>156</v>
      </c>
      <c r="K1149" s="171">
        <f>VLOOKUP(D1149,Base!D:E,2,0)</f>
        <v/>
      </c>
    </row>
    <row customHeight="1" ht="15" r="1150" s="183" spans="1:15">
      <c r="A1150" s="37">
        <f>E1150</f>
        <v/>
      </c>
      <c r="B1150" s="117" t="s">
        <v>162</v>
      </c>
      <c r="C1150" s="117" t="s">
        <v>105</v>
      </c>
      <c r="D1150" s="117" t="s">
        <v>111</v>
      </c>
      <c r="E1150" s="117" t="s">
        <v>168</v>
      </c>
      <c r="F1150" s="124" t="s">
        <v>169</v>
      </c>
      <c r="G1150" s="117" t="n">
        <v>8990</v>
      </c>
      <c r="H1150" s="117" t="n">
        <v>4</v>
      </c>
      <c r="I1150" s="393" t="n">
        <v>43385.59861111111</v>
      </c>
      <c r="J1150" s="3" t="s">
        <v>156</v>
      </c>
      <c r="K1150" s="171">
        <f>VLOOKUP(D1150,Base!D:E,2,0)</f>
        <v/>
      </c>
    </row>
    <row customHeight="1" ht="15" r="1151" s="183" spans="1:15">
      <c r="A1151" s="37">
        <f>E1151</f>
        <v/>
      </c>
      <c r="B1151" s="117" t="s">
        <v>162</v>
      </c>
      <c r="C1151" s="117" t="s">
        <v>105</v>
      </c>
      <c r="D1151" s="117" t="s">
        <v>112</v>
      </c>
      <c r="E1151" s="117" t="s">
        <v>168</v>
      </c>
      <c r="F1151" s="124" t="s">
        <v>169</v>
      </c>
      <c r="G1151" s="117" t="n">
        <v>8990</v>
      </c>
      <c r="H1151" s="117" t="n">
        <v>6</v>
      </c>
      <c r="I1151" s="393" t="n">
        <v>43385.59930555556</v>
      </c>
      <c r="J1151" s="3" t="s">
        <v>156</v>
      </c>
      <c r="K1151" s="171">
        <f>VLOOKUP(D1151,Base!D:E,2,0)</f>
        <v/>
      </c>
    </row>
    <row customHeight="1" ht="15" r="1152" s="183" spans="1:15">
      <c r="A1152" s="37">
        <f>E1152</f>
        <v/>
      </c>
      <c r="B1152" s="117" t="s">
        <v>162</v>
      </c>
      <c r="C1152" s="117" t="s">
        <v>105</v>
      </c>
      <c r="D1152" s="117" t="s">
        <v>113</v>
      </c>
      <c r="E1152" s="117" t="s">
        <v>168</v>
      </c>
      <c r="F1152" s="124" t="s">
        <v>169</v>
      </c>
      <c r="G1152" s="117" t="n">
        <v>8990</v>
      </c>
      <c r="H1152" s="117" t="n">
        <v>4</v>
      </c>
      <c r="I1152" s="393" t="n">
        <v>43385.59930555556</v>
      </c>
      <c r="J1152" s="3" t="s">
        <v>156</v>
      </c>
      <c r="K1152" s="171">
        <f>VLOOKUP(D1152,Base!D:E,2,0)</f>
        <v/>
      </c>
    </row>
    <row customHeight="1" ht="15" r="1153" s="183" spans="1:15">
      <c r="A1153" s="37">
        <f>E1153</f>
        <v/>
      </c>
      <c r="B1153" s="117" t="s">
        <v>162</v>
      </c>
      <c r="C1153" s="117" t="s">
        <v>105</v>
      </c>
      <c r="D1153" s="117" t="s">
        <v>114</v>
      </c>
      <c r="E1153" s="117" t="s">
        <v>168</v>
      </c>
      <c r="F1153" s="124" t="s">
        <v>169</v>
      </c>
      <c r="G1153" s="117" t="n">
        <v>8990</v>
      </c>
      <c r="H1153" s="117" t="n">
        <v>4</v>
      </c>
      <c r="I1153" s="393" t="n">
        <v>43385.59930555556</v>
      </c>
      <c r="J1153" s="3" t="s">
        <v>156</v>
      </c>
      <c r="K1153" s="171">
        <f>VLOOKUP(D1153,Base!D:E,2,0)</f>
        <v/>
      </c>
    </row>
    <row customHeight="1" ht="15" r="1154" s="183" spans="1:15">
      <c r="A1154" s="37">
        <f>E1154</f>
        <v/>
      </c>
      <c r="B1154" s="117" t="s">
        <v>162</v>
      </c>
      <c r="C1154" s="117" t="s">
        <v>105</v>
      </c>
      <c r="D1154" s="117" t="s">
        <v>115</v>
      </c>
      <c r="E1154" s="117" t="s">
        <v>168</v>
      </c>
      <c r="F1154" s="124" t="s">
        <v>169</v>
      </c>
      <c r="G1154" s="117" t="n">
        <v>8990</v>
      </c>
      <c r="H1154" s="117" t="n">
        <v>4</v>
      </c>
      <c r="I1154" s="393" t="n">
        <v>43385.59930555556</v>
      </c>
      <c r="J1154" s="3" t="s">
        <v>156</v>
      </c>
      <c r="K1154" s="171">
        <f>VLOOKUP(D1154,Base!D:E,2,0)</f>
        <v/>
      </c>
    </row>
    <row customHeight="1" ht="15" r="1155" s="183" spans="1:15">
      <c r="A1155" s="37">
        <f>E1155</f>
        <v/>
      </c>
      <c r="B1155" s="117" t="s">
        <v>162</v>
      </c>
      <c r="C1155" s="117" t="s">
        <v>105</v>
      </c>
      <c r="D1155" s="117" t="s">
        <v>116</v>
      </c>
      <c r="E1155" s="117" t="s">
        <v>168</v>
      </c>
      <c r="F1155" s="124" t="s">
        <v>169</v>
      </c>
      <c r="G1155" s="117" t="n">
        <v>8990</v>
      </c>
      <c r="H1155" s="117" t="n">
        <v>6</v>
      </c>
      <c r="I1155" s="393" t="n">
        <v>43385.59930555556</v>
      </c>
      <c r="J1155" s="3" t="s">
        <v>156</v>
      </c>
      <c r="K1155" s="171">
        <f>VLOOKUP(D1155,Base!D:E,2,0)</f>
        <v/>
      </c>
    </row>
    <row customHeight="1" ht="15" r="1156" s="183" spans="1:15">
      <c r="A1156" s="37">
        <f>E1156</f>
        <v/>
      </c>
      <c r="B1156" s="117" t="s">
        <v>162</v>
      </c>
      <c r="C1156" s="117" t="s">
        <v>105</v>
      </c>
      <c r="D1156" s="117" t="s">
        <v>117</v>
      </c>
      <c r="E1156" s="117" t="s">
        <v>168</v>
      </c>
      <c r="F1156" s="124" t="s">
        <v>169</v>
      </c>
      <c r="G1156" s="117" t="n">
        <v>8990</v>
      </c>
      <c r="H1156" s="117" t="n">
        <v>6</v>
      </c>
      <c r="I1156" s="393" t="n">
        <v>43385.59930555556</v>
      </c>
      <c r="J1156" s="3" t="s">
        <v>156</v>
      </c>
      <c r="K1156" s="171">
        <f>VLOOKUP(D1156,Base!D:E,2,0)</f>
        <v/>
      </c>
    </row>
    <row customHeight="1" ht="15" r="1157" s="183" spans="1:15">
      <c r="A1157" s="37">
        <f>E1157</f>
        <v/>
      </c>
      <c r="B1157" s="117" t="s">
        <v>162</v>
      </c>
      <c r="C1157" s="117" t="s">
        <v>105</v>
      </c>
      <c r="D1157" s="117" t="s">
        <v>118</v>
      </c>
      <c r="E1157" s="117" t="s">
        <v>168</v>
      </c>
      <c r="F1157" s="124" t="s">
        <v>169</v>
      </c>
      <c r="G1157" s="117" t="n">
        <v>7850</v>
      </c>
      <c r="H1157" s="117" t="n">
        <v>6</v>
      </c>
      <c r="I1157" s="393" t="n">
        <v>43385.59930555556</v>
      </c>
      <c r="J1157" s="3" t="s">
        <v>156</v>
      </c>
      <c r="K1157" s="171">
        <f>VLOOKUP(D1157,Base!D:E,2,0)</f>
        <v/>
      </c>
    </row>
    <row customHeight="1" ht="15" r="1158" s="183" spans="1:15">
      <c r="A1158" s="37">
        <f>E1158</f>
        <v/>
      </c>
      <c r="B1158" s="117" t="s">
        <v>162</v>
      </c>
      <c r="C1158" s="117" t="s">
        <v>105</v>
      </c>
      <c r="D1158" s="117" t="s">
        <v>119</v>
      </c>
      <c r="E1158" s="117" t="s">
        <v>168</v>
      </c>
      <c r="F1158" s="124" t="s">
        <v>169</v>
      </c>
      <c r="G1158" s="117" t="n">
        <v>8990</v>
      </c>
      <c r="H1158" s="117" t="n">
        <v>4</v>
      </c>
      <c r="I1158" s="393" t="n">
        <v>43385.59930555556</v>
      </c>
      <c r="J1158" s="3" t="s">
        <v>156</v>
      </c>
      <c r="K1158" s="171">
        <f>VLOOKUP(D1158,Base!D:E,2,0)</f>
        <v/>
      </c>
    </row>
    <row customHeight="1" ht="15" r="1159" s="183" spans="1:15">
      <c r="A1159" s="37">
        <f>E1159</f>
        <v/>
      </c>
      <c r="B1159" s="117" t="s">
        <v>162</v>
      </c>
      <c r="C1159" s="117" t="s">
        <v>105</v>
      </c>
      <c r="D1159" s="117" t="s">
        <v>120</v>
      </c>
      <c r="E1159" s="117" t="s">
        <v>168</v>
      </c>
      <c r="F1159" s="124" t="s">
        <v>169</v>
      </c>
      <c r="G1159" s="117" t="n">
        <v>8850</v>
      </c>
      <c r="H1159" s="117" t="n">
        <v>4</v>
      </c>
      <c r="I1159" s="393" t="n">
        <v>43385.59930555556</v>
      </c>
      <c r="J1159" s="3" t="s">
        <v>156</v>
      </c>
      <c r="K1159" s="171">
        <f>VLOOKUP(D1159,Base!D:E,2,0)</f>
        <v/>
      </c>
    </row>
    <row customHeight="1" ht="15" r="1160" s="183" spans="1:15">
      <c r="A1160" s="37">
        <f>E1160</f>
        <v/>
      </c>
      <c r="B1160" s="117" t="s">
        <v>162</v>
      </c>
      <c r="C1160" s="117" t="s">
        <v>105</v>
      </c>
      <c r="D1160" s="117" t="s">
        <v>121</v>
      </c>
      <c r="E1160" s="117" t="s">
        <v>168</v>
      </c>
      <c r="F1160" s="124" t="s">
        <v>169</v>
      </c>
      <c r="G1160" s="117" t="n">
        <v>8990</v>
      </c>
      <c r="H1160" s="117" t="n">
        <v>5</v>
      </c>
      <c r="I1160" s="393" t="n">
        <v>43385.59930555556</v>
      </c>
      <c r="J1160" s="3" t="s">
        <v>156</v>
      </c>
      <c r="K1160" s="171">
        <f>VLOOKUP(D1160,Base!D:E,2,0)</f>
        <v/>
      </c>
    </row>
    <row customHeight="1" ht="15" r="1161" s="183" spans="1:15">
      <c r="A1161" s="37">
        <f>E1161</f>
        <v/>
      </c>
      <c r="B1161" s="117" t="s">
        <v>162</v>
      </c>
      <c r="C1161" s="117" t="s">
        <v>105</v>
      </c>
      <c r="D1161" s="117" t="s">
        <v>122</v>
      </c>
      <c r="E1161" s="117" t="s">
        <v>168</v>
      </c>
      <c r="F1161" s="124" t="s">
        <v>169</v>
      </c>
      <c r="G1161" s="117" t="n">
        <v>8990</v>
      </c>
      <c r="H1161" s="117" t="n">
        <v>4</v>
      </c>
      <c r="I1161" s="393" t="n">
        <v>43385.59861111111</v>
      </c>
      <c r="J1161" s="3" t="s">
        <v>156</v>
      </c>
      <c r="K1161" s="171">
        <f>VLOOKUP(D1161,Base!D:E,2,0)</f>
        <v/>
      </c>
    </row>
    <row customHeight="1" ht="15" r="1162" s="183" spans="1:15">
      <c r="A1162" s="37">
        <f>E1162</f>
        <v/>
      </c>
      <c r="B1162" s="117" t="s">
        <v>162</v>
      </c>
      <c r="C1162" s="117" t="s">
        <v>105</v>
      </c>
      <c r="D1162" s="117" t="s">
        <v>123</v>
      </c>
      <c r="E1162" s="117" t="s">
        <v>168</v>
      </c>
      <c r="F1162" s="124" t="s">
        <v>169</v>
      </c>
      <c r="G1162" s="117" t="n">
        <v>7490</v>
      </c>
      <c r="H1162" s="117" t="n">
        <v>4</v>
      </c>
      <c r="I1162" s="393" t="n">
        <v>43385.59930555556</v>
      </c>
      <c r="J1162" s="3" t="s">
        <v>156</v>
      </c>
      <c r="K1162" s="171">
        <f>VLOOKUP(D1162,Base!D:E,2,0)</f>
        <v/>
      </c>
    </row>
    <row customHeight="1" ht="15" r="1163" s="183" spans="1:15">
      <c r="A1163" s="37">
        <f>E1163</f>
        <v/>
      </c>
      <c r="B1163" s="117" t="s">
        <v>162</v>
      </c>
      <c r="C1163" s="117" t="s">
        <v>105</v>
      </c>
      <c r="D1163" s="117" t="s">
        <v>124</v>
      </c>
      <c r="E1163" s="117" t="s">
        <v>168</v>
      </c>
      <c r="F1163" s="124" t="s">
        <v>169</v>
      </c>
      <c r="G1163" s="117" t="n">
        <v>7850</v>
      </c>
      <c r="H1163" s="117" t="n">
        <v>6</v>
      </c>
      <c r="I1163" s="393" t="n">
        <v>43385.59930555556</v>
      </c>
      <c r="J1163" s="3" t="s">
        <v>156</v>
      </c>
      <c r="K1163" s="171">
        <f>VLOOKUP(D1163,Base!D:E,2,0)</f>
        <v/>
      </c>
    </row>
    <row customHeight="1" ht="15" r="1164" s="183" spans="1:15">
      <c r="A1164" s="37">
        <f>E1164</f>
        <v/>
      </c>
      <c r="B1164" s="117" t="s">
        <v>162</v>
      </c>
      <c r="C1164" s="117" t="s">
        <v>105</v>
      </c>
      <c r="D1164" s="117" t="s">
        <v>125</v>
      </c>
      <c r="E1164" s="117" t="s">
        <v>168</v>
      </c>
      <c r="F1164" s="124" t="s">
        <v>169</v>
      </c>
      <c r="G1164" s="117" t="n">
        <v>8990</v>
      </c>
      <c r="H1164" s="117" t="n">
        <v>4</v>
      </c>
      <c r="I1164" s="393" t="n">
        <v>43385.59930555556</v>
      </c>
      <c r="J1164" s="3" t="s">
        <v>156</v>
      </c>
      <c r="K1164" s="171">
        <f>VLOOKUP(D1164,Base!D:E,2,0)</f>
        <v/>
      </c>
    </row>
    <row customHeight="1" ht="15" r="1165" s="183" spans="1:15">
      <c r="A1165" s="37">
        <f>E1165</f>
        <v/>
      </c>
      <c r="B1165" s="117" t="s">
        <v>162</v>
      </c>
      <c r="C1165" s="117" t="s">
        <v>105</v>
      </c>
      <c r="D1165" s="117" t="s">
        <v>126</v>
      </c>
      <c r="E1165" s="117" t="s">
        <v>168</v>
      </c>
      <c r="F1165" s="124" t="s">
        <v>169</v>
      </c>
      <c r="G1165" s="117" t="n">
        <v>8990</v>
      </c>
      <c r="H1165" s="117" t="n">
        <v>6</v>
      </c>
      <c r="I1165" s="393" t="n">
        <v>43385.59930555556</v>
      </c>
      <c r="J1165" s="3" t="s">
        <v>156</v>
      </c>
      <c r="K1165" s="171">
        <f>VLOOKUP(D1165,Base!D:E,2,0)</f>
        <v/>
      </c>
    </row>
    <row customHeight="1" ht="15" r="1166" s="183" spans="1:15">
      <c r="A1166" s="37">
        <f>E1166</f>
        <v/>
      </c>
      <c r="B1166" s="117" t="s">
        <v>162</v>
      </c>
      <c r="C1166" s="117" t="s">
        <v>105</v>
      </c>
      <c r="D1166" s="117" t="s">
        <v>127</v>
      </c>
      <c r="E1166" s="117" t="s">
        <v>168</v>
      </c>
      <c r="F1166" s="124" t="s">
        <v>169</v>
      </c>
      <c r="G1166" s="117" t="n">
        <v>10650</v>
      </c>
      <c r="H1166" s="117" t="n">
        <v>7</v>
      </c>
      <c r="I1166" s="393" t="n">
        <v>43385.59930555556</v>
      </c>
      <c r="J1166" s="3" t="s">
        <v>156</v>
      </c>
      <c r="K1166" s="171">
        <f>VLOOKUP(D1166,Base!D:E,2,0)</f>
        <v/>
      </c>
    </row>
    <row customHeight="1" ht="15" r="1167" s="183" spans="1:15">
      <c r="A1167" s="37">
        <f>E1167</f>
        <v/>
      </c>
      <c r="B1167" s="117" t="s">
        <v>162</v>
      </c>
      <c r="C1167" s="117" t="s">
        <v>105</v>
      </c>
      <c r="D1167" s="117" t="s">
        <v>128</v>
      </c>
      <c r="E1167" s="117" t="s">
        <v>168</v>
      </c>
      <c r="F1167" s="124" t="s">
        <v>169</v>
      </c>
      <c r="G1167" s="117" t="n">
        <v>8990</v>
      </c>
      <c r="H1167" s="117" t="n">
        <v>4</v>
      </c>
      <c r="I1167" s="393" t="n">
        <v>43385.59930555556</v>
      </c>
      <c r="J1167" s="3" t="s">
        <v>156</v>
      </c>
      <c r="K1167" s="171">
        <f>VLOOKUP(D1167,Base!D:E,2,0)</f>
        <v/>
      </c>
    </row>
    <row customHeight="1" ht="15" r="1168" s="183" spans="1:15">
      <c r="A1168" s="37">
        <f>E1168</f>
        <v/>
      </c>
      <c r="B1168" s="117" t="s">
        <v>162</v>
      </c>
      <c r="C1168" s="117" t="s">
        <v>105</v>
      </c>
      <c r="D1168" s="117" t="s">
        <v>129</v>
      </c>
      <c r="E1168" s="117" t="s">
        <v>168</v>
      </c>
      <c r="F1168" s="124" t="s">
        <v>169</v>
      </c>
      <c r="G1168" s="117" t="n">
        <v>8650</v>
      </c>
      <c r="H1168" s="117" t="n">
        <v>6</v>
      </c>
      <c r="I1168" s="393" t="n">
        <v>43385.59930555556</v>
      </c>
      <c r="J1168" s="3" t="s">
        <v>156</v>
      </c>
      <c r="K1168" s="171">
        <f>VLOOKUP(D1168,Base!D:E,2,0)</f>
        <v/>
      </c>
    </row>
    <row customHeight="1" ht="15" r="1169" s="183" spans="1:15">
      <c r="A1169" s="37">
        <f>E1169</f>
        <v/>
      </c>
      <c r="B1169" s="117" t="s">
        <v>162</v>
      </c>
      <c r="C1169" s="117" t="s">
        <v>105</v>
      </c>
      <c r="D1169" s="117" t="s">
        <v>130</v>
      </c>
      <c r="E1169" s="117" t="s">
        <v>168</v>
      </c>
      <c r="F1169" s="124" t="s">
        <v>169</v>
      </c>
      <c r="G1169" s="117" t="n">
        <v>9490</v>
      </c>
      <c r="H1169" s="117" t="n">
        <v>4</v>
      </c>
      <c r="I1169" s="393" t="n">
        <v>43385.59930555556</v>
      </c>
      <c r="J1169" s="3" t="s">
        <v>156</v>
      </c>
      <c r="K1169" s="171">
        <f>VLOOKUP(D1169,Base!D:E,2,0)</f>
        <v/>
      </c>
    </row>
    <row customHeight="1" ht="15" r="1170" s="183" spans="1:15">
      <c r="A1170" s="37">
        <f>E1170</f>
        <v/>
      </c>
      <c r="B1170" s="117" t="s">
        <v>162</v>
      </c>
      <c r="C1170" s="117" t="s">
        <v>105</v>
      </c>
      <c r="D1170" s="117" t="s">
        <v>131</v>
      </c>
      <c r="E1170" s="117" t="s">
        <v>168</v>
      </c>
      <c r="F1170" s="124" t="s">
        <v>169</v>
      </c>
      <c r="G1170" s="117" t="n">
        <v>7490</v>
      </c>
      <c r="H1170" s="117" t="n">
        <v>4</v>
      </c>
      <c r="I1170" s="393" t="n">
        <v>43385.59930555556</v>
      </c>
      <c r="J1170" s="3" t="s">
        <v>156</v>
      </c>
      <c r="K1170" s="171">
        <f>VLOOKUP(D1170,Base!D:E,2,0)</f>
        <v/>
      </c>
    </row>
    <row customHeight="1" ht="15" r="1171" s="183" spans="1:15">
      <c r="A1171" s="37">
        <f>E1171</f>
        <v/>
      </c>
      <c r="B1171" s="117" t="s">
        <v>162</v>
      </c>
      <c r="C1171" s="117" t="s">
        <v>105</v>
      </c>
      <c r="D1171" s="117" t="s">
        <v>132</v>
      </c>
      <c r="E1171" s="117" t="s">
        <v>168</v>
      </c>
      <c r="F1171" s="124" t="s">
        <v>169</v>
      </c>
      <c r="G1171" s="117" t="n">
        <v>8850</v>
      </c>
      <c r="H1171" s="117" t="n">
        <v>6</v>
      </c>
      <c r="I1171" s="393" t="n">
        <v>43385.59930555556</v>
      </c>
      <c r="J1171" s="3" t="s">
        <v>156</v>
      </c>
      <c r="K1171" s="171">
        <f>VLOOKUP(D1171,Base!D:E,2,0)</f>
        <v/>
      </c>
    </row>
    <row customHeight="1" ht="15" r="1172" s="183" spans="1:15">
      <c r="A1172" s="37">
        <f>E1172</f>
        <v/>
      </c>
      <c r="B1172" s="117" t="s">
        <v>162</v>
      </c>
      <c r="C1172" s="117" t="s">
        <v>105</v>
      </c>
      <c r="D1172" s="117" t="s">
        <v>133</v>
      </c>
      <c r="E1172" s="117" t="s">
        <v>168</v>
      </c>
      <c r="F1172" s="124" t="s">
        <v>169</v>
      </c>
      <c r="G1172" s="117" t="n">
        <v>8990</v>
      </c>
      <c r="H1172" s="117" t="n">
        <v>4</v>
      </c>
      <c r="I1172" s="393" t="n">
        <v>43385.59930555556</v>
      </c>
      <c r="J1172" s="3" t="s">
        <v>156</v>
      </c>
      <c r="K1172" s="171">
        <f>VLOOKUP(D1172,Base!D:E,2,0)</f>
        <v/>
      </c>
    </row>
    <row customHeight="1" ht="15" r="1173" s="183" spans="1:15">
      <c r="A1173" s="37">
        <f>E1173</f>
        <v/>
      </c>
      <c r="B1173" s="117" t="s">
        <v>162</v>
      </c>
      <c r="C1173" s="117" t="s">
        <v>105</v>
      </c>
      <c r="D1173" s="117" t="s">
        <v>134</v>
      </c>
      <c r="E1173" s="117" t="s">
        <v>168</v>
      </c>
      <c r="F1173" s="124" t="s">
        <v>169</v>
      </c>
      <c r="G1173" s="117" t="n">
        <v>8990</v>
      </c>
      <c r="H1173" s="117" t="n">
        <v>5</v>
      </c>
      <c r="I1173" s="393" t="n">
        <v>43385.59930555556</v>
      </c>
      <c r="J1173" s="3" t="s">
        <v>156</v>
      </c>
      <c r="K1173" s="171">
        <f>VLOOKUP(D1173,Base!D:E,2,0)</f>
        <v/>
      </c>
    </row>
    <row customHeight="1" ht="15" r="1174" s="183" spans="1:15">
      <c r="A1174" s="37">
        <f>E1174</f>
        <v/>
      </c>
      <c r="B1174" s="117" t="s">
        <v>162</v>
      </c>
      <c r="C1174" s="117" t="s">
        <v>105</v>
      </c>
      <c r="D1174" s="117" t="s">
        <v>135</v>
      </c>
      <c r="E1174" s="117" t="s">
        <v>168</v>
      </c>
      <c r="F1174" s="124" t="s">
        <v>169</v>
      </c>
      <c r="G1174" s="117" t="n">
        <v>8990</v>
      </c>
      <c r="H1174" s="117" t="n">
        <v>6</v>
      </c>
      <c r="I1174" s="393" t="n">
        <v>43385.59861111111</v>
      </c>
      <c r="J1174" s="3" t="s">
        <v>156</v>
      </c>
      <c r="K1174" s="171">
        <f>VLOOKUP(D1174,Base!D:E,2,0)</f>
        <v/>
      </c>
    </row>
    <row customHeight="1" ht="15" r="1175" s="183" spans="1:15">
      <c r="A1175" s="37">
        <f>E1175</f>
        <v/>
      </c>
      <c r="B1175" s="117" t="s">
        <v>162</v>
      </c>
      <c r="C1175" s="117" t="s">
        <v>105</v>
      </c>
      <c r="D1175" s="117" t="s">
        <v>136</v>
      </c>
      <c r="E1175" s="124" t="s">
        <v>168</v>
      </c>
      <c r="F1175" s="124" t="s">
        <v>169</v>
      </c>
      <c r="G1175" s="124" t="n">
        <v>8990</v>
      </c>
      <c r="H1175" s="117" t="n">
        <v>6</v>
      </c>
      <c r="I1175" s="393" t="n">
        <v>43385.59930555556</v>
      </c>
      <c r="J1175" s="3" t="s">
        <v>156</v>
      </c>
      <c r="K1175" s="171">
        <f>VLOOKUP(D1175,Base!D:E,2,0)</f>
        <v/>
      </c>
    </row>
    <row customHeight="1" ht="15" r="1176" s="183" spans="1:15">
      <c r="A1176" s="37">
        <f>E1176</f>
        <v/>
      </c>
      <c r="B1176" s="117" t="s">
        <v>162</v>
      </c>
      <c r="C1176" s="117" t="s">
        <v>105</v>
      </c>
      <c r="D1176" s="117" t="s">
        <v>137</v>
      </c>
      <c r="E1176" s="124" t="s">
        <v>168</v>
      </c>
      <c r="F1176" s="124" t="s">
        <v>169</v>
      </c>
      <c r="G1176" s="124" t="n">
        <v>8990</v>
      </c>
      <c r="H1176" s="117" t="n">
        <v>4</v>
      </c>
      <c r="I1176" s="393" t="n">
        <v>43385.59861111111</v>
      </c>
      <c r="J1176" s="3" t="s">
        <v>156</v>
      </c>
      <c r="K1176" s="171">
        <f>VLOOKUP(D1176,Base!D:E,2,0)</f>
        <v/>
      </c>
    </row>
    <row customHeight="1" ht="15" r="1177" s="183" spans="1:15">
      <c r="A1177" s="37">
        <f>E1177</f>
        <v/>
      </c>
      <c r="B1177" s="117" t="s">
        <v>162</v>
      </c>
      <c r="C1177" s="117" t="s">
        <v>105</v>
      </c>
      <c r="D1177" s="117" t="s">
        <v>138</v>
      </c>
      <c r="E1177" s="124" t="s">
        <v>168</v>
      </c>
      <c r="F1177" s="124" t="s">
        <v>169</v>
      </c>
      <c r="G1177" s="124" t="n">
        <v>8990</v>
      </c>
      <c r="H1177" s="117" t="n">
        <v>4</v>
      </c>
      <c r="I1177" s="393" t="n">
        <v>43385.59930555556</v>
      </c>
      <c r="J1177" s="3" t="s">
        <v>156</v>
      </c>
      <c r="K1177" s="171">
        <f>VLOOKUP(D1177,Base!D:E,2,0)</f>
        <v/>
      </c>
    </row>
    <row customHeight="1" ht="15" r="1178" s="183" spans="1:15">
      <c r="A1178" s="37">
        <f>E1178</f>
        <v/>
      </c>
      <c r="B1178" s="117" t="s">
        <v>162</v>
      </c>
      <c r="C1178" s="117" t="s">
        <v>105</v>
      </c>
      <c r="D1178" s="117" t="s">
        <v>139</v>
      </c>
      <c r="E1178" s="124" t="s">
        <v>168</v>
      </c>
      <c r="F1178" s="124" t="s">
        <v>169</v>
      </c>
      <c r="G1178" s="124" t="n">
        <v>8990</v>
      </c>
      <c r="H1178" s="117" t="n">
        <v>5</v>
      </c>
      <c r="I1178" s="393" t="n">
        <v>43385.59930555556</v>
      </c>
      <c r="J1178" s="3" t="s">
        <v>156</v>
      </c>
      <c r="K1178" s="171">
        <f>VLOOKUP(D1178,Base!D:E,2,0)</f>
        <v/>
      </c>
    </row>
    <row customHeight="1" ht="15" r="1179" s="183" spans="1:15">
      <c r="A1179" s="37">
        <f>E1179</f>
        <v/>
      </c>
      <c r="B1179" s="117" t="s">
        <v>162</v>
      </c>
      <c r="C1179" s="117" t="s">
        <v>105</v>
      </c>
      <c r="D1179" s="117" t="s">
        <v>140</v>
      </c>
      <c r="E1179" s="124" t="s">
        <v>168</v>
      </c>
      <c r="F1179" s="124" t="s">
        <v>169</v>
      </c>
      <c r="G1179" s="124" t="n">
        <v>8990</v>
      </c>
      <c r="H1179" s="117" t="n">
        <v>4</v>
      </c>
      <c r="I1179" s="393" t="n">
        <v>43385.59930555556</v>
      </c>
      <c r="J1179" s="3" t="s">
        <v>156</v>
      </c>
      <c r="K1179" s="171">
        <f>VLOOKUP(D1179,Base!D:E,2,0)</f>
        <v/>
      </c>
    </row>
    <row customHeight="1" ht="15" r="1180" s="183" spans="1:15">
      <c r="A1180" s="37">
        <f>E1180</f>
        <v/>
      </c>
      <c r="B1180" s="117" t="s">
        <v>162</v>
      </c>
      <c r="C1180" s="117" t="s">
        <v>105</v>
      </c>
      <c r="D1180" s="117" t="s">
        <v>141</v>
      </c>
      <c r="E1180" s="124" t="s">
        <v>168</v>
      </c>
      <c r="F1180" s="124" t="s">
        <v>169</v>
      </c>
      <c r="G1180" s="117" t="n">
        <v>8990</v>
      </c>
      <c r="H1180" s="117" t="n">
        <v>4</v>
      </c>
      <c r="I1180" s="393" t="n">
        <v>43385.59930555556</v>
      </c>
      <c r="J1180" s="3" t="s">
        <v>156</v>
      </c>
      <c r="K1180" s="171">
        <f>VLOOKUP(D1180,Base!D:E,2,0)</f>
        <v/>
      </c>
    </row>
    <row customHeight="1" ht="15" r="1181" s="183" spans="1:15">
      <c r="A1181" s="37">
        <f>E1181</f>
        <v/>
      </c>
      <c r="B1181" s="117" t="s">
        <v>162</v>
      </c>
      <c r="C1181" s="117" t="s">
        <v>105</v>
      </c>
      <c r="D1181" s="117" t="s">
        <v>142</v>
      </c>
      <c r="E1181" s="124" t="s">
        <v>168</v>
      </c>
      <c r="F1181" s="124" t="s">
        <v>169</v>
      </c>
      <c r="G1181" s="117" t="n">
        <v>7490</v>
      </c>
      <c r="H1181" s="117" t="n">
        <v>4</v>
      </c>
      <c r="I1181" s="393" t="n">
        <v>43385.59930555556</v>
      </c>
      <c r="J1181" s="3" t="s">
        <v>156</v>
      </c>
      <c r="K1181" s="171">
        <f>VLOOKUP(D1181,Base!D:E,2,0)</f>
        <v/>
      </c>
    </row>
    <row customHeight="1" ht="15" r="1182" s="183" spans="1:15">
      <c r="A1182" s="37">
        <f>E1182</f>
        <v/>
      </c>
      <c r="B1182" s="117" t="s">
        <v>162</v>
      </c>
      <c r="C1182" s="117" t="s">
        <v>105</v>
      </c>
      <c r="D1182" s="117" t="s">
        <v>143</v>
      </c>
      <c r="E1182" s="124" t="s">
        <v>168</v>
      </c>
      <c r="F1182" s="124" t="s">
        <v>169</v>
      </c>
      <c r="G1182" s="117" t="n">
        <v>7490</v>
      </c>
      <c r="H1182" s="117" t="n">
        <v>4</v>
      </c>
      <c r="I1182" s="393" t="n">
        <v>43385.59930555556</v>
      </c>
      <c r="J1182" s="3" t="s">
        <v>156</v>
      </c>
      <c r="K1182" s="171">
        <f>VLOOKUP(D1182,Base!D:E,2,0)</f>
        <v/>
      </c>
    </row>
    <row customHeight="1" ht="15" r="1183" s="183" spans="1:15">
      <c r="A1183" s="37">
        <f>E1183</f>
        <v/>
      </c>
      <c r="B1183" s="117" t="s">
        <v>162</v>
      </c>
      <c r="C1183" s="117" t="s">
        <v>105</v>
      </c>
      <c r="D1183" s="117" t="s">
        <v>144</v>
      </c>
      <c r="E1183" s="124" t="s">
        <v>168</v>
      </c>
      <c r="F1183" s="124" t="s">
        <v>169</v>
      </c>
      <c r="G1183" s="117" t="n">
        <v>7490</v>
      </c>
      <c r="H1183" s="117" t="n">
        <v>4</v>
      </c>
      <c r="I1183" s="393" t="n">
        <v>43385.59930555556</v>
      </c>
      <c r="J1183" s="3" t="s">
        <v>156</v>
      </c>
      <c r="K1183" s="171">
        <f>VLOOKUP(D1183,Base!D:E,2,0)</f>
        <v/>
      </c>
    </row>
    <row customHeight="1" ht="15" r="1184" s="183" spans="1:15">
      <c r="A1184" s="37">
        <f>E1184</f>
        <v/>
      </c>
      <c r="B1184" s="117" t="s">
        <v>162</v>
      </c>
      <c r="C1184" s="117" t="s">
        <v>105</v>
      </c>
      <c r="D1184" s="117" t="s">
        <v>145</v>
      </c>
      <c r="E1184" s="124" t="s">
        <v>168</v>
      </c>
      <c r="F1184" s="124" t="s">
        <v>169</v>
      </c>
      <c r="G1184" s="117" t="n">
        <v>8990</v>
      </c>
      <c r="H1184" s="117" t="n">
        <v>5</v>
      </c>
      <c r="I1184" s="393" t="n">
        <v>43385.59930555556</v>
      </c>
      <c r="J1184" s="3" t="s">
        <v>156</v>
      </c>
      <c r="K1184" s="171">
        <f>VLOOKUP(D1184,Base!D:E,2,0)</f>
        <v/>
      </c>
    </row>
    <row customHeight="1" ht="15" r="1185" s="183" spans="1:15">
      <c r="A1185" s="37">
        <f>E1185</f>
        <v/>
      </c>
      <c r="B1185" s="117" t="s">
        <v>162</v>
      </c>
      <c r="C1185" s="117" t="s">
        <v>105</v>
      </c>
      <c r="D1185" s="117" t="s">
        <v>146</v>
      </c>
      <c r="E1185" s="124" t="s">
        <v>168</v>
      </c>
      <c r="F1185" s="124" t="s">
        <v>169</v>
      </c>
      <c r="G1185" s="117" t="n">
        <v>7850</v>
      </c>
      <c r="H1185" s="117" t="n">
        <v>6</v>
      </c>
      <c r="I1185" s="393" t="n">
        <v>43385.59861111111</v>
      </c>
      <c r="J1185" s="3" t="s">
        <v>156</v>
      </c>
      <c r="K1185" s="171">
        <f>VLOOKUP(D1185,Base!D:E,2,0)</f>
        <v/>
      </c>
    </row>
    <row customHeight="1" ht="15" r="1186" s="183" spans="1:15">
      <c r="A1186" s="37">
        <f>E1186</f>
        <v/>
      </c>
      <c r="B1186" s="117" t="s">
        <v>162</v>
      </c>
      <c r="C1186" s="117" t="s">
        <v>105</v>
      </c>
      <c r="D1186" s="117" t="s">
        <v>147</v>
      </c>
      <c r="E1186" s="124" t="s">
        <v>168</v>
      </c>
      <c r="F1186" s="124" t="s">
        <v>169</v>
      </c>
      <c r="G1186" s="117" t="n">
        <v>8990</v>
      </c>
      <c r="H1186" s="117" t="n">
        <v>4</v>
      </c>
      <c r="I1186" s="393" t="n">
        <v>43385.59930555556</v>
      </c>
      <c r="J1186" s="3" t="s">
        <v>156</v>
      </c>
      <c r="K1186" s="171">
        <f>VLOOKUP(D1186,Base!D:E,2,0)</f>
        <v/>
      </c>
    </row>
    <row customHeight="1" ht="15" r="1187" s="183" spans="1:15">
      <c r="A1187" s="37">
        <f>E1187</f>
        <v/>
      </c>
      <c r="B1187" s="117" t="s">
        <v>162</v>
      </c>
      <c r="C1187" s="117" t="s">
        <v>105</v>
      </c>
      <c r="D1187" s="117" t="s">
        <v>146</v>
      </c>
      <c r="E1187" s="124" t="s">
        <v>168</v>
      </c>
      <c r="F1187" s="124" t="s">
        <v>169</v>
      </c>
      <c r="G1187" s="117" t="n">
        <v>7850</v>
      </c>
      <c r="H1187" s="117" t="n">
        <v>1</v>
      </c>
      <c r="I1187" s="119" t="n">
        <v>-50</v>
      </c>
      <c r="J1187" s="3">
        <f>IF(AND(ISERROR(SEARCH("iphone",F1187,1)),ISERROR(SEARCH("Rack",F1187,1)),ISERROR(SEARCH("LED",F1187,1)),ISERROR(SEARCH("Lavadora",F1187,1)),ISERROR(SEARCH("5.7",F1187,1)),ISERROR(SEARCH("zapato",F1187,1))),"SBT",IF(AND(ISERROR(SEARCH("iphone",F1187,1)),ISERROR(SEARCH("zapato",F1187,1))),"BT",IF(ISERROR(SEARCH("iphone",F1187,1)),"Calzado","MT")))</f>
        <v/>
      </c>
      <c r="K1187" s="171">
        <f>VLOOKUP(D1187,Base!D:E,2,0)</f>
        <v/>
      </c>
    </row>
    <row customHeight="1" ht="15" r="1188" s="183" spans="1:15">
      <c r="A1188" s="37">
        <f>E1188</f>
        <v/>
      </c>
      <c r="B1188" s="172" t="s">
        <v>162</v>
      </c>
      <c r="C1188" s="172" t="s">
        <v>105</v>
      </c>
      <c r="D1188" s="172" t="s">
        <v>147</v>
      </c>
      <c r="E1188" s="173" t="s">
        <v>168</v>
      </c>
      <c r="F1188" s="173" t="s">
        <v>169</v>
      </c>
      <c r="G1188" s="172" t="n">
        <v>7490</v>
      </c>
      <c r="H1188" s="172" t="n">
        <v>1</v>
      </c>
      <c r="I1188" s="174" t="n">
        <v>-50</v>
      </c>
      <c r="J1188" s="3" t="n"/>
    </row>
    <row customHeight="1" ht="15" r="1189" s="183" spans="1:15">
      <c r="A1189" s="37" t="n"/>
      <c r="B1189" s="6" t="n"/>
      <c r="C1189" s="6" t="n"/>
      <c r="D1189" s="6" t="n"/>
      <c r="E1189" s="6" t="n"/>
      <c r="F1189" s="6" t="n"/>
      <c r="G1189" s="6" t="n"/>
      <c r="H1189" s="6" t="n"/>
      <c r="I1189" s="7" t="n"/>
      <c r="J1189" s="3" t="n"/>
    </row>
    <row customHeight="1" ht="15" r="1190" s="183" spans="1:15">
      <c r="A1190" s="37" t="n"/>
      <c r="B1190" s="6" t="n"/>
      <c r="C1190" s="6" t="n"/>
      <c r="D1190" s="6" t="n"/>
      <c r="E1190" s="6" t="n"/>
      <c r="F1190" s="6" t="n"/>
      <c r="G1190" s="6" t="n"/>
      <c r="H1190" s="6" t="n"/>
      <c r="I1190" s="7" t="n"/>
      <c r="J1190" s="3" t="n"/>
    </row>
    <row customHeight="1" ht="15" r="1191" s="183" spans="1:15">
      <c r="A1191" s="37" t="n"/>
      <c r="B1191" s="6" t="n"/>
      <c r="C1191" s="6" t="n"/>
      <c r="D1191" s="6" t="n"/>
      <c r="E1191" s="6" t="n"/>
      <c r="F1191" s="6" t="n"/>
      <c r="G1191" s="6" t="n"/>
      <c r="H1191" s="6" t="n"/>
      <c r="I1191" s="7" t="n"/>
      <c r="J1191" s="3" t="n"/>
    </row>
    <row customHeight="1" ht="15" r="1192" s="183" spans="1:15">
      <c r="A1192" s="37" t="n"/>
      <c r="B1192" s="6" t="n"/>
      <c r="C1192" s="6" t="n"/>
      <c r="D1192" s="6" t="n"/>
      <c r="E1192" s="6" t="n"/>
      <c r="F1192" s="6" t="n"/>
      <c r="G1192" s="6" t="n"/>
      <c r="H1192" s="6" t="n"/>
      <c r="I1192" s="7" t="n"/>
      <c r="J1192" s="3" t="n"/>
    </row>
    <row customHeight="1" ht="15" r="1193" s="183" spans="1:15">
      <c r="A1193" s="37" t="n"/>
      <c r="B1193" s="2" t="n"/>
      <c r="C1193" s="2" t="n"/>
      <c r="D1193" s="6" t="n"/>
      <c r="E1193" s="2" t="n"/>
      <c r="F1193" s="2" t="n"/>
      <c r="G1193" s="2" t="n"/>
      <c r="H1193" s="2" t="n"/>
      <c r="I1193" s="8" t="n"/>
      <c r="J1193" s="3" t="n"/>
    </row>
    <row customHeight="1" ht="15" r="1194" s="183" spans="1:15">
      <c r="A1194" s="37" t="n"/>
      <c r="B1194" s="2" t="n"/>
      <c r="C1194" s="2" t="n"/>
      <c r="D1194" s="6" t="n"/>
      <c r="E1194" s="2" t="n"/>
      <c r="F1194" s="2" t="n"/>
      <c r="G1194" s="2" t="n"/>
      <c r="H1194" s="2" t="n"/>
      <c r="I1194" s="8" t="n"/>
      <c r="J1194" s="3" t="n"/>
    </row>
    <row customHeight="1" ht="15" r="1195" s="183" spans="1:15">
      <c r="A1195" s="37" t="n"/>
      <c r="B1195" s="2" t="n"/>
      <c r="C1195" s="2" t="n"/>
      <c r="D1195" s="6" t="n"/>
      <c r="E1195" s="2" t="n"/>
      <c r="F1195" s="2" t="n"/>
      <c r="G1195" s="2" t="n"/>
      <c r="H1195" s="2" t="n"/>
      <c r="I1195" s="8" t="n"/>
      <c r="J1195" s="3" t="n"/>
    </row>
    <row customHeight="1" ht="15" r="1196" s="183" spans="1:15">
      <c r="A1196" s="37" t="n"/>
      <c r="B1196" s="2" t="n"/>
      <c r="C1196" s="2" t="n"/>
      <c r="D1196" s="6" t="n"/>
      <c r="E1196" s="2" t="n"/>
      <c r="F1196" s="2" t="n"/>
      <c r="G1196" s="2" t="n"/>
      <c r="H1196" s="2" t="n"/>
      <c r="I1196" s="8" t="n"/>
      <c r="J1196" s="3" t="n"/>
    </row>
    <row customHeight="1" ht="15" r="1197" s="183" spans="1:15">
      <c r="A1197" s="37" t="n"/>
      <c r="B1197" s="2" t="n"/>
      <c r="C1197" s="2" t="n"/>
      <c r="D1197" s="6" t="n"/>
      <c r="E1197" s="2" t="n"/>
      <c r="F1197" s="9" t="n"/>
      <c r="G1197" s="2" t="n"/>
      <c r="H1197" s="2" t="n"/>
      <c r="I1197" s="8" t="n"/>
      <c r="J1197" s="3" t="n"/>
    </row>
    <row customHeight="1" ht="15" r="1198" s="183" spans="1:15">
      <c r="A1198" s="37" t="n"/>
      <c r="B1198" s="2" t="n"/>
      <c r="C1198" s="2" t="n"/>
      <c r="D1198" s="6" t="n"/>
      <c r="E1198" s="2" t="n"/>
      <c r="F1198" s="9" t="n"/>
      <c r="G1198" s="2" t="n"/>
      <c r="H1198" s="2" t="n"/>
      <c r="I1198" s="8" t="n"/>
      <c r="J1198" s="3" t="n"/>
    </row>
    <row customHeight="1" ht="15" r="1199" s="183" spans="1:15">
      <c r="A1199" s="37" t="n"/>
      <c r="B1199" s="2" t="n"/>
      <c r="C1199" s="2" t="n"/>
      <c r="D1199" s="6" t="n"/>
      <c r="E1199" s="2" t="n"/>
      <c r="F1199" s="2" t="n"/>
      <c r="G1199" s="2" t="n"/>
      <c r="H1199" s="2" t="n"/>
      <c r="I1199" s="8" t="n"/>
      <c r="J1199" s="3" t="n"/>
    </row>
    <row customHeight="1" ht="15" r="1200" s="183" spans="1:15">
      <c r="A1200" s="37" t="n"/>
      <c r="B1200" s="2" t="n"/>
      <c r="C1200" s="2" t="n"/>
      <c r="D1200" s="6" t="n"/>
      <c r="E1200" s="2" t="n"/>
      <c r="F1200" s="9" t="n"/>
      <c r="G1200" s="2" t="n"/>
      <c r="H1200" s="2" t="n"/>
      <c r="I1200" s="8" t="n"/>
      <c r="J1200" s="3" t="n"/>
    </row>
    <row customHeight="1" ht="15" r="1201" s="183" spans="1:15">
      <c r="A1201" s="37" t="n"/>
      <c r="B1201" s="2" t="n"/>
      <c r="C1201" s="2" t="n"/>
      <c r="D1201" s="6" t="n"/>
      <c r="E1201" s="2" t="n"/>
      <c r="F1201" s="9" t="n"/>
      <c r="G1201" s="2" t="n"/>
      <c r="H1201" s="2" t="n"/>
      <c r="I1201" s="8" t="n"/>
      <c r="J1201" s="3" t="n"/>
    </row>
    <row customHeight="1" ht="15" r="1202" s="183" spans="1:15">
      <c r="A1202" s="37" t="n"/>
      <c r="B1202" s="2" t="n"/>
      <c r="C1202" s="2" t="n"/>
      <c r="D1202" s="6" t="n"/>
      <c r="E1202" s="2" t="n"/>
      <c r="F1202" s="2" t="n"/>
      <c r="G1202" s="2" t="n"/>
      <c r="H1202" s="2" t="n"/>
      <c r="I1202" s="8" t="n"/>
      <c r="J1202" s="3" t="n"/>
    </row>
    <row customHeight="1" ht="15" r="1203" s="183" spans="1:15">
      <c r="A1203" s="37" t="n"/>
      <c r="B1203" s="2" t="n"/>
      <c r="C1203" s="2" t="n"/>
      <c r="D1203" s="6" t="n"/>
      <c r="E1203" s="2" t="n"/>
      <c r="F1203" s="9" t="n"/>
      <c r="G1203" s="2" t="n"/>
      <c r="H1203" s="2" t="n"/>
      <c r="I1203" s="8" t="n"/>
      <c r="J1203" s="3" t="n"/>
    </row>
    <row customHeight="1" ht="15" r="1204" s="183" spans="1:15">
      <c r="A1204" s="37" t="n"/>
      <c r="B1204" s="2" t="n"/>
      <c r="C1204" s="2" t="n"/>
      <c r="D1204" s="6" t="n"/>
      <c r="E1204" s="2" t="n"/>
      <c r="F1204" s="9" t="n"/>
      <c r="G1204" s="2" t="n"/>
      <c r="H1204" s="2" t="n"/>
      <c r="I1204" s="8" t="n"/>
      <c r="J1204" s="3" t="n"/>
    </row>
    <row customHeight="1" ht="15" r="1205" s="183" spans="1:15">
      <c r="A1205" s="37" t="n"/>
      <c r="B1205" s="2" t="n"/>
      <c r="C1205" s="2" t="n"/>
      <c r="D1205" s="6" t="n"/>
      <c r="E1205" s="2" t="n"/>
      <c r="F1205" s="2" t="n"/>
      <c r="G1205" s="2" t="n"/>
      <c r="H1205" s="2" t="n"/>
      <c r="I1205" s="8" t="n"/>
      <c r="J1205" s="3" t="n"/>
    </row>
    <row customHeight="1" ht="15" r="1206" s="183" spans="1:15">
      <c r="A1206" s="37" t="n"/>
      <c r="B1206" s="2" t="n"/>
      <c r="C1206" s="2" t="n"/>
      <c r="D1206" s="6" t="n"/>
      <c r="E1206" s="2" t="n"/>
      <c r="F1206" s="9" t="n"/>
      <c r="G1206" s="2" t="n"/>
      <c r="H1206" s="2" t="n"/>
      <c r="I1206" s="8" t="n"/>
      <c r="J1206" s="3" t="n"/>
    </row>
    <row customHeight="1" ht="15" r="1207" s="183" spans="1:15">
      <c r="A1207" s="37" t="n"/>
      <c r="B1207" s="2" t="n"/>
      <c r="C1207" s="2" t="n"/>
      <c r="D1207" s="2" t="n"/>
      <c r="E1207" s="2" t="n"/>
      <c r="F1207" s="2" t="n"/>
      <c r="G1207" s="2" t="n"/>
      <c r="H1207" s="2" t="n"/>
      <c r="I1207" s="2" t="n"/>
      <c r="J1207" s="3" t="n"/>
    </row>
    <row customHeight="1" ht="15" r="1208" s="183" spans="1:15">
      <c r="A1208" s="37" t="n"/>
      <c r="B1208" s="2" t="n"/>
      <c r="C1208" s="2" t="n"/>
      <c r="D1208" s="2" t="n"/>
      <c r="E1208" s="2" t="n"/>
      <c r="F1208" s="2" t="n"/>
      <c r="G1208" s="2" t="n"/>
      <c r="H1208" s="2" t="n"/>
      <c r="I1208" s="2" t="n"/>
      <c r="J1208" s="3" t="n"/>
    </row>
    <row customHeight="1" ht="15" r="1209" s="183" spans="1:15">
      <c r="A1209" s="37" t="n"/>
      <c r="B1209" s="2" t="n"/>
      <c r="C1209" s="2" t="n"/>
      <c r="D1209" s="2" t="n"/>
      <c r="E1209" s="2" t="n"/>
      <c r="F1209" s="2" t="n"/>
      <c r="G1209" s="2" t="n"/>
      <c r="H1209" s="2" t="n"/>
      <c r="I1209" s="2" t="n"/>
      <c r="J1209" s="3" t="n"/>
    </row>
    <row customHeight="1" ht="15" r="1210" s="183" spans="1:15">
      <c r="A1210" s="37" t="n"/>
      <c r="B1210" s="2" t="n"/>
      <c r="C1210" s="2" t="n"/>
      <c r="D1210" s="2" t="n"/>
      <c r="E1210" s="2" t="n"/>
      <c r="F1210" s="2" t="n"/>
      <c r="G1210" s="2" t="n"/>
      <c r="H1210" s="2" t="n"/>
      <c r="I1210" s="2" t="n"/>
      <c r="J1210" s="3" t="n"/>
    </row>
    <row customHeight="1" ht="15" r="1211" s="183" spans="1:15">
      <c r="A1211" s="37" t="n"/>
      <c r="B1211" s="2" t="n"/>
      <c r="C1211" s="2" t="n"/>
      <c r="D1211" s="2" t="n"/>
      <c r="E1211" s="2" t="n"/>
      <c r="F1211" s="2" t="n"/>
      <c r="G1211" s="2" t="n"/>
      <c r="H1211" s="2" t="n"/>
      <c r="I1211" s="2" t="n"/>
      <c r="J1211" s="3" t="n"/>
    </row>
    <row customHeight="1" ht="15" r="1212" s="183" spans="1:15">
      <c r="A1212" s="37" t="n"/>
      <c r="B1212" s="2" t="n"/>
      <c r="C1212" s="2" t="n"/>
      <c r="D1212" s="2" t="n"/>
      <c r="E1212" s="2" t="n"/>
      <c r="F1212" s="2" t="n"/>
      <c r="G1212" s="2" t="n"/>
      <c r="H1212" s="2" t="n"/>
      <c r="I1212" s="2" t="n"/>
      <c r="J1212" s="3" t="n"/>
    </row>
    <row customHeight="1" ht="15" r="1213" s="183" spans="1:15">
      <c r="A1213" s="37" t="n"/>
      <c r="B1213" s="2" t="n"/>
      <c r="C1213" s="2" t="n"/>
      <c r="D1213" s="2" t="n"/>
      <c r="E1213" s="2" t="n"/>
      <c r="F1213" s="2" t="n"/>
      <c r="G1213" s="2" t="n"/>
      <c r="H1213" s="2" t="n"/>
      <c r="I1213" s="2" t="n"/>
      <c r="J1213" s="3" t="n"/>
    </row>
    <row customHeight="1" ht="15" r="1214" s="183" spans="1:15">
      <c r="A1214" s="37" t="n"/>
      <c r="B1214" s="2" t="n"/>
      <c r="C1214" s="2" t="n"/>
      <c r="D1214" s="2" t="n"/>
      <c r="E1214" s="2" t="n"/>
      <c r="F1214" s="2" t="n"/>
      <c r="G1214" s="2" t="n"/>
      <c r="H1214" s="2" t="n"/>
      <c r="I1214" s="2" t="n"/>
      <c r="J1214" s="3" t="n"/>
    </row>
    <row customHeight="1" ht="15" r="1215" s="183" spans="1:15">
      <c r="A1215" s="37" t="n"/>
      <c r="B1215" s="2" t="n"/>
      <c r="C1215" s="2" t="n"/>
      <c r="D1215" s="2" t="n"/>
      <c r="E1215" s="2" t="n"/>
      <c r="F1215" s="2" t="n"/>
      <c r="G1215" s="2" t="n"/>
      <c r="H1215" s="2" t="n"/>
      <c r="I1215" s="2" t="n"/>
      <c r="J1215" s="3" t="n"/>
    </row>
    <row customHeight="1" ht="15" r="1216" s="183" spans="1:15">
      <c r="A1216" s="37" t="n"/>
      <c r="B1216" s="2" t="n"/>
      <c r="C1216" s="2" t="n"/>
      <c r="D1216" s="2" t="n"/>
      <c r="E1216" s="2" t="n"/>
      <c r="F1216" s="2" t="n"/>
      <c r="G1216" s="2" t="n"/>
      <c r="H1216" s="2" t="n"/>
      <c r="I1216" s="2" t="n"/>
      <c r="J1216" s="3" t="n"/>
    </row>
    <row customHeight="1" ht="15" r="1217" s="183" spans="1:15">
      <c r="A1217" s="37" t="n"/>
      <c r="B1217" s="2" t="n"/>
      <c r="C1217" s="2" t="n"/>
      <c r="D1217" s="2" t="n"/>
      <c r="E1217" s="2" t="n"/>
      <c r="F1217" s="2" t="n"/>
      <c r="G1217" s="2" t="n"/>
      <c r="H1217" s="2" t="n"/>
      <c r="I1217" s="2" t="n"/>
      <c r="J1217" s="3" t="n"/>
    </row>
    <row customHeight="1" ht="15" r="1218" s="183" spans="1:15">
      <c r="A1218" s="37" t="n"/>
      <c r="B1218" s="2" t="n"/>
      <c r="C1218" s="2" t="n"/>
      <c r="D1218" s="2" t="n"/>
      <c r="E1218" s="2" t="n"/>
      <c r="F1218" s="2" t="n"/>
      <c r="G1218" s="2" t="n"/>
      <c r="H1218" s="2" t="n"/>
      <c r="I1218" s="2" t="n"/>
      <c r="J1218" s="3" t="n"/>
    </row>
    <row customHeight="1" ht="15" r="1219" s="183" spans="1:15">
      <c r="A1219" s="37" t="n"/>
      <c r="B1219" s="2" t="n"/>
      <c r="C1219" s="2" t="n"/>
      <c r="D1219" s="2" t="n"/>
      <c r="E1219" s="2" t="n"/>
      <c r="F1219" s="2" t="n"/>
      <c r="G1219" s="2" t="n"/>
      <c r="H1219" s="2" t="n"/>
      <c r="I1219" s="2" t="n"/>
      <c r="J1219" s="3" t="n"/>
    </row>
    <row customHeight="1" ht="15" r="1220" s="183" spans="1:15">
      <c r="A1220" s="37" t="n"/>
      <c r="B1220" s="2" t="n"/>
      <c r="C1220" s="2" t="n"/>
      <c r="D1220" s="2" t="n"/>
      <c r="E1220" s="2" t="n"/>
      <c r="F1220" s="2" t="n"/>
      <c r="G1220" s="2" t="n"/>
      <c r="H1220" s="2" t="n"/>
      <c r="I1220" s="2" t="n"/>
      <c r="J1220" s="3" t="n"/>
    </row>
    <row customHeight="1" ht="15" r="1221" s="183" spans="1:15">
      <c r="A1221" s="37" t="n"/>
      <c r="B1221" s="2" t="n"/>
      <c r="C1221" s="2" t="n"/>
      <c r="D1221" s="2" t="n"/>
      <c r="E1221" s="2" t="n"/>
      <c r="F1221" s="2" t="n"/>
      <c r="G1221" s="2" t="n"/>
      <c r="H1221" s="2" t="n"/>
      <c r="I1221" s="2" t="n"/>
      <c r="J1221" s="3" t="n"/>
    </row>
    <row customHeight="1" ht="15" r="1222" s="183" spans="1:15">
      <c r="A1222" s="37" t="n"/>
      <c r="B1222" s="2" t="n"/>
      <c r="C1222" s="2" t="n"/>
      <c r="D1222" s="2" t="n"/>
      <c r="E1222" s="2" t="n"/>
      <c r="F1222" s="2" t="n"/>
      <c r="G1222" s="2" t="n"/>
      <c r="H1222" s="2" t="n"/>
      <c r="I1222" s="2" t="n"/>
      <c r="J1222" s="3" t="n"/>
    </row>
    <row customHeight="1" ht="15" r="1223" s="183" spans="1:15">
      <c r="A1223" s="37" t="n"/>
      <c r="B1223" s="2" t="n"/>
      <c r="C1223" s="2" t="n"/>
      <c r="D1223" s="2" t="n"/>
      <c r="E1223" s="2" t="n"/>
      <c r="F1223" s="2" t="n"/>
      <c r="G1223" s="2" t="n"/>
      <c r="H1223" s="2" t="n"/>
      <c r="I1223" s="2" t="n"/>
      <c r="J1223" s="3" t="n"/>
    </row>
    <row customHeight="1" ht="15" r="1224" s="183" spans="1:15">
      <c r="A1224" s="37" t="n"/>
      <c r="B1224" s="2" t="n"/>
      <c r="C1224" s="2" t="n"/>
      <c r="D1224" s="2" t="n"/>
      <c r="E1224" s="2" t="n"/>
      <c r="F1224" s="2" t="n"/>
      <c r="G1224" s="2" t="n"/>
      <c r="H1224" s="2" t="n"/>
      <c r="I1224" s="2" t="n"/>
      <c r="J1224" s="3" t="n"/>
    </row>
    <row customHeight="1" ht="15" r="1225" s="183" spans="1:15">
      <c r="A1225" s="37" t="n"/>
      <c r="B1225" s="2" t="n"/>
      <c r="C1225" s="2" t="n"/>
      <c r="D1225" s="2" t="n"/>
      <c r="E1225" s="2" t="n"/>
      <c r="F1225" s="2" t="n"/>
      <c r="G1225" s="2" t="n"/>
      <c r="H1225" s="2" t="n"/>
      <c r="I1225" s="2" t="n"/>
      <c r="J1225" s="3" t="n"/>
    </row>
    <row customHeight="1" ht="15" r="1226" s="183" spans="1:15">
      <c r="A1226" s="37" t="n"/>
      <c r="B1226" s="2" t="n"/>
      <c r="C1226" s="2" t="n"/>
      <c r="D1226" s="2" t="n"/>
      <c r="E1226" s="2" t="n"/>
      <c r="F1226" s="2" t="n"/>
      <c r="G1226" s="2" t="n"/>
      <c r="H1226" s="2" t="n"/>
      <c r="I1226" s="2" t="n"/>
      <c r="J1226" s="3" t="n"/>
    </row>
    <row customHeight="1" ht="15" r="1227" s="183" spans="1:15">
      <c r="A1227" s="37" t="n"/>
      <c r="B1227" s="2" t="n"/>
      <c r="C1227" s="2" t="n"/>
      <c r="D1227" s="2" t="n"/>
      <c r="E1227" s="2" t="n"/>
      <c r="F1227" s="2" t="n"/>
      <c r="G1227" s="2" t="n"/>
      <c r="H1227" s="2" t="n"/>
      <c r="I1227" s="2" t="n"/>
      <c r="J1227" s="3" t="n"/>
    </row>
    <row customHeight="1" ht="15" r="1228" s="183" spans="1:15">
      <c r="A1228" s="37" t="n"/>
      <c r="B1228" s="2" t="n"/>
      <c r="C1228" s="2" t="n"/>
      <c r="D1228" s="2" t="n"/>
      <c r="E1228" s="2" t="n"/>
      <c r="F1228" s="2" t="n"/>
      <c r="G1228" s="2" t="n"/>
      <c r="H1228" s="2" t="n"/>
      <c r="I1228" s="2" t="n"/>
      <c r="J1228" s="3" t="n"/>
    </row>
    <row customHeight="1" ht="15" r="1229" s="183" spans="1:15">
      <c r="A1229" s="37" t="n"/>
      <c r="B1229" s="2" t="n"/>
      <c r="C1229" s="2" t="n"/>
      <c r="D1229" s="2" t="n"/>
      <c r="E1229" s="2" t="n"/>
      <c r="F1229" s="2" t="n"/>
      <c r="G1229" s="2" t="n"/>
      <c r="H1229" s="2" t="n"/>
      <c r="I1229" s="2" t="n"/>
      <c r="J1229" s="3" t="n"/>
    </row>
    <row customHeight="1" ht="15" r="1230" s="183" spans="1:15">
      <c r="A1230" s="37" t="n"/>
      <c r="B1230" s="2" t="n"/>
      <c r="C1230" s="2" t="n"/>
      <c r="D1230" s="2" t="n"/>
      <c r="E1230" s="2" t="n"/>
      <c r="F1230" s="2" t="n"/>
      <c r="G1230" s="2" t="n"/>
      <c r="H1230" s="2" t="n"/>
      <c r="I1230" s="2" t="n"/>
      <c r="J1230" s="3" t="n"/>
    </row>
    <row customHeight="1" ht="15" r="1231" s="183" spans="1:15">
      <c r="A1231" s="37" t="n"/>
      <c r="B1231" s="2" t="n"/>
      <c r="C1231" s="2" t="n"/>
      <c r="D1231" s="2" t="n"/>
      <c r="E1231" s="2" t="n"/>
      <c r="F1231" s="2" t="n"/>
      <c r="G1231" s="2" t="n"/>
      <c r="H1231" s="2" t="n"/>
      <c r="I1231" s="2" t="n"/>
      <c r="J1231" s="3" t="n"/>
    </row>
    <row customHeight="1" ht="15" r="1232" s="183" spans="1:15">
      <c r="A1232" s="37" t="n"/>
      <c r="B1232" s="2" t="n"/>
      <c r="C1232" s="2" t="n"/>
      <c r="D1232" s="2" t="n"/>
      <c r="E1232" s="2" t="n"/>
      <c r="F1232" s="2" t="n"/>
      <c r="G1232" s="2" t="n"/>
      <c r="H1232" s="2" t="n"/>
      <c r="I1232" s="2" t="n"/>
      <c r="J1232" s="3" t="n"/>
    </row>
    <row customHeight="1" ht="15" r="1233" s="183" spans="1:15">
      <c r="A1233" s="37" t="n"/>
      <c r="B1233" s="2" t="n"/>
      <c r="C1233" s="2" t="n"/>
      <c r="D1233" s="2" t="n"/>
      <c r="E1233" s="2" t="n"/>
      <c r="F1233" s="2" t="n"/>
      <c r="G1233" s="2" t="n"/>
      <c r="H1233" s="2" t="n"/>
      <c r="I1233" s="2" t="n"/>
      <c r="J1233" s="3" t="n"/>
    </row>
    <row customHeight="1" ht="15" r="1234" s="183" spans="1:15">
      <c r="A1234" s="37" t="n"/>
      <c r="B1234" s="2" t="n"/>
      <c r="C1234" s="2" t="n"/>
      <c r="D1234" s="2" t="n"/>
      <c r="E1234" s="2" t="n"/>
      <c r="F1234" s="2" t="n"/>
      <c r="G1234" s="2" t="n"/>
      <c r="H1234" s="2" t="n"/>
      <c r="I1234" s="2" t="n"/>
      <c r="J1234" s="3" t="n"/>
    </row>
    <row customHeight="1" ht="15" r="1235" s="183" spans="1:15">
      <c r="A1235" s="37" t="n"/>
      <c r="B1235" s="2" t="n"/>
      <c r="C1235" s="2" t="n"/>
      <c r="D1235" s="2" t="n"/>
      <c r="E1235" s="2" t="n"/>
      <c r="F1235" s="2" t="n"/>
      <c r="G1235" s="2" t="n"/>
      <c r="H1235" s="2" t="n"/>
      <c r="I1235" s="2" t="n"/>
      <c r="J1235" s="3" t="n"/>
    </row>
    <row customHeight="1" ht="15" r="1236" s="183" spans="1:15">
      <c r="A1236" s="37" t="n"/>
      <c r="B1236" s="2" t="n"/>
      <c r="C1236" s="2" t="n"/>
      <c r="D1236" s="2" t="n"/>
      <c r="E1236" s="2" t="n"/>
      <c r="F1236" s="2" t="n"/>
      <c r="G1236" s="2" t="n"/>
      <c r="H1236" s="2" t="n"/>
      <c r="I1236" s="2" t="n"/>
      <c r="J1236" s="3" t="n"/>
    </row>
    <row customHeight="1" ht="15" r="1237" s="183" spans="1:15">
      <c r="A1237" s="37" t="n"/>
      <c r="B1237" s="2" t="n"/>
      <c r="C1237" s="2" t="n"/>
      <c r="D1237" s="2" t="n"/>
      <c r="E1237" s="2" t="n"/>
      <c r="F1237" s="2" t="n"/>
      <c r="G1237" s="2" t="n"/>
      <c r="H1237" s="2" t="n"/>
      <c r="I1237" s="2" t="n"/>
      <c r="J1237" s="3" t="n"/>
    </row>
    <row customHeight="1" ht="15" r="1238" s="183" spans="1:15">
      <c r="A1238" s="37" t="n"/>
      <c r="B1238" s="2" t="n"/>
      <c r="C1238" s="2" t="n"/>
      <c r="D1238" s="2" t="n"/>
      <c r="E1238" s="2" t="n"/>
      <c r="F1238" s="2" t="n"/>
      <c r="G1238" s="2" t="n"/>
      <c r="H1238" s="2" t="n"/>
      <c r="I1238" s="2" t="n"/>
      <c r="J1238" s="3" t="n"/>
    </row>
    <row customHeight="1" ht="15" r="1239" s="183" spans="1:15">
      <c r="A1239" s="37" t="n"/>
      <c r="B1239" s="2" t="n"/>
      <c r="C1239" s="2" t="n"/>
      <c r="D1239" s="2" t="n"/>
      <c r="E1239" s="2" t="n"/>
      <c r="F1239" s="2" t="n"/>
      <c r="G1239" s="2" t="n"/>
      <c r="H1239" s="2" t="n"/>
      <c r="I1239" s="2" t="n"/>
      <c r="J1239" s="3" t="n"/>
    </row>
    <row customHeight="1" ht="15" r="1240" s="183" spans="1:15">
      <c r="A1240" s="37" t="n"/>
      <c r="B1240" s="2" t="n"/>
      <c r="C1240" s="2" t="n"/>
      <c r="D1240" s="2" t="n"/>
      <c r="E1240" s="2" t="n"/>
      <c r="F1240" s="2" t="n"/>
      <c r="G1240" s="2" t="n"/>
      <c r="H1240" s="2" t="n"/>
      <c r="I1240" s="2" t="n"/>
      <c r="J1240" s="3" t="n"/>
    </row>
    <row customHeight="1" ht="15" r="1241" s="183" spans="1:15">
      <c r="A1241" s="37" t="n"/>
      <c r="B1241" s="2" t="n"/>
      <c r="C1241" s="2" t="n"/>
      <c r="D1241" s="2" t="n"/>
      <c r="E1241" s="2" t="n"/>
      <c r="F1241" s="2" t="n"/>
      <c r="G1241" s="2" t="n"/>
      <c r="H1241" s="2" t="n"/>
      <c r="I1241" s="2" t="n"/>
      <c r="J1241" s="3" t="n"/>
    </row>
    <row customHeight="1" ht="15" r="1242" s="183" spans="1:15">
      <c r="A1242" s="37" t="n"/>
      <c r="B1242" s="2" t="n"/>
      <c r="C1242" s="2" t="n"/>
      <c r="D1242" s="2" t="n"/>
      <c r="E1242" s="2" t="n"/>
      <c r="F1242" s="2" t="n"/>
      <c r="G1242" s="2" t="n"/>
      <c r="H1242" s="2" t="n"/>
      <c r="I1242" s="2" t="n"/>
      <c r="J1242" s="3" t="n"/>
    </row>
    <row customHeight="1" ht="15" r="1243" s="183" spans="1:15">
      <c r="A1243" s="37" t="n"/>
      <c r="B1243" s="2" t="n"/>
      <c r="C1243" s="2" t="n"/>
      <c r="D1243" s="2" t="n"/>
      <c r="E1243" s="2" t="n"/>
      <c r="F1243" s="2" t="n"/>
      <c r="G1243" s="2" t="n"/>
      <c r="H1243" s="2" t="n"/>
      <c r="I1243" s="2" t="n"/>
      <c r="J1243" s="3" t="n"/>
    </row>
    <row customHeight="1" ht="15" r="1244" s="183" spans="1:15">
      <c r="A1244" s="37" t="n"/>
      <c r="B1244" s="2" t="n"/>
      <c r="C1244" s="2" t="n"/>
      <c r="D1244" s="2" t="n"/>
      <c r="E1244" s="2" t="n"/>
      <c r="F1244" s="2" t="n"/>
      <c r="G1244" s="2" t="n"/>
      <c r="H1244" s="2" t="n"/>
      <c r="I1244" s="2" t="n"/>
      <c r="J1244" s="3" t="n"/>
    </row>
    <row customHeight="1" ht="15" r="1245" s="183" spans="1:15">
      <c r="A1245" s="37" t="n"/>
      <c r="B1245" s="2" t="n"/>
      <c r="C1245" s="2" t="n"/>
      <c r="D1245" s="2" t="n"/>
      <c r="E1245" s="2" t="n"/>
      <c r="F1245" s="2" t="n"/>
      <c r="G1245" s="2" t="n"/>
      <c r="H1245" s="2" t="n"/>
      <c r="I1245" s="2" t="n"/>
      <c r="J1245" s="3" t="n"/>
    </row>
    <row customHeight="1" ht="15" r="1246" s="183" spans="1:15">
      <c r="A1246" s="37" t="n"/>
      <c r="B1246" s="2" t="n"/>
      <c r="C1246" s="2" t="n"/>
      <c r="D1246" s="2" t="n"/>
      <c r="E1246" s="2" t="n"/>
      <c r="F1246" s="2" t="n"/>
      <c r="G1246" s="2" t="n"/>
      <c r="H1246" s="2" t="n"/>
      <c r="I1246" s="2" t="n"/>
      <c r="J1246" s="3" t="n"/>
    </row>
    <row customHeight="1" ht="15" r="1247" s="183" spans="1:15">
      <c r="A1247" s="37" t="n"/>
      <c r="B1247" s="2" t="n"/>
      <c r="C1247" s="2" t="n"/>
      <c r="D1247" s="2" t="n"/>
      <c r="E1247" s="2" t="n"/>
      <c r="F1247" s="2" t="n"/>
      <c r="G1247" s="2" t="n"/>
      <c r="H1247" s="2" t="n"/>
      <c r="I1247" s="2" t="n"/>
      <c r="J1247" s="3" t="n"/>
    </row>
    <row customHeight="1" ht="15" r="1248" s="183" spans="1:15">
      <c r="A1248" s="37" t="n"/>
      <c r="B1248" s="2" t="n"/>
      <c r="C1248" s="2" t="n"/>
      <c r="D1248" s="2" t="n"/>
      <c r="E1248" s="2" t="n"/>
      <c r="F1248" s="2" t="n"/>
      <c r="G1248" s="2" t="n"/>
      <c r="H1248" s="2" t="n"/>
      <c r="I1248" s="2" t="n"/>
      <c r="J1248" s="3" t="n"/>
    </row>
    <row customHeight="1" ht="15" r="1249" s="183" spans="1:15">
      <c r="A1249" s="37" t="n"/>
      <c r="B1249" s="2" t="n"/>
      <c r="C1249" s="2" t="n"/>
      <c r="D1249" s="2" t="n"/>
      <c r="E1249" s="2" t="n"/>
      <c r="F1249" s="2" t="n"/>
      <c r="G1249" s="2" t="n"/>
      <c r="H1249" s="2" t="n"/>
      <c r="I1249" s="2" t="n"/>
      <c r="J1249" s="3" t="n"/>
    </row>
    <row customHeight="1" ht="15" r="1250" s="183" spans="1:15">
      <c r="A1250" s="37" t="n"/>
      <c r="B1250" s="2" t="n"/>
      <c r="C1250" s="2" t="n"/>
      <c r="D1250" s="2" t="n"/>
      <c r="E1250" s="2" t="n"/>
      <c r="F1250" s="2" t="n"/>
      <c r="G1250" s="2" t="n"/>
      <c r="H1250" s="2" t="n"/>
      <c r="I1250" s="2" t="n"/>
      <c r="J1250" s="3" t="n"/>
    </row>
    <row customHeight="1" ht="15" r="1251" s="183" spans="1:15">
      <c r="A1251" s="37" t="n"/>
      <c r="B1251" s="2" t="n"/>
      <c r="C1251" s="2" t="n"/>
      <c r="D1251" s="2" t="n"/>
      <c r="E1251" s="2" t="n"/>
      <c r="F1251" s="2" t="n"/>
      <c r="G1251" s="2" t="n"/>
      <c r="H1251" s="2" t="n"/>
      <c r="I1251" s="2" t="n"/>
      <c r="J1251" s="3" t="n"/>
    </row>
    <row customHeight="1" ht="15" r="1252" s="183" spans="1:15">
      <c r="A1252" s="37" t="n"/>
      <c r="B1252" s="2" t="n"/>
      <c r="C1252" s="2" t="n"/>
      <c r="D1252" s="2" t="n"/>
      <c r="E1252" s="2" t="n"/>
      <c r="F1252" s="2" t="n"/>
      <c r="G1252" s="2" t="n"/>
      <c r="H1252" s="2" t="n"/>
      <c r="I1252" s="2" t="n"/>
      <c r="J1252" s="3" t="n"/>
    </row>
    <row customHeight="1" ht="15" r="1253" s="183" spans="1:15">
      <c r="A1253" s="37" t="n"/>
      <c r="B1253" s="2" t="n"/>
      <c r="C1253" s="2" t="n"/>
      <c r="D1253" s="2" t="n"/>
      <c r="E1253" s="2" t="n"/>
      <c r="F1253" s="2" t="n"/>
      <c r="G1253" s="2" t="n"/>
      <c r="H1253" s="2" t="n"/>
      <c r="I1253" s="2" t="n"/>
      <c r="J1253" s="3" t="n"/>
    </row>
    <row customHeight="1" ht="15" r="1254" s="183" spans="1:15">
      <c r="A1254" s="37" t="n"/>
      <c r="B1254" s="2" t="n"/>
      <c r="C1254" s="2" t="n"/>
      <c r="D1254" s="2" t="n"/>
      <c r="E1254" s="2" t="n"/>
      <c r="F1254" s="2" t="n"/>
      <c r="G1254" s="2" t="n"/>
      <c r="H1254" s="2" t="n"/>
      <c r="I1254" s="2" t="n"/>
      <c r="J1254" s="3" t="n"/>
    </row>
    <row customHeight="1" ht="15" r="1255" s="183" spans="1:15">
      <c r="A1255" s="37" t="n"/>
      <c r="B1255" s="2" t="n"/>
      <c r="C1255" s="2" t="n"/>
      <c r="D1255" s="2" t="n"/>
      <c r="E1255" s="2" t="n"/>
      <c r="F1255" s="2" t="n"/>
      <c r="G1255" s="2" t="n"/>
      <c r="H1255" s="2" t="n"/>
      <c r="I1255" s="2" t="n"/>
      <c r="J1255" s="3" t="n"/>
    </row>
    <row customHeight="1" ht="15" r="1256" s="183" spans="1:15">
      <c r="A1256" s="37" t="n"/>
      <c r="B1256" s="2" t="n"/>
      <c r="C1256" s="2" t="n"/>
      <c r="D1256" s="2" t="n"/>
      <c r="E1256" s="2" t="n"/>
      <c r="F1256" s="2" t="n"/>
      <c r="G1256" s="2" t="n"/>
      <c r="H1256" s="2" t="n"/>
      <c r="I1256" s="2" t="n"/>
      <c r="J1256" s="3" t="n"/>
    </row>
    <row customHeight="1" ht="15" r="1257" s="183" spans="1:15">
      <c r="A1257" s="37" t="n"/>
      <c r="B1257" s="2" t="n"/>
      <c r="C1257" s="2" t="n"/>
      <c r="D1257" s="2" t="n"/>
      <c r="E1257" s="2" t="n"/>
      <c r="F1257" s="2" t="n"/>
      <c r="G1257" s="2" t="n"/>
      <c r="H1257" s="2" t="n"/>
      <c r="I1257" s="2" t="n"/>
      <c r="J1257" s="3" t="n"/>
    </row>
    <row customHeight="1" ht="15" r="1258" s="183" spans="1:15">
      <c r="A1258" s="37" t="n"/>
      <c r="B1258" s="2" t="n"/>
      <c r="C1258" s="2" t="n"/>
      <c r="D1258" s="2" t="n"/>
      <c r="E1258" s="2" t="n"/>
      <c r="F1258" s="2" t="n"/>
      <c r="G1258" s="2" t="n"/>
      <c r="H1258" s="2" t="n"/>
      <c r="I1258" s="2" t="n"/>
      <c r="J1258" s="3" t="n"/>
    </row>
    <row customHeight="1" ht="15" r="1259" s="183" spans="1:15">
      <c r="A1259" s="37" t="n"/>
      <c r="B1259" s="2" t="n"/>
      <c r="C1259" s="2" t="n"/>
      <c r="D1259" s="2" t="n"/>
      <c r="E1259" s="2" t="n"/>
      <c r="F1259" s="2" t="n"/>
      <c r="G1259" s="2" t="n"/>
      <c r="H1259" s="2" t="n"/>
      <c r="I1259" s="2" t="n"/>
      <c r="J1259" s="3" t="n"/>
    </row>
    <row customHeight="1" ht="15" r="1260" s="183" spans="1:15">
      <c r="A1260" s="37" t="n"/>
      <c r="B1260" s="2" t="n"/>
      <c r="C1260" s="2" t="n"/>
      <c r="D1260" s="2" t="n"/>
      <c r="E1260" s="2" t="n"/>
      <c r="F1260" s="2" t="n"/>
      <c r="G1260" s="2" t="n"/>
      <c r="H1260" s="2" t="n"/>
      <c r="I1260" s="2" t="n"/>
      <c r="J1260" s="3" t="n"/>
    </row>
    <row customHeight="1" ht="15" r="1261" s="183" spans="1:15">
      <c r="A1261" s="37" t="n"/>
      <c r="B1261" s="2" t="n"/>
      <c r="C1261" s="2" t="n"/>
      <c r="D1261" s="2" t="n"/>
      <c r="E1261" s="2" t="n"/>
      <c r="F1261" s="2" t="n"/>
      <c r="G1261" s="2" t="n"/>
      <c r="H1261" s="2" t="n"/>
      <c r="I1261" s="2" t="n"/>
      <c r="J1261" s="3" t="n"/>
    </row>
    <row customHeight="1" ht="15" r="1262" s="183" spans="1:15">
      <c r="A1262" s="37" t="n"/>
      <c r="B1262" s="2" t="n"/>
      <c r="C1262" s="2" t="n"/>
      <c r="D1262" s="2" t="n"/>
      <c r="E1262" s="2" t="n"/>
      <c r="F1262" s="2" t="n"/>
      <c r="G1262" s="2" t="n"/>
      <c r="H1262" s="2" t="n"/>
      <c r="I1262" s="2" t="n"/>
      <c r="J1262" s="3" t="n"/>
    </row>
    <row customHeight="1" ht="15" r="1263" s="183" spans="1:15">
      <c r="A1263" s="37" t="n"/>
      <c r="B1263" s="2" t="n"/>
      <c r="C1263" s="2" t="n"/>
      <c r="D1263" s="2" t="n"/>
      <c r="E1263" s="2" t="n"/>
      <c r="F1263" s="2" t="n"/>
      <c r="G1263" s="2" t="n"/>
      <c r="H1263" s="2" t="n"/>
      <c r="I1263" s="2" t="n"/>
      <c r="J1263" s="3" t="n"/>
    </row>
    <row customHeight="1" ht="15" r="1264" s="183" spans="1:15">
      <c r="A1264" s="37" t="n"/>
      <c r="B1264" s="2" t="n"/>
      <c r="C1264" s="2" t="n"/>
      <c r="D1264" s="2" t="n"/>
      <c r="E1264" s="2" t="n"/>
      <c r="F1264" s="2" t="n"/>
      <c r="G1264" s="2" t="n"/>
      <c r="H1264" s="2" t="n"/>
      <c r="I1264" s="2" t="n"/>
      <c r="J1264" s="3" t="n"/>
    </row>
    <row customHeight="1" ht="15" r="1265" s="183" spans="1:15">
      <c r="A1265" s="37" t="n"/>
      <c r="B1265" s="2" t="n"/>
      <c r="C1265" s="2" t="n"/>
      <c r="D1265" s="2" t="n"/>
      <c r="E1265" s="2" t="n"/>
      <c r="F1265" s="2" t="n"/>
      <c r="G1265" s="2" t="n"/>
      <c r="H1265" s="2" t="n"/>
      <c r="I1265" s="2" t="n"/>
      <c r="J1265" s="3" t="n"/>
    </row>
    <row customHeight="1" ht="15" r="1266" s="183" spans="1:15">
      <c r="A1266" s="37" t="n"/>
      <c r="B1266" s="2" t="n"/>
      <c r="C1266" s="2" t="n"/>
      <c r="D1266" s="2" t="n"/>
      <c r="E1266" s="2" t="n"/>
      <c r="F1266" s="2" t="n"/>
      <c r="G1266" s="2" t="n"/>
      <c r="H1266" s="2" t="n"/>
      <c r="I1266" s="2" t="n"/>
      <c r="J1266" s="3" t="n"/>
    </row>
    <row customHeight="1" ht="15" r="1267" s="183" spans="1:15">
      <c r="A1267" s="37" t="n"/>
      <c r="B1267" s="2" t="n"/>
      <c r="C1267" s="2" t="n"/>
      <c r="D1267" s="2" t="n"/>
      <c r="E1267" s="2" t="n"/>
      <c r="F1267" s="2" t="n"/>
      <c r="G1267" s="2" t="n"/>
      <c r="H1267" s="2" t="n"/>
      <c r="I1267" s="2" t="n"/>
      <c r="J1267" s="3" t="n"/>
    </row>
    <row customHeight="1" ht="15" r="1268" s="183" spans="1:15">
      <c r="A1268" s="37" t="n"/>
      <c r="B1268" s="2" t="n"/>
      <c r="C1268" s="2" t="n"/>
      <c r="D1268" s="2" t="n"/>
      <c r="E1268" s="2" t="n"/>
      <c r="F1268" s="2" t="n"/>
      <c r="G1268" s="2" t="n"/>
      <c r="H1268" s="2" t="n"/>
      <c r="I1268" s="2" t="n"/>
      <c r="J1268" s="3" t="n"/>
    </row>
    <row customHeight="1" ht="15" r="1269" s="183" spans="1:15">
      <c r="A1269" s="37" t="n"/>
      <c r="B1269" s="2" t="n"/>
      <c r="C1269" s="2" t="n"/>
      <c r="D1269" s="2" t="n"/>
      <c r="E1269" s="2" t="n"/>
      <c r="F1269" s="2" t="n"/>
      <c r="G1269" s="2" t="n"/>
      <c r="H1269" s="2" t="n"/>
      <c r="I1269" s="2" t="n"/>
      <c r="J1269" s="3" t="n"/>
    </row>
    <row customHeight="1" ht="15" r="1270" s="183" spans="1:15">
      <c r="A1270" s="37" t="n"/>
      <c r="B1270" s="2" t="n"/>
      <c r="C1270" s="2" t="n"/>
      <c r="D1270" s="2" t="n"/>
      <c r="E1270" s="2" t="n"/>
      <c r="F1270" s="2" t="n"/>
      <c r="G1270" s="2" t="n"/>
      <c r="H1270" s="2" t="n"/>
      <c r="I1270" s="2" t="n"/>
      <c r="J1270" s="3" t="n"/>
    </row>
    <row customHeight="1" ht="15" r="1271" s="183" spans="1:15">
      <c r="A1271" s="37" t="n"/>
      <c r="B1271" s="2" t="n"/>
      <c r="C1271" s="2" t="n"/>
      <c r="D1271" s="2" t="n"/>
      <c r="E1271" s="2" t="n"/>
      <c r="F1271" s="2" t="n"/>
      <c r="G1271" s="2" t="n"/>
      <c r="H1271" s="2" t="n"/>
      <c r="I1271" s="2" t="n"/>
      <c r="J1271" s="3" t="n"/>
    </row>
    <row customHeight="1" ht="15" r="1272" s="183" spans="1:15">
      <c r="A1272" s="37" t="n"/>
      <c r="B1272" s="2" t="n"/>
      <c r="C1272" s="2" t="n"/>
      <c r="D1272" s="2" t="n"/>
      <c r="E1272" s="2" t="n"/>
      <c r="F1272" s="2" t="n"/>
      <c r="G1272" s="2" t="n"/>
      <c r="H1272" s="2" t="n"/>
      <c r="I1272" s="2" t="n"/>
      <c r="J1272" s="3" t="n"/>
    </row>
    <row customHeight="1" ht="15" r="1273" s="183" spans="1:15">
      <c r="A1273" s="37" t="n"/>
      <c r="B1273" s="2" t="n"/>
      <c r="C1273" s="2" t="n"/>
      <c r="D1273" s="2" t="n"/>
      <c r="E1273" s="2" t="n"/>
      <c r="F1273" s="2" t="n"/>
      <c r="G1273" s="2" t="n"/>
      <c r="H1273" s="2" t="n"/>
      <c r="I1273" s="2" t="n"/>
      <c r="J1273" s="3" t="n"/>
    </row>
    <row customHeight="1" ht="15" r="1274" s="183" spans="1:15">
      <c r="A1274" s="37" t="n"/>
      <c r="B1274" s="2" t="n"/>
      <c r="C1274" s="2" t="n"/>
      <c r="D1274" s="2" t="n"/>
      <c r="E1274" s="2" t="n"/>
      <c r="F1274" s="2" t="n"/>
      <c r="G1274" s="2" t="n"/>
      <c r="H1274" s="2" t="n"/>
      <c r="I1274" s="2" t="n"/>
      <c r="J1274" s="3" t="n"/>
    </row>
    <row customHeight="1" ht="15" r="1275" s="183" spans="1:15">
      <c r="A1275" s="37" t="n"/>
      <c r="B1275" s="2" t="n"/>
      <c r="C1275" s="2" t="n"/>
      <c r="D1275" s="2" t="n"/>
      <c r="E1275" s="2" t="n"/>
      <c r="F1275" s="2" t="n"/>
      <c r="G1275" s="2" t="n"/>
      <c r="H1275" s="2" t="n"/>
      <c r="I1275" s="2" t="n"/>
      <c r="J1275" s="3" t="n"/>
    </row>
    <row customHeight="1" ht="15" r="1276" s="183" spans="1:15">
      <c r="A1276" s="37" t="n"/>
      <c r="B1276" s="2" t="n"/>
      <c r="C1276" s="2" t="n"/>
      <c r="D1276" s="2" t="n"/>
      <c r="E1276" s="2" t="n"/>
      <c r="F1276" s="2" t="n"/>
      <c r="G1276" s="2" t="n"/>
      <c r="H1276" s="2" t="n"/>
      <c r="I1276" s="2" t="n"/>
      <c r="J1276" s="3" t="n"/>
    </row>
    <row customHeight="1" ht="15" r="1277" s="183" spans="1:15">
      <c r="A1277" s="37" t="n"/>
      <c r="B1277" s="2" t="n"/>
      <c r="C1277" s="2" t="n"/>
      <c r="D1277" s="2" t="n"/>
      <c r="E1277" s="2" t="n"/>
      <c r="F1277" s="2" t="n"/>
      <c r="G1277" s="2" t="n"/>
      <c r="H1277" s="2" t="n"/>
      <c r="I1277" s="2" t="n"/>
      <c r="J1277" s="3" t="n"/>
    </row>
    <row customHeight="1" ht="15" r="1278" s="183" spans="1:15">
      <c r="A1278" s="37" t="n"/>
      <c r="B1278" s="2" t="n"/>
      <c r="C1278" s="2" t="n"/>
      <c r="D1278" s="2" t="n"/>
      <c r="E1278" s="2" t="n"/>
      <c r="F1278" s="2" t="n"/>
      <c r="G1278" s="2" t="n"/>
      <c r="H1278" s="2" t="n"/>
      <c r="I1278" s="2" t="n"/>
      <c r="J1278" s="3" t="n"/>
    </row>
    <row customHeight="1" ht="15" r="1279" s="183" spans="1:15">
      <c r="A1279" s="37" t="n"/>
      <c r="B1279" s="2" t="n"/>
      <c r="C1279" s="2" t="n"/>
      <c r="D1279" s="2" t="n"/>
      <c r="E1279" s="2" t="n"/>
      <c r="F1279" s="2" t="n"/>
      <c r="G1279" s="2" t="n"/>
      <c r="H1279" s="2" t="n"/>
      <c r="I1279" s="2" t="n"/>
      <c r="J1279" s="3" t="n"/>
    </row>
    <row customHeight="1" ht="15" r="1280" s="183" spans="1:15">
      <c r="A1280" s="37" t="n"/>
      <c r="B1280" s="2" t="n"/>
      <c r="C1280" s="2" t="n"/>
      <c r="D1280" s="2" t="n"/>
      <c r="E1280" s="2" t="n"/>
      <c r="F1280" s="2" t="n"/>
      <c r="G1280" s="2" t="n"/>
      <c r="H1280" s="2" t="n"/>
      <c r="I1280" s="2" t="n"/>
      <c r="J1280" s="3" t="n"/>
    </row>
    <row customHeight="1" ht="15" r="1281" s="183" spans="1:15">
      <c r="A1281" s="37" t="n"/>
      <c r="B1281" s="2" t="n"/>
      <c r="C1281" s="2" t="n"/>
      <c r="D1281" s="2" t="n"/>
      <c r="E1281" s="2" t="n"/>
      <c r="F1281" s="2" t="n"/>
      <c r="G1281" s="2" t="n"/>
      <c r="H1281" s="2" t="n"/>
      <c r="I1281" s="2" t="n"/>
      <c r="J1281" s="3" t="n"/>
    </row>
    <row customHeight="1" ht="15" r="1282" s="183" spans="1:15">
      <c r="A1282" s="37" t="n"/>
      <c r="B1282" s="2" t="n"/>
      <c r="C1282" s="2" t="n"/>
      <c r="D1282" s="2" t="n"/>
      <c r="E1282" s="2" t="n"/>
      <c r="F1282" s="2" t="n"/>
      <c r="G1282" s="2" t="n"/>
      <c r="H1282" s="2" t="n"/>
      <c r="I1282" s="2" t="n"/>
      <c r="J1282" s="3" t="n"/>
    </row>
    <row customHeight="1" ht="15" r="1283" s="183" spans="1:15">
      <c r="A1283" s="37" t="n"/>
      <c r="B1283" s="2" t="n"/>
      <c r="C1283" s="2" t="n"/>
      <c r="D1283" s="2" t="n"/>
      <c r="E1283" s="2" t="n"/>
      <c r="F1283" s="2" t="n"/>
      <c r="G1283" s="2" t="n"/>
      <c r="H1283" s="2" t="n"/>
      <c r="I1283" s="2" t="n"/>
      <c r="J1283" s="3" t="n"/>
    </row>
    <row customHeight="1" ht="15" r="1284" s="183" spans="1:15">
      <c r="A1284" s="37" t="n"/>
      <c r="B1284" s="2" t="n"/>
      <c r="C1284" s="2" t="n"/>
      <c r="D1284" s="2" t="n"/>
      <c r="E1284" s="2" t="n"/>
      <c r="F1284" s="2" t="n"/>
      <c r="G1284" s="2" t="n"/>
      <c r="H1284" s="2" t="n"/>
      <c r="I1284" s="2" t="n"/>
      <c r="J1284" s="3" t="n"/>
    </row>
    <row customHeight="1" ht="15" r="1285" s="183" spans="1:15">
      <c r="A1285" s="37" t="n"/>
      <c r="B1285" s="2" t="n"/>
      <c r="C1285" s="2" t="n"/>
      <c r="D1285" s="2" t="n"/>
      <c r="E1285" s="2" t="n"/>
      <c r="F1285" s="2" t="n"/>
      <c r="G1285" s="2" t="n"/>
      <c r="H1285" s="2" t="n"/>
      <c r="I1285" s="2" t="n"/>
      <c r="J1285" s="3" t="n"/>
    </row>
    <row customHeight="1" ht="15" r="1286" s="183" spans="1:15">
      <c r="A1286" s="37" t="n"/>
      <c r="B1286" s="2" t="n"/>
      <c r="C1286" s="2" t="n"/>
      <c r="D1286" s="2" t="n"/>
      <c r="E1286" s="2" t="n"/>
      <c r="F1286" s="2" t="n"/>
      <c r="G1286" s="2" t="n"/>
      <c r="H1286" s="2" t="n"/>
      <c r="I1286" s="2" t="n"/>
      <c r="J1286" s="3" t="n"/>
    </row>
    <row customHeight="1" ht="15" r="1287" s="183" spans="1:15">
      <c r="A1287" s="37" t="n"/>
      <c r="B1287" s="2" t="n"/>
      <c r="C1287" s="2" t="n"/>
      <c r="D1287" s="2" t="n"/>
      <c r="E1287" s="2" t="n"/>
      <c r="F1287" s="2" t="n"/>
      <c r="G1287" s="2" t="n"/>
      <c r="H1287" s="2" t="n"/>
      <c r="I1287" s="2" t="n"/>
      <c r="J1287" s="3" t="n"/>
    </row>
    <row customHeight="1" ht="15" r="1288" s="183" spans="1:15">
      <c r="A1288" s="37" t="n"/>
      <c r="B1288" s="2" t="n"/>
      <c r="C1288" s="2" t="n"/>
      <c r="D1288" s="2" t="n"/>
      <c r="E1288" s="2" t="n"/>
      <c r="F1288" s="2" t="n"/>
      <c r="G1288" s="2" t="n"/>
      <c r="H1288" s="2" t="n"/>
      <c r="I1288" s="2" t="n"/>
      <c r="J1288" s="3" t="n"/>
    </row>
    <row customHeight="1" ht="15" r="1289" s="183" spans="1:15">
      <c r="A1289" s="37" t="n"/>
      <c r="B1289" s="2" t="n"/>
      <c r="C1289" s="2" t="n"/>
      <c r="D1289" s="2" t="n"/>
      <c r="E1289" s="2" t="n"/>
      <c r="F1289" s="2" t="n"/>
      <c r="G1289" s="2" t="n"/>
      <c r="H1289" s="2" t="n"/>
      <c r="I1289" s="2" t="n"/>
      <c r="J1289" s="3" t="n"/>
    </row>
    <row customHeight="1" ht="15" r="1290" s="183" spans="1:15">
      <c r="A1290" s="37" t="n"/>
      <c r="B1290" s="2" t="n"/>
      <c r="C1290" s="2" t="n"/>
      <c r="D1290" s="2" t="n"/>
      <c r="E1290" s="2" t="n"/>
      <c r="F1290" s="2" t="n"/>
      <c r="G1290" s="2" t="n"/>
      <c r="H1290" s="2" t="n"/>
      <c r="I1290" s="2" t="n"/>
      <c r="J1290" s="3" t="n"/>
    </row>
    <row customHeight="1" ht="15" r="1291" s="183" spans="1:15">
      <c r="A1291" s="37" t="n"/>
      <c r="B1291" s="2" t="n"/>
      <c r="C1291" s="2" t="n"/>
      <c r="D1291" s="2" t="n"/>
      <c r="E1291" s="2" t="n"/>
      <c r="F1291" s="2" t="n"/>
      <c r="G1291" s="2" t="n"/>
      <c r="H1291" s="2" t="n"/>
      <c r="I1291" s="2" t="n"/>
      <c r="J1291" s="3" t="n"/>
    </row>
    <row customHeight="1" ht="15" r="1292" s="183" spans="1:15">
      <c r="A1292" s="37" t="n"/>
      <c r="B1292" s="2" t="n"/>
      <c r="C1292" s="2" t="n"/>
      <c r="D1292" s="2" t="n"/>
      <c r="E1292" s="2" t="n"/>
      <c r="F1292" s="2" t="n"/>
      <c r="G1292" s="2" t="n"/>
      <c r="H1292" s="2" t="n"/>
      <c r="I1292" s="2" t="n"/>
      <c r="J1292" s="3" t="n"/>
    </row>
    <row customHeight="1" ht="15" r="1293" s="183" spans="1:15">
      <c r="A1293" s="37" t="n"/>
      <c r="B1293" s="2" t="n"/>
      <c r="C1293" s="2" t="n"/>
      <c r="D1293" s="2" t="n"/>
      <c r="E1293" s="2" t="n"/>
      <c r="F1293" s="2" t="n"/>
      <c r="G1293" s="2" t="n"/>
      <c r="H1293" s="2" t="n"/>
      <c r="I1293" s="2" t="n"/>
      <c r="J1293" s="3" t="n"/>
    </row>
    <row customHeight="1" ht="15" r="1294" s="183" spans="1:15">
      <c r="A1294" s="37" t="n"/>
      <c r="B1294" s="2" t="n"/>
      <c r="C1294" s="2" t="n"/>
      <c r="D1294" s="2" t="n"/>
      <c r="E1294" s="2" t="n"/>
      <c r="F1294" s="2" t="n"/>
      <c r="G1294" s="2" t="n"/>
      <c r="H1294" s="2" t="n"/>
      <c r="I1294" s="2" t="n"/>
      <c r="J1294" s="3" t="n"/>
    </row>
    <row customHeight="1" ht="15" r="1295" s="183" spans="1:15">
      <c r="A1295" s="37" t="n"/>
      <c r="B1295" s="2" t="n"/>
      <c r="C1295" s="2" t="n"/>
      <c r="D1295" s="2" t="n"/>
      <c r="E1295" s="2" t="n"/>
      <c r="F1295" s="2" t="n"/>
      <c r="G1295" s="2" t="n"/>
      <c r="H1295" s="2" t="n"/>
      <c r="I1295" s="2" t="n"/>
      <c r="J1295" s="3" t="n"/>
    </row>
    <row customHeight="1" ht="15" r="1296" s="183" spans="1:15">
      <c r="A1296" s="37" t="n"/>
      <c r="B1296" s="2" t="n"/>
      <c r="C1296" s="2" t="n"/>
      <c r="D1296" s="2" t="n"/>
      <c r="E1296" s="2" t="n"/>
      <c r="F1296" s="2" t="n"/>
      <c r="G1296" s="2" t="n"/>
      <c r="H1296" s="2" t="n"/>
      <c r="I1296" s="2" t="n"/>
      <c r="J1296" s="3" t="n"/>
    </row>
    <row customHeight="1" ht="15" r="1297" s="183" spans="1:15">
      <c r="A1297" s="37" t="n"/>
      <c r="B1297" s="2" t="n"/>
      <c r="C1297" s="2" t="n"/>
      <c r="D1297" s="2" t="n"/>
      <c r="E1297" s="2" t="n"/>
      <c r="F1297" s="2" t="n"/>
      <c r="G1297" s="2" t="n"/>
      <c r="H1297" s="2" t="n"/>
      <c r="I1297" s="2" t="n"/>
      <c r="J1297" s="3" t="n"/>
    </row>
    <row customHeight="1" ht="15" r="1298" s="183" spans="1:15">
      <c r="A1298" s="37" t="n"/>
      <c r="B1298" s="2" t="n"/>
      <c r="C1298" s="2" t="n"/>
      <c r="D1298" s="2" t="n"/>
      <c r="E1298" s="2" t="n"/>
      <c r="F1298" s="2" t="n"/>
      <c r="G1298" s="2" t="n"/>
      <c r="H1298" s="2" t="n"/>
      <c r="I1298" s="2" t="n"/>
      <c r="J1298" s="3" t="n"/>
    </row>
    <row customHeight="1" ht="15" r="1299" s="183" spans="1:15">
      <c r="A1299" s="37" t="n"/>
      <c r="B1299" s="2" t="n"/>
      <c r="C1299" s="2" t="n"/>
      <c r="D1299" s="2" t="n"/>
      <c r="E1299" s="2" t="n"/>
      <c r="F1299" s="2" t="n"/>
      <c r="G1299" s="2" t="n"/>
      <c r="H1299" s="2" t="n"/>
      <c r="I1299" s="2" t="n"/>
      <c r="J1299" s="3" t="n"/>
    </row>
    <row customHeight="1" ht="15" r="1300" s="183" spans="1:15">
      <c r="A1300" s="37" t="n"/>
      <c r="B1300" s="2" t="n"/>
      <c r="C1300" s="2" t="n"/>
      <c r="D1300" s="2" t="n"/>
      <c r="E1300" s="2" t="n"/>
      <c r="F1300" s="2" t="n"/>
      <c r="G1300" s="2" t="n"/>
      <c r="H1300" s="2" t="n"/>
      <c r="I1300" s="2" t="n"/>
      <c r="J1300" s="3" t="n"/>
    </row>
    <row customHeight="1" ht="15" r="1301" s="183" spans="1:15">
      <c r="A1301" s="37" t="n"/>
      <c r="B1301" s="2" t="n"/>
      <c r="C1301" s="2" t="n"/>
      <c r="D1301" s="2" t="n"/>
      <c r="E1301" s="2" t="n"/>
      <c r="F1301" s="2" t="n"/>
      <c r="G1301" s="2" t="n"/>
      <c r="H1301" s="2" t="n"/>
      <c r="I1301" s="2" t="n"/>
      <c r="J1301" s="3" t="n"/>
    </row>
    <row customHeight="1" ht="15" r="1302" s="183" spans="1:15">
      <c r="A1302" s="37" t="n"/>
      <c r="B1302" s="2" t="n"/>
      <c r="C1302" s="2" t="n"/>
      <c r="D1302" s="2" t="n"/>
      <c r="E1302" s="2" t="n"/>
      <c r="F1302" s="2" t="n"/>
      <c r="G1302" s="2" t="n"/>
      <c r="H1302" s="2" t="n"/>
      <c r="I1302" s="2" t="n"/>
      <c r="J1302" s="3" t="n"/>
    </row>
    <row customHeight="1" ht="15" r="1303" s="183" spans="1:15">
      <c r="A1303" s="37" t="n"/>
      <c r="B1303" s="2" t="n"/>
      <c r="C1303" s="2" t="n"/>
      <c r="D1303" s="2" t="n"/>
      <c r="E1303" s="2" t="n"/>
      <c r="F1303" s="2" t="n"/>
      <c r="G1303" s="2" t="n"/>
      <c r="H1303" s="2" t="n"/>
      <c r="I1303" s="2" t="n"/>
      <c r="J1303" s="3" t="n"/>
    </row>
    <row customHeight="1" ht="15" r="1304" s="183" spans="1:15">
      <c r="A1304" s="37" t="n"/>
      <c r="B1304" s="2" t="n"/>
      <c r="C1304" s="2" t="n"/>
      <c r="D1304" s="2" t="n"/>
      <c r="E1304" s="2" t="n"/>
      <c r="F1304" s="2" t="n"/>
      <c r="G1304" s="2" t="n"/>
      <c r="H1304" s="2" t="n"/>
      <c r="I1304" s="2" t="n"/>
      <c r="J1304" s="3" t="n"/>
    </row>
    <row customHeight="1" ht="15" r="1305" s="183" spans="1:15">
      <c r="A1305" s="37" t="n"/>
      <c r="B1305" s="2" t="n"/>
      <c r="C1305" s="2" t="n"/>
      <c r="D1305" s="2" t="n"/>
      <c r="E1305" s="2" t="n"/>
      <c r="F1305" s="2" t="n"/>
      <c r="G1305" s="2" t="n"/>
      <c r="H1305" s="2" t="n"/>
      <c r="I1305" s="2" t="n"/>
      <c r="J1305" s="3" t="n"/>
    </row>
    <row customHeight="1" ht="15" r="1306" s="183" spans="1:15">
      <c r="A1306" s="37" t="n"/>
      <c r="B1306" s="2" t="n"/>
      <c r="C1306" s="2" t="n"/>
      <c r="D1306" s="2" t="n"/>
      <c r="E1306" s="2" t="n"/>
      <c r="F1306" s="2" t="n"/>
      <c r="G1306" s="2" t="n"/>
      <c r="H1306" s="2" t="n"/>
      <c r="I1306" s="2" t="n"/>
      <c r="J1306" s="3" t="n"/>
    </row>
    <row customHeight="1" ht="15" r="1307" s="183" spans="1:15">
      <c r="A1307" s="37" t="n"/>
      <c r="B1307" s="2" t="n"/>
      <c r="C1307" s="2" t="n"/>
      <c r="D1307" s="2" t="n"/>
      <c r="E1307" s="2" t="n"/>
      <c r="F1307" s="2" t="n"/>
      <c r="G1307" s="2" t="n"/>
      <c r="H1307" s="2" t="n"/>
      <c r="I1307" s="2" t="n"/>
      <c r="J1307" s="3" t="n"/>
    </row>
    <row customHeight="1" ht="15" r="1308" s="183" spans="1:15">
      <c r="A1308" s="37" t="n"/>
      <c r="B1308" s="2" t="n"/>
      <c r="C1308" s="2" t="n"/>
      <c r="D1308" s="2" t="n"/>
      <c r="E1308" s="2" t="n"/>
      <c r="F1308" s="2" t="n"/>
      <c r="G1308" s="2" t="n"/>
      <c r="H1308" s="2" t="n"/>
      <c r="I1308" s="2" t="n"/>
      <c r="J1308" s="3" t="n"/>
    </row>
    <row customHeight="1" ht="15" r="1309" s="183" spans="1:15">
      <c r="A1309" s="37" t="n"/>
      <c r="B1309" s="2" t="n"/>
      <c r="C1309" s="2" t="n"/>
      <c r="D1309" s="2" t="n"/>
      <c r="E1309" s="2" t="n"/>
      <c r="F1309" s="2" t="n"/>
      <c r="G1309" s="2" t="n"/>
      <c r="H1309" s="2" t="n"/>
      <c r="I1309" s="2" t="n"/>
      <c r="J1309" s="3" t="n"/>
    </row>
    <row customHeight="1" ht="15" r="1310" s="183" spans="1:15">
      <c r="A1310" s="37" t="n"/>
      <c r="B1310" s="2" t="n"/>
      <c r="C1310" s="2" t="n"/>
      <c r="D1310" s="2" t="n"/>
      <c r="E1310" s="2" t="n"/>
      <c r="F1310" s="2" t="n"/>
      <c r="G1310" s="2" t="n"/>
      <c r="H1310" s="2" t="n"/>
      <c r="I1310" s="2" t="n"/>
      <c r="J1310" s="3" t="n"/>
    </row>
    <row customHeight="1" ht="15" r="1311" s="183" spans="1:15">
      <c r="A1311" s="37" t="n"/>
      <c r="B1311" s="2" t="n"/>
      <c r="C1311" s="2" t="n"/>
      <c r="D1311" s="2" t="n"/>
      <c r="E1311" s="2" t="n"/>
      <c r="F1311" s="2" t="n"/>
      <c r="G1311" s="2" t="n"/>
      <c r="H1311" s="2" t="n"/>
      <c r="I1311" s="2" t="n"/>
      <c r="J1311" s="3" t="n"/>
    </row>
    <row customHeight="1" ht="15" r="1312" s="183" spans="1:15">
      <c r="A1312" s="37" t="n"/>
      <c r="B1312" s="2" t="n"/>
      <c r="C1312" s="2" t="n"/>
      <c r="D1312" s="2" t="n"/>
      <c r="E1312" s="2" t="n"/>
      <c r="F1312" s="2" t="n"/>
      <c r="G1312" s="2" t="n"/>
      <c r="H1312" s="2" t="n"/>
      <c r="I1312" s="2" t="n"/>
      <c r="J1312" s="3" t="n"/>
    </row>
    <row customHeight="1" ht="15" r="1313" s="183" spans="1:15">
      <c r="A1313" s="37" t="n"/>
      <c r="B1313" s="2" t="n"/>
      <c r="C1313" s="2" t="n"/>
      <c r="D1313" s="2" t="n"/>
      <c r="E1313" s="2" t="n"/>
      <c r="F1313" s="2" t="n"/>
      <c r="G1313" s="2" t="n"/>
      <c r="H1313" s="2" t="n"/>
      <c r="I1313" s="2" t="n"/>
      <c r="J1313" s="3" t="n"/>
    </row>
    <row customHeight="1" ht="15" r="1314" s="183" spans="1:15">
      <c r="A1314" s="37" t="n"/>
      <c r="B1314" s="2" t="n"/>
      <c r="C1314" s="2" t="n"/>
      <c r="D1314" s="2" t="n"/>
      <c r="E1314" s="2" t="n"/>
      <c r="F1314" s="2" t="n"/>
      <c r="G1314" s="2" t="n"/>
      <c r="H1314" s="2" t="n"/>
      <c r="I1314" s="2" t="n"/>
      <c r="J1314" s="3" t="n"/>
    </row>
    <row customHeight="1" ht="15" r="1315" s="183" spans="1:15">
      <c r="A1315" s="37" t="n"/>
      <c r="B1315" s="2" t="n"/>
      <c r="C1315" s="2" t="n"/>
      <c r="D1315" s="2" t="n"/>
      <c r="E1315" s="2" t="n"/>
      <c r="F1315" s="2" t="n"/>
      <c r="G1315" s="2" t="n"/>
      <c r="H1315" s="2" t="n"/>
      <c r="I1315" s="2" t="n"/>
      <c r="J1315" s="3" t="n"/>
    </row>
    <row customHeight="1" ht="15" r="1316" s="183" spans="1:15">
      <c r="A1316" s="37" t="n"/>
      <c r="B1316" s="2" t="n"/>
      <c r="C1316" s="2" t="n"/>
      <c r="D1316" s="2" t="n"/>
      <c r="E1316" s="2" t="n"/>
      <c r="F1316" s="2" t="n"/>
      <c r="G1316" s="2" t="n"/>
      <c r="H1316" s="2" t="n"/>
      <c r="I1316" s="2" t="n"/>
      <c r="J1316" s="3" t="n"/>
    </row>
    <row customHeight="1" ht="15" r="1317" s="183" spans="1:15">
      <c r="A1317" s="37" t="n"/>
      <c r="B1317" s="2" t="n"/>
      <c r="C1317" s="2" t="n"/>
      <c r="D1317" s="2" t="n"/>
      <c r="E1317" s="2" t="n"/>
      <c r="F1317" s="2" t="n"/>
      <c r="G1317" s="2" t="n"/>
      <c r="H1317" s="2" t="n"/>
      <c r="I1317" s="2" t="n"/>
      <c r="J1317" s="3" t="n"/>
    </row>
    <row customHeight="1" ht="15" r="1318" s="183" spans="1:15">
      <c r="A1318" s="37" t="n"/>
      <c r="B1318" s="2" t="n"/>
      <c r="C1318" s="2" t="n"/>
      <c r="D1318" s="2" t="n"/>
      <c r="E1318" s="2" t="n"/>
      <c r="F1318" s="2" t="n"/>
      <c r="G1318" s="2" t="n"/>
      <c r="H1318" s="2" t="n"/>
      <c r="I1318" s="2" t="n"/>
      <c r="J1318" s="3" t="n"/>
    </row>
    <row customHeight="1" ht="15" r="1319" s="183" spans="1:15">
      <c r="A1319" s="37" t="n"/>
      <c r="B1319" s="2" t="n"/>
      <c r="C1319" s="2" t="n"/>
      <c r="D1319" s="2" t="n"/>
      <c r="E1319" s="2" t="n"/>
      <c r="F1319" s="2" t="n"/>
      <c r="G1319" s="2" t="n"/>
      <c r="H1319" s="2" t="n"/>
      <c r="I1319" s="2" t="n"/>
      <c r="J1319" s="3" t="n"/>
    </row>
    <row customHeight="1" ht="15" r="1320" s="183" spans="1:15">
      <c r="A1320" s="37" t="n"/>
      <c r="B1320" s="2" t="n"/>
      <c r="C1320" s="2" t="n"/>
      <c r="D1320" s="2" t="n"/>
      <c r="E1320" s="2" t="n"/>
      <c r="F1320" s="2" t="n"/>
      <c r="G1320" s="2" t="n"/>
      <c r="H1320" s="2" t="n"/>
      <c r="I1320" s="2" t="n"/>
      <c r="J1320" s="3" t="n"/>
    </row>
    <row customHeight="1" ht="15" r="1321" s="183" spans="1:15">
      <c r="A1321" s="37" t="n"/>
      <c r="B1321" s="2" t="n"/>
      <c r="C1321" s="2" t="n"/>
      <c r="D1321" s="2" t="n"/>
      <c r="E1321" s="2" t="n"/>
      <c r="F1321" s="2" t="n"/>
      <c r="G1321" s="2" t="n"/>
      <c r="H1321" s="2" t="n"/>
      <c r="I1321" s="2" t="n"/>
      <c r="J1321" s="3" t="n"/>
    </row>
    <row customHeight="1" ht="15" r="1322" s="183" spans="1:15">
      <c r="A1322" s="37" t="n"/>
      <c r="B1322" s="2" t="n"/>
      <c r="C1322" s="2" t="n"/>
      <c r="D1322" s="2" t="n"/>
      <c r="E1322" s="2" t="n"/>
      <c r="F1322" s="2" t="n"/>
      <c r="G1322" s="2" t="n"/>
      <c r="H1322" s="2" t="n"/>
      <c r="I1322" s="2" t="n"/>
      <c r="J1322" s="3" t="n"/>
    </row>
    <row customHeight="1" ht="15" r="1323" s="183" spans="1:15">
      <c r="A1323" s="37" t="n"/>
      <c r="B1323" s="2" t="n"/>
      <c r="C1323" s="2" t="n"/>
      <c r="D1323" s="2" t="n"/>
      <c r="E1323" s="2" t="n"/>
      <c r="F1323" s="2" t="n"/>
      <c r="G1323" s="2" t="n"/>
      <c r="H1323" s="2" t="n"/>
      <c r="I1323" s="2" t="n"/>
      <c r="J1323" s="3" t="n"/>
    </row>
    <row customHeight="1" ht="15" r="1324" s="183" spans="1:15">
      <c r="A1324" s="37" t="n"/>
      <c r="B1324" s="2" t="n"/>
      <c r="C1324" s="2" t="n"/>
      <c r="D1324" s="2" t="n"/>
      <c r="E1324" s="2" t="n"/>
      <c r="F1324" s="2" t="n"/>
      <c r="G1324" s="2" t="n"/>
      <c r="H1324" s="2" t="n"/>
      <c r="I1324" s="2" t="n"/>
      <c r="J1324" s="3" t="n"/>
    </row>
    <row customHeight="1" ht="15" r="1325" s="183" spans="1:15">
      <c r="A1325" s="37" t="n"/>
      <c r="B1325" s="2" t="n"/>
      <c r="C1325" s="2" t="n"/>
      <c r="D1325" s="2" t="n"/>
      <c r="E1325" s="2" t="n"/>
      <c r="F1325" s="2" t="n"/>
      <c r="G1325" s="2" t="n"/>
      <c r="H1325" s="2" t="n"/>
      <c r="I1325" s="2" t="n"/>
      <c r="J1325" s="3" t="n"/>
    </row>
    <row customHeight="1" ht="15" r="1326" s="183" spans="1:15">
      <c r="A1326" s="37" t="n"/>
      <c r="B1326" s="2" t="n"/>
      <c r="C1326" s="2" t="n"/>
      <c r="D1326" s="2" t="n"/>
      <c r="E1326" s="2" t="n"/>
      <c r="F1326" s="2" t="n"/>
      <c r="G1326" s="2" t="n"/>
      <c r="H1326" s="2" t="n"/>
      <c r="I1326" s="2" t="n"/>
      <c r="J1326" s="3" t="n"/>
    </row>
    <row customHeight="1" ht="15" r="1327" s="183" spans="1:15">
      <c r="A1327" s="37" t="n"/>
      <c r="B1327" s="2" t="n"/>
      <c r="C1327" s="2" t="n"/>
      <c r="D1327" s="2" t="n"/>
      <c r="E1327" s="2" t="n"/>
      <c r="F1327" s="2" t="n"/>
      <c r="G1327" s="2" t="n"/>
      <c r="H1327" s="2" t="n"/>
      <c r="I1327" s="2" t="n"/>
      <c r="J1327" s="3" t="n"/>
    </row>
    <row customHeight="1" ht="15" r="1328" s="183" spans="1:15">
      <c r="A1328" s="37" t="n"/>
      <c r="B1328" s="2" t="n"/>
      <c r="C1328" s="2" t="n"/>
      <c r="D1328" s="2" t="n"/>
      <c r="E1328" s="2" t="n"/>
      <c r="F1328" s="2" t="n"/>
      <c r="G1328" s="2" t="n"/>
      <c r="H1328" s="2" t="n"/>
      <c r="I1328" s="2" t="n"/>
      <c r="J1328" s="3" t="n"/>
    </row>
    <row customHeight="1" ht="15" r="1329" s="183" spans="1:15">
      <c r="A1329" s="37" t="n"/>
      <c r="B1329" s="2" t="n"/>
      <c r="C1329" s="2" t="n"/>
      <c r="D1329" s="2" t="n"/>
      <c r="E1329" s="2" t="n"/>
      <c r="F1329" s="2" t="n"/>
      <c r="G1329" s="2" t="n"/>
      <c r="H1329" s="2" t="n"/>
      <c r="I1329" s="2" t="n"/>
      <c r="J1329" s="3" t="n"/>
    </row>
    <row customHeight="1" ht="15" r="1330" s="183" spans="1:15">
      <c r="A1330" s="37" t="n"/>
      <c r="B1330" s="2" t="n"/>
      <c r="C1330" s="2" t="n"/>
      <c r="D1330" s="2" t="n"/>
      <c r="E1330" s="2" t="n"/>
      <c r="F1330" s="2" t="n"/>
      <c r="G1330" s="2" t="n"/>
      <c r="H1330" s="2" t="n"/>
      <c r="I1330" s="2" t="n"/>
      <c r="J1330" s="3" t="n"/>
    </row>
    <row customHeight="1" ht="15" r="1331" s="183" spans="1:15">
      <c r="A1331" s="37" t="n"/>
      <c r="B1331" s="2" t="n"/>
      <c r="C1331" s="2" t="n"/>
      <c r="D1331" s="2" t="n"/>
      <c r="E1331" s="2" t="n"/>
      <c r="F1331" s="2" t="n"/>
      <c r="G1331" s="2" t="n"/>
      <c r="H1331" s="2" t="n"/>
      <c r="I1331" s="2" t="n"/>
      <c r="J1331" s="3" t="n"/>
    </row>
    <row customHeight="1" ht="15" r="1332" s="183" spans="1:15">
      <c r="A1332" s="37" t="n"/>
      <c r="B1332" s="2" t="n"/>
      <c r="C1332" s="2" t="n"/>
      <c r="D1332" s="2" t="n"/>
      <c r="E1332" s="2" t="n"/>
      <c r="F1332" s="2" t="n"/>
      <c r="G1332" s="2" t="n"/>
      <c r="H1332" s="2" t="n"/>
      <c r="I1332" s="2" t="n"/>
      <c r="J1332" s="3" t="n"/>
    </row>
    <row customHeight="1" ht="15" r="1333" s="183" spans="1:15">
      <c r="A1333" s="37" t="n"/>
      <c r="B1333" s="2" t="n"/>
      <c r="C1333" s="2" t="n"/>
      <c r="D1333" s="2" t="n"/>
      <c r="E1333" s="2" t="n"/>
      <c r="F1333" s="2" t="n"/>
      <c r="G1333" s="2" t="n"/>
      <c r="H1333" s="2" t="n"/>
      <c r="I1333" s="2" t="n"/>
      <c r="J1333" s="3" t="n"/>
    </row>
    <row customHeight="1" ht="15" r="1334" s="183" spans="1:15">
      <c r="A1334" s="37" t="n"/>
      <c r="B1334" s="2" t="n"/>
      <c r="C1334" s="2" t="n"/>
      <c r="D1334" s="2" t="n"/>
      <c r="E1334" s="2" t="n"/>
      <c r="F1334" s="2" t="n"/>
      <c r="G1334" s="2" t="n"/>
      <c r="H1334" s="2" t="n"/>
      <c r="I1334" s="2" t="n"/>
      <c r="J1334" s="3" t="n"/>
    </row>
    <row customHeight="1" ht="15" r="1335" s="183" spans="1:15">
      <c r="A1335" s="37" t="n"/>
      <c r="B1335" s="2" t="n"/>
      <c r="C1335" s="2" t="n"/>
      <c r="D1335" s="2" t="n"/>
      <c r="E1335" s="2" t="n"/>
      <c r="F1335" s="2" t="n"/>
      <c r="G1335" s="2" t="n"/>
      <c r="H1335" s="2" t="n"/>
      <c r="I1335" s="2" t="n"/>
      <c r="J1335" s="3" t="n"/>
    </row>
    <row customHeight="1" ht="15" r="1336" s="183" spans="1:15">
      <c r="A1336" s="37" t="n"/>
      <c r="B1336" s="2" t="n"/>
      <c r="C1336" s="2" t="n"/>
      <c r="D1336" s="2" t="n"/>
      <c r="E1336" s="2" t="n"/>
      <c r="F1336" s="2" t="n"/>
      <c r="G1336" s="2" t="n"/>
      <c r="H1336" s="2" t="n"/>
      <c r="I1336" s="2" t="n"/>
      <c r="J1336" s="3" t="n"/>
    </row>
    <row customHeight="1" ht="15" r="1337" s="183" spans="1:15">
      <c r="A1337" s="37" t="n"/>
      <c r="B1337" s="2" t="n"/>
      <c r="C1337" s="2" t="n"/>
      <c r="D1337" s="2" t="n"/>
      <c r="E1337" s="2" t="n"/>
      <c r="F1337" s="2" t="n"/>
      <c r="G1337" s="2" t="n"/>
      <c r="H1337" s="2" t="n"/>
      <c r="I1337" s="2" t="n"/>
      <c r="J1337" s="3" t="n"/>
    </row>
    <row customHeight="1" ht="15" r="1338" s="183" spans="1:15">
      <c r="A1338" s="37" t="n"/>
      <c r="B1338" s="2" t="n"/>
      <c r="C1338" s="2" t="n"/>
      <c r="D1338" s="2" t="n"/>
      <c r="E1338" s="2" t="n"/>
      <c r="F1338" s="2" t="n"/>
      <c r="G1338" s="2" t="n"/>
      <c r="H1338" s="2" t="n"/>
      <c r="I1338" s="2" t="n"/>
      <c r="J1338" s="3" t="n"/>
    </row>
    <row customHeight="1" ht="15" r="1339" s="183" spans="1:15">
      <c r="A1339" s="37" t="n"/>
      <c r="B1339" s="2" t="n"/>
      <c r="C1339" s="2" t="n"/>
      <c r="D1339" s="2" t="n"/>
      <c r="E1339" s="2" t="n"/>
      <c r="F1339" s="2" t="n"/>
      <c r="G1339" s="2" t="n"/>
      <c r="H1339" s="2" t="n"/>
      <c r="I1339" s="2" t="n"/>
      <c r="J1339" s="3" t="n"/>
    </row>
    <row customHeight="1" ht="15" r="1340" s="183" spans="1:15">
      <c r="A1340" s="37" t="n"/>
      <c r="B1340" s="2" t="n"/>
      <c r="C1340" s="2" t="n"/>
      <c r="D1340" s="2" t="n"/>
      <c r="E1340" s="2" t="n"/>
      <c r="F1340" s="2" t="n"/>
      <c r="G1340" s="2" t="n"/>
      <c r="H1340" s="2" t="n"/>
      <c r="I1340" s="2" t="n"/>
      <c r="J1340" s="3" t="n"/>
    </row>
    <row customHeight="1" ht="15" r="1341" s="183" spans="1:15">
      <c r="A1341" s="37" t="n"/>
      <c r="B1341" s="2" t="n"/>
      <c r="C1341" s="2" t="n"/>
      <c r="D1341" s="2" t="n"/>
      <c r="E1341" s="2" t="n"/>
      <c r="F1341" s="2" t="n"/>
      <c r="G1341" s="2" t="n"/>
      <c r="H1341" s="2" t="n"/>
      <c r="I1341" s="2" t="n"/>
      <c r="J1341" s="3" t="n"/>
    </row>
    <row customHeight="1" ht="15" r="1342" s="183" spans="1:15">
      <c r="A1342" s="37" t="n"/>
      <c r="B1342" s="2" t="n"/>
      <c r="C1342" s="2" t="n"/>
      <c r="D1342" s="2" t="n"/>
      <c r="E1342" s="2" t="n"/>
      <c r="F1342" s="2" t="n"/>
      <c r="G1342" s="2" t="n"/>
      <c r="H1342" s="2" t="n"/>
      <c r="I1342" s="2" t="n"/>
      <c r="J1342" s="3" t="n"/>
    </row>
    <row customHeight="1" ht="15" r="1343" s="183" spans="1:15">
      <c r="A1343" s="37" t="n"/>
      <c r="B1343" s="2" t="n"/>
      <c r="C1343" s="2" t="n"/>
      <c r="D1343" s="2" t="n"/>
      <c r="E1343" s="2" t="n"/>
      <c r="F1343" s="2" t="n"/>
      <c r="G1343" s="2" t="n"/>
      <c r="H1343" s="2" t="n"/>
      <c r="I1343" s="2" t="n"/>
      <c r="J1343" s="3" t="n"/>
    </row>
    <row customHeight="1" ht="15" r="1344" s="183" spans="1:15">
      <c r="A1344" s="37" t="n"/>
      <c r="B1344" s="2" t="n"/>
      <c r="C1344" s="2" t="n"/>
      <c r="D1344" s="2" t="n"/>
      <c r="E1344" s="2" t="n"/>
      <c r="F1344" s="2" t="n"/>
      <c r="G1344" s="2" t="n"/>
      <c r="H1344" s="2" t="n"/>
      <c r="I1344" s="2" t="n"/>
      <c r="J1344" s="3" t="n"/>
    </row>
    <row customHeight="1" ht="15" r="1345" s="183" spans="1:15">
      <c r="A1345" s="37" t="n"/>
      <c r="B1345" s="2" t="n"/>
      <c r="C1345" s="2" t="n"/>
      <c r="D1345" s="2" t="n"/>
      <c r="E1345" s="2" t="n"/>
      <c r="F1345" s="2" t="n"/>
      <c r="G1345" s="2" t="n"/>
      <c r="H1345" s="2" t="n"/>
      <c r="I1345" s="2" t="n"/>
      <c r="J1345" s="3" t="n"/>
    </row>
    <row customHeight="1" ht="15" r="1346" s="183" spans="1:15">
      <c r="A1346" s="37" t="n"/>
      <c r="B1346" s="2" t="n"/>
      <c r="C1346" s="2" t="n"/>
      <c r="D1346" s="2" t="n"/>
      <c r="E1346" s="2" t="n"/>
      <c r="F1346" s="2" t="n"/>
      <c r="G1346" s="2" t="n"/>
      <c r="H1346" s="2" t="n"/>
      <c r="I1346" s="2" t="n"/>
      <c r="J1346" s="3" t="n"/>
    </row>
    <row customHeight="1" ht="15" r="1347" s="183" spans="1:15">
      <c r="A1347" s="37" t="n"/>
      <c r="B1347" s="2" t="n"/>
      <c r="C1347" s="2" t="n"/>
      <c r="D1347" s="2" t="n"/>
      <c r="E1347" s="2" t="n"/>
      <c r="F1347" s="2" t="n"/>
      <c r="G1347" s="2" t="n"/>
      <c r="H1347" s="2" t="n"/>
      <c r="I1347" s="2" t="n"/>
      <c r="J1347" s="3" t="n"/>
    </row>
    <row customHeight="1" ht="15" r="1348" s="183" spans="1:15">
      <c r="A1348" s="37" t="n"/>
      <c r="B1348" s="2" t="n"/>
      <c r="C1348" s="2" t="n"/>
      <c r="D1348" s="2" t="n"/>
      <c r="E1348" s="2" t="n"/>
      <c r="F1348" s="2" t="n"/>
      <c r="G1348" s="2" t="n"/>
      <c r="H1348" s="2" t="n"/>
      <c r="I1348" s="2" t="n"/>
      <c r="J1348" s="3" t="n"/>
    </row>
    <row customHeight="1" ht="15" r="1349" s="183" spans="1:15">
      <c r="A1349" s="37" t="n"/>
      <c r="B1349" s="2" t="n"/>
      <c r="C1349" s="2" t="n"/>
      <c r="D1349" s="2" t="n"/>
      <c r="E1349" s="2" t="n"/>
      <c r="F1349" s="2" t="n"/>
      <c r="G1349" s="2" t="n"/>
      <c r="H1349" s="2" t="n"/>
      <c r="I1349" s="2" t="n"/>
      <c r="J1349" s="3" t="n"/>
    </row>
    <row customHeight="1" ht="15" r="1350" s="183" spans="1:15">
      <c r="A1350" s="37" t="n"/>
      <c r="B1350" s="2" t="n"/>
      <c r="C1350" s="2" t="n"/>
      <c r="D1350" s="2" t="n"/>
      <c r="E1350" s="2" t="n"/>
      <c r="F1350" s="2" t="n"/>
      <c r="G1350" s="2" t="n"/>
      <c r="H1350" s="2" t="n"/>
      <c r="I1350" s="2" t="n"/>
      <c r="J1350" s="3" t="n"/>
    </row>
    <row customHeight="1" ht="15" r="1351" s="183" spans="1:15">
      <c r="A1351" s="37" t="n"/>
      <c r="B1351" s="2" t="n"/>
      <c r="C1351" s="2" t="n"/>
      <c r="D1351" s="2" t="n"/>
      <c r="E1351" s="2" t="n"/>
      <c r="F1351" s="2" t="n"/>
      <c r="G1351" s="2" t="n"/>
      <c r="H1351" s="2" t="n"/>
      <c r="I1351" s="2" t="n"/>
      <c r="J1351" s="3" t="n"/>
    </row>
    <row customHeight="1" ht="15" r="1352" s="183" spans="1:15">
      <c r="A1352" s="37" t="n"/>
      <c r="B1352" s="2" t="n"/>
      <c r="C1352" s="2" t="n"/>
      <c r="D1352" s="2" t="n"/>
      <c r="E1352" s="2" t="n"/>
      <c r="F1352" s="2" t="n"/>
      <c r="G1352" s="2" t="n"/>
      <c r="H1352" s="2" t="n"/>
      <c r="I1352" s="2" t="n"/>
      <c r="J1352" s="3" t="n"/>
    </row>
    <row customHeight="1" ht="15" r="1353" s="183" spans="1:15">
      <c r="A1353" s="37" t="n"/>
      <c r="B1353" s="2" t="n"/>
      <c r="C1353" s="2" t="n"/>
      <c r="D1353" s="2" t="n"/>
      <c r="E1353" s="2" t="n"/>
      <c r="F1353" s="2" t="n"/>
      <c r="G1353" s="2" t="n"/>
      <c r="H1353" s="2" t="n"/>
      <c r="I1353" s="2" t="n"/>
      <c r="J1353" s="3" t="n"/>
    </row>
    <row customHeight="1" ht="15" r="1354" s="183" spans="1:15">
      <c r="A1354" s="37" t="n"/>
      <c r="B1354" s="2" t="n"/>
      <c r="C1354" s="2" t="n"/>
      <c r="D1354" s="2" t="n"/>
      <c r="E1354" s="2" t="n"/>
      <c r="F1354" s="2" t="n"/>
      <c r="G1354" s="2" t="n"/>
      <c r="H1354" s="2" t="n"/>
      <c r="I1354" s="2" t="n"/>
      <c r="J1354" s="3" t="n"/>
    </row>
    <row customHeight="1" ht="15" r="1355" s="183" spans="1:15">
      <c r="A1355" s="37" t="n"/>
      <c r="B1355" s="2" t="n"/>
      <c r="C1355" s="2" t="n"/>
      <c r="D1355" s="2" t="n"/>
      <c r="E1355" s="2" t="n"/>
      <c r="F1355" s="2" t="n"/>
      <c r="G1355" s="2" t="n"/>
      <c r="H1355" s="2" t="n"/>
      <c r="I1355" s="2" t="n"/>
      <c r="J1355" s="3" t="n"/>
    </row>
    <row customHeight="1" ht="15" r="1356" s="183" spans="1:15">
      <c r="A1356" s="37" t="n"/>
      <c r="B1356" s="2" t="n"/>
      <c r="C1356" s="2" t="n"/>
      <c r="D1356" s="2" t="n"/>
      <c r="E1356" s="2" t="n"/>
      <c r="F1356" s="2" t="n"/>
      <c r="G1356" s="2" t="n"/>
      <c r="H1356" s="2" t="n"/>
      <c r="I1356" s="2" t="n"/>
      <c r="J1356" s="3" t="n"/>
    </row>
    <row customHeight="1" ht="15" r="1357" s="183" spans="1:15">
      <c r="A1357" s="37" t="n"/>
      <c r="B1357" s="2" t="n"/>
      <c r="C1357" s="2" t="n"/>
      <c r="D1357" s="2" t="n"/>
      <c r="E1357" s="2" t="n"/>
      <c r="F1357" s="2" t="n"/>
      <c r="G1357" s="2" t="n"/>
      <c r="H1357" s="2" t="n"/>
      <c r="I1357" s="2" t="n"/>
      <c r="J1357" s="3" t="n"/>
    </row>
    <row customHeight="1" ht="15" r="1358" s="183" spans="1:15">
      <c r="A1358" s="37" t="n"/>
      <c r="B1358" s="2" t="n"/>
      <c r="C1358" s="2" t="n"/>
      <c r="D1358" s="2" t="n"/>
      <c r="E1358" s="2" t="n"/>
      <c r="F1358" s="2" t="n"/>
      <c r="G1358" s="2" t="n"/>
      <c r="H1358" s="2" t="n"/>
      <c r="I1358" s="2" t="n"/>
      <c r="J1358" s="3" t="n"/>
    </row>
    <row customHeight="1" ht="15" r="1359" s="183" spans="1:15">
      <c r="A1359" s="37" t="n"/>
      <c r="B1359" s="2" t="n"/>
      <c r="C1359" s="2" t="n"/>
      <c r="D1359" s="2" t="n"/>
      <c r="E1359" s="2" t="n"/>
      <c r="F1359" s="2" t="n"/>
      <c r="G1359" s="2" t="n"/>
      <c r="H1359" s="2" t="n"/>
      <c r="I1359" s="2" t="n"/>
      <c r="J1359" s="3" t="n"/>
    </row>
    <row customHeight="1" ht="15" r="1360" s="183" spans="1:15">
      <c r="A1360" s="37" t="n"/>
      <c r="B1360" s="2" t="n"/>
      <c r="C1360" s="2" t="n"/>
      <c r="D1360" s="2" t="n"/>
      <c r="E1360" s="2" t="n"/>
      <c r="F1360" s="2" t="n"/>
      <c r="G1360" s="2" t="n"/>
      <c r="H1360" s="2" t="n"/>
      <c r="I1360" s="2" t="n"/>
      <c r="J1360" s="3" t="n"/>
    </row>
    <row customHeight="1" ht="15" r="1361" s="183" spans="1:15">
      <c r="A1361" s="37" t="n"/>
      <c r="B1361" s="2" t="n"/>
      <c r="C1361" s="2" t="n"/>
      <c r="D1361" s="2" t="n"/>
      <c r="E1361" s="2" t="n"/>
      <c r="F1361" s="2" t="n"/>
      <c r="G1361" s="2" t="n"/>
      <c r="H1361" s="2" t="n"/>
      <c r="I1361" s="2" t="n"/>
      <c r="J1361" s="3" t="n"/>
    </row>
    <row customHeight="1" ht="15" r="1362" s="183" spans="1:15">
      <c r="A1362" s="37" t="n"/>
      <c r="B1362" s="2" t="n"/>
      <c r="C1362" s="2" t="n"/>
      <c r="D1362" s="2" t="n"/>
      <c r="E1362" s="2" t="n"/>
      <c r="F1362" s="2" t="n"/>
      <c r="G1362" s="2" t="n"/>
      <c r="H1362" s="2" t="n"/>
      <c r="I1362" s="2" t="n"/>
      <c r="J1362" s="3" t="n"/>
    </row>
    <row customHeight="1" ht="15" r="1363" s="183" spans="1:15">
      <c r="A1363" s="37" t="n"/>
      <c r="B1363" s="2" t="n"/>
      <c r="C1363" s="2" t="n"/>
      <c r="D1363" s="2" t="n"/>
      <c r="E1363" s="2" t="n"/>
      <c r="F1363" s="2" t="n"/>
      <c r="G1363" s="2" t="n"/>
      <c r="H1363" s="2" t="n"/>
      <c r="I1363" s="2" t="n"/>
      <c r="J1363" s="3" t="n"/>
    </row>
    <row customHeight="1" ht="15" r="1364" s="183" spans="1:15">
      <c r="A1364" s="37" t="n"/>
      <c r="B1364" s="2" t="n"/>
      <c r="C1364" s="2" t="n"/>
      <c r="D1364" s="2" t="n"/>
      <c r="E1364" s="2" t="n"/>
      <c r="F1364" s="2" t="n"/>
      <c r="G1364" s="2" t="n"/>
      <c r="H1364" s="2" t="n"/>
      <c r="I1364" s="2" t="n"/>
      <c r="J1364" s="3" t="n"/>
    </row>
    <row customHeight="1" ht="15" r="1365" s="183" spans="1:15">
      <c r="A1365" s="37" t="n"/>
      <c r="B1365" s="2" t="n"/>
      <c r="C1365" s="2" t="n"/>
      <c r="D1365" s="2" t="n"/>
      <c r="E1365" s="2" t="n"/>
      <c r="F1365" s="2" t="n"/>
      <c r="G1365" s="2" t="n"/>
      <c r="H1365" s="2" t="n"/>
      <c r="I1365" s="2" t="n"/>
      <c r="J1365" s="3" t="n"/>
    </row>
    <row customHeight="1" ht="15" r="1366" s="183" spans="1:15">
      <c r="A1366" s="37" t="n"/>
      <c r="B1366" s="2" t="n"/>
      <c r="C1366" s="2" t="n"/>
      <c r="D1366" s="2" t="n"/>
      <c r="E1366" s="2" t="n"/>
      <c r="F1366" s="2" t="n"/>
      <c r="G1366" s="2" t="n"/>
      <c r="H1366" s="2" t="n"/>
      <c r="I1366" s="2" t="n"/>
      <c r="J1366" s="3" t="n"/>
    </row>
    <row customHeight="1" ht="15" r="1367" s="183" spans="1:15">
      <c r="A1367" s="37" t="n"/>
      <c r="B1367" s="2" t="n"/>
      <c r="C1367" s="2" t="n"/>
      <c r="D1367" s="2" t="n"/>
      <c r="E1367" s="2" t="n"/>
      <c r="F1367" s="2" t="n"/>
      <c r="G1367" s="2" t="n"/>
      <c r="H1367" s="2" t="n"/>
      <c r="I1367" s="2" t="n"/>
      <c r="J1367" s="3" t="n"/>
    </row>
    <row customHeight="1" ht="15" r="1368" s="183" spans="1:15">
      <c r="A1368" s="37" t="n"/>
      <c r="B1368" s="2" t="n"/>
      <c r="C1368" s="2" t="n"/>
      <c r="D1368" s="2" t="n"/>
      <c r="E1368" s="2" t="n"/>
      <c r="F1368" s="2" t="n"/>
      <c r="G1368" s="2" t="n"/>
      <c r="H1368" s="2" t="n"/>
      <c r="I1368" s="2" t="n"/>
      <c r="J1368" s="3" t="n"/>
    </row>
    <row customHeight="1" ht="15" r="1369" s="183" spans="1:15">
      <c r="A1369" s="37" t="n"/>
      <c r="B1369" s="2" t="n"/>
      <c r="C1369" s="2" t="n"/>
      <c r="D1369" s="2" t="n"/>
      <c r="E1369" s="2" t="n"/>
      <c r="F1369" s="2" t="n"/>
      <c r="G1369" s="2" t="n"/>
      <c r="H1369" s="2" t="n"/>
      <c r="I1369" s="2" t="n"/>
      <c r="J1369" s="3" t="n"/>
    </row>
    <row customHeight="1" ht="15" r="1370" s="183" spans="1:15">
      <c r="A1370" s="37" t="n"/>
      <c r="B1370" s="2" t="n"/>
      <c r="C1370" s="2" t="n"/>
      <c r="D1370" s="2" t="n"/>
      <c r="E1370" s="2" t="n"/>
      <c r="F1370" s="2" t="n"/>
      <c r="G1370" s="2" t="n"/>
      <c r="H1370" s="2" t="n"/>
      <c r="I1370" s="2" t="n"/>
      <c r="J1370" s="3" t="n"/>
    </row>
    <row customHeight="1" ht="15" r="1371" s="183" spans="1:15">
      <c r="A1371" s="37" t="n"/>
      <c r="B1371" s="2" t="n"/>
      <c r="C1371" s="2" t="n"/>
      <c r="D1371" s="2" t="n"/>
      <c r="E1371" s="2" t="n"/>
      <c r="F1371" s="2" t="n"/>
      <c r="G1371" s="2" t="n"/>
      <c r="H1371" s="2" t="n"/>
      <c r="I1371" s="2" t="n"/>
      <c r="J1371" s="3" t="n"/>
    </row>
    <row customHeight="1" ht="15" r="1372" s="183" spans="1:15">
      <c r="A1372" s="37" t="n"/>
      <c r="B1372" s="2" t="n"/>
      <c r="C1372" s="2" t="n"/>
      <c r="D1372" s="2" t="n"/>
      <c r="E1372" s="2" t="n"/>
      <c r="F1372" s="2" t="n"/>
      <c r="G1372" s="2" t="n"/>
      <c r="H1372" s="2" t="n"/>
      <c r="I1372" s="2" t="n"/>
      <c r="J1372" s="3" t="n"/>
    </row>
    <row customHeight="1" ht="15" r="1373" s="183" spans="1:15">
      <c r="A1373" s="37" t="n"/>
      <c r="B1373" s="2" t="n"/>
      <c r="C1373" s="2" t="n"/>
      <c r="D1373" s="2" t="n"/>
      <c r="E1373" s="2" t="n"/>
      <c r="F1373" s="2" t="n"/>
      <c r="G1373" s="2" t="n"/>
      <c r="H1373" s="2" t="n"/>
      <c r="I1373" s="2" t="n"/>
      <c r="J1373" s="3" t="n"/>
    </row>
    <row customHeight="1" ht="15" r="1374" s="183" spans="1:15">
      <c r="A1374" s="37" t="n"/>
      <c r="B1374" s="2" t="n"/>
      <c r="C1374" s="2" t="n"/>
      <c r="D1374" s="2" t="n"/>
      <c r="E1374" s="2" t="n"/>
      <c r="F1374" s="2" t="n"/>
      <c r="G1374" s="2" t="n"/>
      <c r="H1374" s="2" t="n"/>
      <c r="I1374" s="2" t="n"/>
      <c r="J1374" s="3" t="n"/>
    </row>
    <row customHeight="1" ht="15" r="1375" s="183" spans="1:15">
      <c r="A1375" s="37" t="n"/>
      <c r="B1375" s="2" t="n"/>
      <c r="C1375" s="2" t="n"/>
      <c r="D1375" s="2" t="n"/>
      <c r="E1375" s="2" t="n"/>
      <c r="F1375" s="2" t="n"/>
      <c r="G1375" s="2" t="n"/>
      <c r="H1375" s="2" t="n"/>
      <c r="I1375" s="2" t="n"/>
      <c r="J1375" s="3" t="n"/>
    </row>
    <row customHeight="1" ht="15" r="1376" s="183" spans="1:15">
      <c r="A1376" s="37" t="n"/>
      <c r="B1376" s="2" t="n"/>
      <c r="C1376" s="2" t="n"/>
      <c r="D1376" s="2" t="n"/>
      <c r="E1376" s="2" t="n"/>
      <c r="F1376" s="2" t="n"/>
      <c r="G1376" s="2" t="n"/>
      <c r="H1376" s="2" t="n"/>
      <c r="I1376" s="2" t="n"/>
      <c r="J1376" s="3" t="n"/>
    </row>
    <row customHeight="1" ht="15" r="1377" s="183" spans="1:15">
      <c r="A1377" s="37" t="n"/>
      <c r="B1377" s="2" t="n"/>
      <c r="C1377" s="2" t="n"/>
      <c r="D1377" s="2" t="n"/>
      <c r="E1377" s="2" t="n"/>
      <c r="F1377" s="2" t="n"/>
      <c r="G1377" s="2" t="n"/>
      <c r="H1377" s="2" t="n"/>
      <c r="I1377" s="2" t="n"/>
      <c r="J1377" s="3" t="n"/>
    </row>
    <row customHeight="1" ht="15" r="1378" s="183" spans="1:15">
      <c r="A1378" s="37" t="n"/>
      <c r="B1378" s="2" t="n"/>
      <c r="C1378" s="2" t="n"/>
      <c r="D1378" s="2" t="n"/>
      <c r="E1378" s="2" t="n"/>
      <c r="F1378" s="2" t="n"/>
      <c r="G1378" s="2" t="n"/>
      <c r="H1378" s="2" t="n"/>
      <c r="I1378" s="2" t="n"/>
      <c r="J1378" s="3" t="n"/>
    </row>
    <row customHeight="1" ht="15" r="1379" s="183" spans="1:15">
      <c r="A1379" s="37" t="n"/>
      <c r="B1379" s="2" t="n"/>
      <c r="C1379" s="2" t="n"/>
      <c r="D1379" s="2" t="n"/>
      <c r="E1379" s="2" t="n"/>
      <c r="F1379" s="2" t="n"/>
      <c r="G1379" s="2" t="n"/>
      <c r="H1379" s="2" t="n"/>
      <c r="I1379" s="2" t="n"/>
      <c r="J1379" s="3" t="n"/>
    </row>
    <row customHeight="1" ht="15" r="1380" s="183" spans="1:15">
      <c r="A1380" s="37" t="n"/>
      <c r="B1380" s="2" t="n"/>
      <c r="C1380" s="2" t="n"/>
      <c r="D1380" s="2" t="n"/>
      <c r="E1380" s="2" t="n"/>
      <c r="F1380" s="2" t="n"/>
      <c r="G1380" s="2" t="n"/>
      <c r="H1380" s="2" t="n"/>
      <c r="I1380" s="2" t="n"/>
      <c r="J1380" s="3" t="n"/>
    </row>
    <row customHeight="1" ht="15" r="1381" s="183" spans="1:15">
      <c r="A1381" s="37" t="n"/>
      <c r="B1381" s="2" t="n"/>
      <c r="C1381" s="2" t="n"/>
      <c r="D1381" s="2" t="n"/>
      <c r="E1381" s="2" t="n"/>
      <c r="F1381" s="2" t="n"/>
      <c r="G1381" s="2" t="n"/>
      <c r="H1381" s="2" t="n"/>
      <c r="I1381" s="2" t="n"/>
      <c r="J1381" s="3" t="n"/>
    </row>
    <row customHeight="1" ht="15" r="1382" s="183" spans="1:15">
      <c r="A1382" s="37" t="n"/>
      <c r="B1382" s="2" t="n"/>
      <c r="C1382" s="2" t="n"/>
      <c r="D1382" s="2" t="n"/>
      <c r="E1382" s="2" t="n"/>
      <c r="F1382" s="2" t="n"/>
      <c r="G1382" s="2" t="n"/>
      <c r="H1382" s="2" t="n"/>
      <c r="I1382" s="2" t="n"/>
      <c r="J1382" s="3" t="n"/>
    </row>
    <row customHeight="1" ht="15" r="1383" s="183" spans="1:15">
      <c r="A1383" s="37" t="n"/>
      <c r="B1383" s="2" t="n"/>
      <c r="C1383" s="2" t="n"/>
      <c r="D1383" s="2" t="n"/>
      <c r="E1383" s="2" t="n"/>
      <c r="F1383" s="2" t="n"/>
      <c r="G1383" s="2" t="n"/>
      <c r="H1383" s="2" t="n"/>
      <c r="I1383" s="2" t="n"/>
      <c r="J1383" s="3" t="n"/>
    </row>
    <row customHeight="1" ht="15" r="1384" s="183" spans="1:15">
      <c r="A1384" s="37" t="n"/>
      <c r="B1384" s="2" t="n"/>
      <c r="C1384" s="2" t="n"/>
      <c r="D1384" s="2" t="n"/>
      <c r="E1384" s="2" t="n"/>
      <c r="F1384" s="2" t="n"/>
      <c r="G1384" s="2" t="n"/>
      <c r="H1384" s="2" t="n"/>
      <c r="I1384" s="2" t="n"/>
      <c r="J1384" s="3" t="n"/>
    </row>
    <row customHeight="1" ht="15" r="1385" s="183" spans="1:15">
      <c r="A1385" s="37" t="n"/>
      <c r="B1385" s="2" t="n"/>
      <c r="C1385" s="2" t="n"/>
      <c r="D1385" s="2" t="n"/>
      <c r="E1385" s="2" t="n"/>
      <c r="F1385" s="2" t="n"/>
      <c r="G1385" s="2" t="n"/>
      <c r="H1385" s="2" t="n"/>
      <c r="I1385" s="2" t="n"/>
      <c r="J1385" s="3" t="n"/>
    </row>
    <row customHeight="1" ht="15" r="1386" s="183" spans="1:15">
      <c r="A1386" s="37" t="n"/>
      <c r="B1386" s="2" t="n"/>
      <c r="C1386" s="2" t="n"/>
      <c r="D1386" s="2" t="n"/>
      <c r="E1386" s="2" t="n"/>
      <c r="F1386" s="2" t="n"/>
      <c r="G1386" s="2" t="n"/>
      <c r="H1386" s="2" t="n"/>
      <c r="I1386" s="2" t="n"/>
      <c r="J1386" s="3" t="n"/>
    </row>
    <row customHeight="1" ht="15" r="1387" s="183" spans="1:15">
      <c r="A1387" s="37" t="n"/>
      <c r="B1387" s="2" t="n"/>
      <c r="C1387" s="2" t="n"/>
      <c r="D1387" s="2" t="n"/>
      <c r="E1387" s="2" t="n"/>
      <c r="F1387" s="2" t="n"/>
      <c r="G1387" s="2" t="n"/>
      <c r="H1387" s="2" t="n"/>
      <c r="I1387" s="2" t="n"/>
      <c r="J1387" s="3" t="n"/>
    </row>
    <row customHeight="1" ht="15" r="1388" s="183" spans="1:15">
      <c r="A1388" s="37" t="n"/>
      <c r="B1388" s="2" t="n"/>
      <c r="C1388" s="2" t="n"/>
      <c r="D1388" s="2" t="n"/>
      <c r="E1388" s="2" t="n"/>
      <c r="F1388" s="2" t="n"/>
      <c r="G1388" s="2" t="n"/>
      <c r="H1388" s="2" t="n"/>
      <c r="I1388" s="2" t="n"/>
      <c r="J1388" s="3" t="n"/>
    </row>
    <row customHeight="1" ht="15" r="1389" s="183" spans="1:15">
      <c r="A1389" s="37" t="n"/>
      <c r="B1389" s="2" t="n"/>
      <c r="C1389" s="2" t="n"/>
      <c r="D1389" s="2" t="n"/>
      <c r="E1389" s="2" t="n"/>
      <c r="F1389" s="2" t="n"/>
      <c r="G1389" s="2" t="n"/>
      <c r="H1389" s="2" t="n"/>
      <c r="I1389" s="2" t="n"/>
      <c r="J1389" s="3" t="n"/>
    </row>
    <row customHeight="1" ht="15" r="1390" s="183" spans="1:15">
      <c r="A1390" s="37" t="n"/>
      <c r="B1390" s="2" t="n"/>
      <c r="C1390" s="2" t="n"/>
      <c r="D1390" s="2" t="n"/>
      <c r="E1390" s="2" t="n"/>
      <c r="F1390" s="2" t="n"/>
      <c r="G1390" s="2" t="n"/>
      <c r="H1390" s="2" t="n"/>
      <c r="I1390" s="2" t="n"/>
      <c r="J1390" s="3" t="n"/>
    </row>
    <row customHeight="1" ht="15" r="1391" s="183" spans="1:15">
      <c r="A1391" s="37" t="n"/>
      <c r="B1391" s="2" t="n"/>
      <c r="C1391" s="2" t="n"/>
      <c r="D1391" s="2" t="n"/>
      <c r="E1391" s="2" t="n"/>
      <c r="F1391" s="2" t="n"/>
      <c r="G1391" s="2" t="n"/>
      <c r="H1391" s="2" t="n"/>
      <c r="I1391" s="2" t="n"/>
      <c r="J1391" s="3" t="n"/>
    </row>
    <row customHeight="1" ht="15" r="1392" s="183" spans="1:15">
      <c r="A1392" s="37" t="n"/>
      <c r="B1392" s="2" t="n"/>
      <c r="C1392" s="2" t="n"/>
      <c r="D1392" s="2" t="n"/>
      <c r="E1392" s="2" t="n"/>
      <c r="F1392" s="2" t="n"/>
      <c r="G1392" s="2" t="n"/>
      <c r="H1392" s="2" t="n"/>
      <c r="I1392" s="2" t="n"/>
      <c r="J1392" s="3" t="n"/>
    </row>
    <row customHeight="1" ht="15" r="1393" s="183" spans="1:15">
      <c r="A1393" s="37" t="n"/>
      <c r="B1393" s="2" t="n"/>
      <c r="C1393" s="2" t="n"/>
      <c r="D1393" s="2" t="n"/>
      <c r="E1393" s="2" t="n"/>
      <c r="F1393" s="2" t="n"/>
      <c r="G1393" s="2" t="n"/>
      <c r="H1393" s="2" t="n"/>
      <c r="I1393" s="2" t="n"/>
      <c r="J1393" s="3" t="n"/>
    </row>
    <row customHeight="1" ht="15" r="1394" s="183" spans="1:15">
      <c r="A1394" s="37" t="n"/>
      <c r="B1394" s="2" t="n"/>
      <c r="C1394" s="2" t="n"/>
      <c r="D1394" s="2" t="n"/>
      <c r="E1394" s="2" t="n"/>
      <c r="F1394" s="2" t="n"/>
      <c r="G1394" s="2" t="n"/>
      <c r="H1394" s="2" t="n"/>
      <c r="I1394" s="2" t="n"/>
      <c r="J1394" s="3" t="n"/>
    </row>
    <row customHeight="1" ht="15" r="1395" s="183" spans="1:15">
      <c r="A1395" s="37" t="n"/>
      <c r="B1395" s="2" t="n"/>
      <c r="C1395" s="2" t="n"/>
      <c r="D1395" s="2" t="n"/>
      <c r="E1395" s="2" t="n"/>
      <c r="F1395" s="2" t="n"/>
      <c r="G1395" s="2" t="n"/>
      <c r="H1395" s="2" t="n"/>
      <c r="I1395" s="2" t="n"/>
      <c r="J1395" s="3" t="n"/>
    </row>
    <row customHeight="1" ht="15" r="1396" s="183" spans="1:15">
      <c r="A1396" s="37" t="n"/>
      <c r="B1396" s="2" t="n"/>
      <c r="C1396" s="2" t="n"/>
      <c r="D1396" s="2" t="n"/>
      <c r="E1396" s="2" t="n"/>
      <c r="F1396" s="2" t="n"/>
      <c r="G1396" s="2" t="n"/>
      <c r="H1396" s="2" t="n"/>
      <c r="I1396" s="2" t="n"/>
      <c r="J1396" s="3" t="n"/>
    </row>
    <row customHeight="1" ht="15" r="1397" s="183" spans="1:15">
      <c r="A1397" s="37" t="n"/>
      <c r="B1397" s="2" t="n"/>
      <c r="C1397" s="2" t="n"/>
      <c r="D1397" s="2" t="n"/>
      <c r="E1397" s="2" t="n"/>
      <c r="F1397" s="2" t="n"/>
      <c r="G1397" s="2" t="n"/>
      <c r="H1397" s="2" t="n"/>
      <c r="I1397" s="2" t="n"/>
      <c r="J1397" s="3" t="n"/>
    </row>
    <row customHeight="1" ht="15" r="1398" s="183" spans="1:15">
      <c r="A1398" s="37" t="n"/>
      <c r="B1398" s="2" t="n"/>
      <c r="C1398" s="2" t="n"/>
      <c r="D1398" s="2" t="n"/>
      <c r="E1398" s="2" t="n"/>
      <c r="F1398" s="2" t="n"/>
      <c r="G1398" s="2" t="n"/>
      <c r="H1398" s="2" t="n"/>
      <c r="I1398" s="2" t="n"/>
      <c r="J1398" s="3" t="n"/>
    </row>
    <row customHeight="1" ht="15" r="1399" s="183" spans="1:15">
      <c r="A1399" s="37" t="n"/>
      <c r="B1399" s="2" t="n"/>
      <c r="C1399" s="2" t="n"/>
      <c r="D1399" s="2" t="n"/>
      <c r="E1399" s="2" t="n"/>
      <c r="F1399" s="2" t="n"/>
      <c r="G1399" s="2" t="n"/>
      <c r="H1399" s="2" t="n"/>
      <c r="I1399" s="2" t="n"/>
      <c r="J1399" s="3" t="n"/>
    </row>
    <row customHeight="1" ht="15" r="1400" s="183" spans="1:15">
      <c r="A1400" s="37" t="n"/>
      <c r="B1400" s="2" t="n"/>
      <c r="C1400" s="2" t="n"/>
      <c r="D1400" s="2" t="n"/>
      <c r="E1400" s="2" t="n"/>
      <c r="F1400" s="2" t="n"/>
      <c r="G1400" s="2" t="n"/>
      <c r="H1400" s="2" t="n"/>
      <c r="I1400" s="2" t="n"/>
      <c r="J1400" s="3" t="n"/>
    </row>
    <row customHeight="1" ht="15" r="1401" s="183" spans="1:15">
      <c r="A1401" s="37" t="n"/>
      <c r="B1401" s="2" t="n"/>
      <c r="C1401" s="2" t="n"/>
      <c r="D1401" s="2" t="n"/>
      <c r="E1401" s="2" t="n"/>
      <c r="F1401" s="2" t="n"/>
      <c r="G1401" s="2" t="n"/>
      <c r="H1401" s="2" t="n"/>
      <c r="I1401" s="2" t="n"/>
      <c r="J1401" s="3" t="n"/>
    </row>
    <row customHeight="1" ht="15" r="1402" s="183" spans="1:15">
      <c r="A1402" s="37" t="n"/>
      <c r="B1402" s="2" t="n"/>
      <c r="C1402" s="2" t="n"/>
      <c r="D1402" s="2" t="n"/>
      <c r="E1402" s="2" t="n"/>
      <c r="F1402" s="2" t="n"/>
      <c r="G1402" s="2" t="n"/>
      <c r="H1402" s="2" t="n"/>
      <c r="I1402" s="2" t="n"/>
      <c r="J1402" s="3" t="n"/>
    </row>
    <row customHeight="1" ht="15" r="1403" s="183" spans="1:15">
      <c r="A1403" s="37" t="n"/>
      <c r="B1403" s="2" t="n"/>
      <c r="C1403" s="2" t="n"/>
      <c r="D1403" s="2" t="n"/>
      <c r="E1403" s="2" t="n"/>
      <c r="F1403" s="2" t="n"/>
      <c r="G1403" s="2" t="n"/>
      <c r="H1403" s="2" t="n"/>
      <c r="I1403" s="2" t="n"/>
      <c r="J1403" s="3" t="n"/>
    </row>
    <row customHeight="1" ht="15" r="1404" s="183" spans="1:15">
      <c r="A1404" s="37" t="n"/>
      <c r="B1404" s="2" t="n"/>
      <c r="C1404" s="2" t="n"/>
      <c r="D1404" s="2" t="n"/>
      <c r="E1404" s="2" t="n"/>
      <c r="F1404" s="2" t="n"/>
      <c r="G1404" s="2" t="n"/>
      <c r="H1404" s="2" t="n"/>
      <c r="I1404" s="2" t="n"/>
      <c r="J1404" s="3" t="n"/>
    </row>
    <row customHeight="1" ht="15" r="1405" s="183" spans="1:15">
      <c r="A1405" s="37" t="n"/>
      <c r="B1405" s="2" t="n"/>
      <c r="C1405" s="2" t="n"/>
      <c r="D1405" s="2" t="n"/>
      <c r="E1405" s="2" t="n"/>
      <c r="F1405" s="2" t="n"/>
      <c r="G1405" s="2" t="n"/>
      <c r="H1405" s="2" t="n"/>
      <c r="I1405" s="2" t="n"/>
      <c r="J1405" s="3" t="n"/>
    </row>
    <row customHeight="1" ht="15" r="1406" s="183" spans="1:15">
      <c r="A1406" s="37" t="n"/>
      <c r="B1406" s="2" t="n"/>
      <c r="C1406" s="2" t="n"/>
      <c r="D1406" s="2" t="n"/>
      <c r="E1406" s="2" t="n"/>
      <c r="F1406" s="2" t="n"/>
      <c r="G1406" s="2" t="n"/>
      <c r="H1406" s="2" t="n"/>
      <c r="I1406" s="2" t="n"/>
      <c r="J1406" s="3" t="n"/>
    </row>
    <row customHeight="1" ht="15" r="1407" s="183" spans="1:15">
      <c r="A1407" s="37" t="n"/>
      <c r="B1407" s="2" t="n"/>
      <c r="C1407" s="2" t="n"/>
      <c r="D1407" s="2" t="n"/>
      <c r="E1407" s="2" t="n"/>
      <c r="F1407" s="2" t="n"/>
      <c r="G1407" s="2" t="n"/>
      <c r="H1407" s="2" t="n"/>
      <c r="I1407" s="2" t="n"/>
      <c r="J1407" s="3" t="n"/>
    </row>
    <row customHeight="1" ht="15" r="1408" s="183" spans="1:15">
      <c r="A1408" s="37" t="n"/>
      <c r="B1408" s="2" t="n"/>
      <c r="C1408" s="2" t="n"/>
      <c r="D1408" s="2" t="n"/>
      <c r="E1408" s="2" t="n"/>
      <c r="F1408" s="2" t="n"/>
      <c r="G1408" s="2" t="n"/>
      <c r="H1408" s="2" t="n"/>
      <c r="I1408" s="2" t="n"/>
      <c r="J1408" s="3" t="n"/>
    </row>
    <row customHeight="1" ht="15" r="1409" s="183" spans="1:15">
      <c r="A1409" s="37" t="n"/>
      <c r="B1409" s="2" t="n"/>
      <c r="C1409" s="2" t="n"/>
      <c r="D1409" s="2" t="n"/>
      <c r="E1409" s="2" t="n"/>
      <c r="F1409" s="2" t="n"/>
      <c r="G1409" s="2" t="n"/>
      <c r="H1409" s="2" t="n"/>
      <c r="I1409" s="2" t="n"/>
      <c r="J1409" s="3" t="n"/>
    </row>
    <row customHeight="1" ht="15" r="1410" s="183" spans="1:15">
      <c r="A1410" s="37" t="n"/>
      <c r="B1410" s="2" t="n"/>
      <c r="C1410" s="2" t="n"/>
      <c r="D1410" s="2" t="n"/>
      <c r="E1410" s="2" t="n"/>
      <c r="F1410" s="2" t="n"/>
      <c r="G1410" s="2" t="n"/>
      <c r="H1410" s="2" t="n"/>
      <c r="I1410" s="2" t="n"/>
      <c r="J1410" s="3" t="n"/>
    </row>
    <row customHeight="1" ht="15" r="1411" s="183" spans="1:15">
      <c r="A1411" s="37" t="n"/>
      <c r="B1411" s="2" t="n"/>
      <c r="C1411" s="2" t="n"/>
      <c r="D1411" s="2" t="n"/>
      <c r="E1411" s="2" t="n"/>
      <c r="F1411" s="2" t="n"/>
      <c r="G1411" s="2" t="n"/>
      <c r="H1411" s="2" t="n"/>
      <c r="I1411" s="2" t="n"/>
      <c r="J1411" s="3" t="n"/>
    </row>
    <row customHeight="1" ht="15" r="1412" s="183" spans="1:15">
      <c r="A1412" s="37" t="n"/>
      <c r="B1412" s="2" t="n"/>
      <c r="C1412" s="2" t="n"/>
      <c r="D1412" s="2" t="n"/>
      <c r="E1412" s="2" t="n"/>
      <c r="F1412" s="2" t="n"/>
      <c r="G1412" s="2" t="n"/>
      <c r="H1412" s="2" t="n"/>
      <c r="I1412" s="2" t="n"/>
      <c r="J1412" s="3" t="n"/>
    </row>
    <row customHeight="1" ht="15" r="1413" s="183" spans="1:15">
      <c r="A1413" s="37" t="n"/>
      <c r="B1413" s="2" t="n"/>
      <c r="C1413" s="2" t="n"/>
      <c r="D1413" s="2" t="n"/>
      <c r="E1413" s="2" t="n"/>
      <c r="F1413" s="2" t="n"/>
      <c r="G1413" s="2" t="n"/>
      <c r="H1413" s="2" t="n"/>
      <c r="I1413" s="2" t="n"/>
      <c r="J1413" s="3" t="n"/>
    </row>
    <row customHeight="1" ht="15" r="1414" s="183" spans="1:15">
      <c r="A1414" s="37" t="n"/>
      <c r="B1414" s="2" t="n"/>
      <c r="C1414" s="2" t="n"/>
      <c r="D1414" s="2" t="n"/>
      <c r="E1414" s="2" t="n"/>
      <c r="F1414" s="2" t="n"/>
      <c r="G1414" s="2" t="n"/>
      <c r="H1414" s="2" t="n"/>
      <c r="I1414" s="2" t="n"/>
      <c r="J1414" s="3" t="n"/>
    </row>
    <row customHeight="1" ht="15" r="1415" s="183" spans="1:15">
      <c r="A1415" s="37" t="n"/>
      <c r="B1415" s="2" t="n"/>
      <c r="C1415" s="2" t="n"/>
      <c r="D1415" s="2" t="n"/>
      <c r="E1415" s="2" t="n"/>
      <c r="F1415" s="2" t="n"/>
      <c r="G1415" s="2" t="n"/>
      <c r="H1415" s="2" t="n"/>
      <c r="I1415" s="2" t="n"/>
      <c r="J1415" s="3" t="n"/>
    </row>
    <row customHeight="1" ht="15" r="1416" s="183" spans="1:15">
      <c r="A1416" s="37" t="n"/>
      <c r="B1416" s="2" t="n"/>
      <c r="C1416" s="2" t="n"/>
      <c r="D1416" s="2" t="n"/>
      <c r="E1416" s="2" t="n"/>
      <c r="F1416" s="2" t="n"/>
      <c r="G1416" s="2" t="n"/>
      <c r="H1416" s="2" t="n"/>
      <c r="I1416" s="2" t="n"/>
      <c r="J1416" s="3" t="n"/>
    </row>
    <row customHeight="1" ht="15" r="1417" s="183" spans="1:15">
      <c r="A1417" s="37" t="n"/>
      <c r="B1417" s="2" t="n"/>
      <c r="C1417" s="2" t="n"/>
      <c r="D1417" s="2" t="n"/>
      <c r="E1417" s="2" t="n"/>
      <c r="F1417" s="2" t="n"/>
      <c r="G1417" s="2" t="n"/>
      <c r="H1417" s="2" t="n"/>
      <c r="I1417" s="2" t="n"/>
      <c r="J1417" s="3" t="n"/>
    </row>
    <row customHeight="1" ht="15" r="1418" s="183" spans="1:15">
      <c r="A1418" s="37" t="n"/>
      <c r="B1418" s="2" t="n"/>
      <c r="C1418" s="2" t="n"/>
      <c r="D1418" s="2" t="n"/>
      <c r="E1418" s="2" t="n"/>
      <c r="F1418" s="2" t="n"/>
      <c r="G1418" s="2" t="n"/>
      <c r="H1418" s="2" t="n"/>
      <c r="I1418" s="2" t="n"/>
      <c r="J1418" s="3" t="n"/>
    </row>
    <row customHeight="1" ht="15" r="1419" s="183" spans="1:15">
      <c r="A1419" s="37" t="n"/>
      <c r="B1419" s="2" t="n"/>
      <c r="C1419" s="2" t="n"/>
      <c r="D1419" s="2" t="n"/>
      <c r="E1419" s="2" t="n"/>
      <c r="F1419" s="2" t="n"/>
      <c r="G1419" s="2" t="n"/>
      <c r="H1419" s="2" t="n"/>
      <c r="I1419" s="2" t="n"/>
      <c r="J1419" s="3" t="n"/>
    </row>
    <row customHeight="1" ht="15" r="1420" s="183" spans="1:15">
      <c r="A1420" s="37" t="n"/>
      <c r="B1420" s="2" t="n"/>
      <c r="C1420" s="2" t="n"/>
      <c r="D1420" s="2" t="n"/>
      <c r="E1420" s="2" t="n"/>
      <c r="F1420" s="2" t="n"/>
      <c r="G1420" s="2" t="n"/>
      <c r="H1420" s="2" t="n"/>
      <c r="I1420" s="2" t="n"/>
      <c r="J1420" s="3" t="n"/>
    </row>
    <row customHeight="1" ht="15" r="1421" s="183" spans="1:15">
      <c r="A1421" s="37" t="n"/>
      <c r="B1421" s="2" t="n"/>
      <c r="C1421" s="2" t="n"/>
      <c r="D1421" s="2" t="n"/>
      <c r="E1421" s="2" t="n"/>
      <c r="F1421" s="2" t="n"/>
      <c r="G1421" s="2" t="n"/>
      <c r="H1421" s="2" t="n"/>
      <c r="I1421" s="2" t="n"/>
      <c r="J1421" s="3" t="n"/>
    </row>
    <row customHeight="1" ht="15" r="1422" s="183" spans="1:15">
      <c r="A1422" s="37" t="n"/>
      <c r="B1422" s="2" t="n"/>
      <c r="C1422" s="2" t="n"/>
      <c r="D1422" s="2" t="n"/>
      <c r="E1422" s="2" t="n"/>
      <c r="F1422" s="2" t="n"/>
      <c r="G1422" s="2" t="n"/>
      <c r="H1422" s="2" t="n"/>
      <c r="I1422" s="2" t="n"/>
      <c r="J1422" s="3" t="n"/>
    </row>
    <row customHeight="1" ht="15" r="1423" s="183" spans="1:15">
      <c r="A1423" s="37" t="n"/>
      <c r="B1423" s="2" t="n"/>
      <c r="C1423" s="2" t="n"/>
      <c r="D1423" s="2" t="n"/>
      <c r="E1423" s="2" t="n"/>
      <c r="F1423" s="2" t="n"/>
      <c r="G1423" s="2" t="n"/>
      <c r="H1423" s="2" t="n"/>
      <c r="I1423" s="2" t="n"/>
      <c r="J1423" s="3" t="n"/>
    </row>
    <row customHeight="1" ht="15" r="1424" s="183" spans="1:15">
      <c r="A1424" s="37" t="n"/>
      <c r="B1424" s="2" t="n"/>
      <c r="C1424" s="2" t="n"/>
      <c r="D1424" s="2" t="n"/>
      <c r="E1424" s="2" t="n"/>
      <c r="F1424" s="2" t="n"/>
      <c r="G1424" s="2" t="n"/>
      <c r="H1424" s="2" t="n"/>
      <c r="I1424" s="2" t="n"/>
      <c r="J1424" s="3" t="n"/>
    </row>
    <row customHeight="1" ht="15" r="1425" s="183" spans="1:15">
      <c r="A1425" s="37" t="n"/>
      <c r="B1425" s="2" t="n"/>
      <c r="C1425" s="2" t="n"/>
      <c r="D1425" s="2" t="n"/>
      <c r="E1425" s="2" t="n"/>
      <c r="F1425" s="2" t="n"/>
      <c r="G1425" s="2" t="n"/>
      <c r="H1425" s="2" t="n"/>
      <c r="I1425" s="2" t="n"/>
      <c r="J1425" s="3" t="n"/>
    </row>
    <row customHeight="1" ht="15" r="1426" s="183" spans="1:15">
      <c r="A1426" s="37" t="n"/>
      <c r="B1426" s="2" t="n"/>
      <c r="C1426" s="2" t="n"/>
      <c r="D1426" s="2" t="n"/>
      <c r="E1426" s="2" t="n"/>
      <c r="F1426" s="2" t="n"/>
      <c r="G1426" s="2" t="n"/>
      <c r="H1426" s="2" t="n"/>
      <c r="I1426" s="2" t="n"/>
      <c r="J1426" s="3" t="n"/>
    </row>
    <row customHeight="1" ht="15" r="1427" s="183" spans="1:15">
      <c r="A1427" s="37" t="n"/>
      <c r="B1427" s="2" t="n"/>
      <c r="C1427" s="2" t="n"/>
      <c r="D1427" s="2" t="n"/>
      <c r="E1427" s="2" t="n"/>
      <c r="F1427" s="2" t="n"/>
      <c r="G1427" s="2" t="n"/>
      <c r="H1427" s="2" t="n"/>
      <c r="I1427" s="2" t="n"/>
      <c r="J1427" s="3" t="n"/>
    </row>
    <row customHeight="1" ht="15" r="1428" s="183" spans="1:15">
      <c r="A1428" s="37" t="n"/>
      <c r="B1428" s="2" t="n"/>
      <c r="C1428" s="2" t="n"/>
      <c r="D1428" s="2" t="n"/>
      <c r="E1428" s="2" t="n"/>
      <c r="F1428" s="2" t="n"/>
      <c r="G1428" s="2" t="n"/>
      <c r="H1428" s="2" t="n"/>
      <c r="I1428" s="2" t="n"/>
      <c r="J1428" s="3" t="n"/>
    </row>
    <row customHeight="1" ht="15" r="1429" s="183" spans="1:15">
      <c r="A1429" s="37" t="n"/>
      <c r="B1429" s="2" t="n"/>
      <c r="C1429" s="2" t="n"/>
      <c r="D1429" s="2" t="n"/>
      <c r="E1429" s="2" t="n"/>
      <c r="F1429" s="2" t="n"/>
      <c r="G1429" s="2" t="n"/>
      <c r="H1429" s="2" t="n"/>
      <c r="I1429" s="2" t="n"/>
      <c r="J1429" s="3" t="n"/>
    </row>
    <row customHeight="1" ht="15" r="1430" s="183" spans="1:15">
      <c r="A1430" s="37" t="n"/>
      <c r="B1430" s="2" t="n"/>
      <c r="C1430" s="2" t="n"/>
      <c r="D1430" s="2" t="n"/>
      <c r="E1430" s="2" t="n"/>
      <c r="F1430" s="2" t="n"/>
      <c r="G1430" s="2" t="n"/>
      <c r="H1430" s="2" t="n"/>
      <c r="I1430" s="2" t="n"/>
      <c r="J1430" s="3" t="n"/>
    </row>
    <row customHeight="1" ht="15" r="1431" s="183" spans="1:15">
      <c r="A1431" s="37" t="n"/>
      <c r="B1431" s="2" t="n"/>
      <c r="C1431" s="2" t="n"/>
      <c r="D1431" s="2" t="n"/>
      <c r="E1431" s="2" t="n"/>
      <c r="F1431" s="2" t="n"/>
      <c r="G1431" s="2" t="n"/>
      <c r="H1431" s="2" t="n"/>
      <c r="I1431" s="2" t="n"/>
      <c r="J1431" s="3" t="n"/>
    </row>
    <row customHeight="1" ht="15" r="1432" s="183" spans="1:15">
      <c r="A1432" s="37" t="n"/>
      <c r="B1432" s="2" t="n"/>
      <c r="C1432" s="2" t="n"/>
      <c r="D1432" s="2" t="n"/>
      <c r="E1432" s="2" t="n"/>
      <c r="F1432" s="2" t="n"/>
      <c r="G1432" s="2" t="n"/>
      <c r="H1432" s="2" t="n"/>
      <c r="I1432" s="2" t="n"/>
      <c r="J1432" s="3" t="n"/>
    </row>
    <row customHeight="1" ht="15" r="1433" s="183" spans="1:15">
      <c r="A1433" s="37" t="n"/>
      <c r="B1433" s="2" t="n"/>
      <c r="C1433" s="2" t="n"/>
      <c r="D1433" s="2" t="n"/>
      <c r="E1433" s="2" t="n"/>
      <c r="F1433" s="2" t="n"/>
      <c r="G1433" s="2" t="n"/>
      <c r="H1433" s="2" t="n"/>
      <c r="I1433" s="2" t="n"/>
      <c r="J1433" s="3" t="n"/>
    </row>
    <row customHeight="1" ht="15" r="1434" s="183" spans="1:15">
      <c r="A1434" s="37" t="n"/>
      <c r="B1434" s="2" t="n"/>
      <c r="C1434" s="2" t="n"/>
      <c r="D1434" s="2" t="n"/>
      <c r="E1434" s="2" t="n"/>
      <c r="F1434" s="2" t="n"/>
      <c r="G1434" s="2" t="n"/>
      <c r="H1434" s="2" t="n"/>
      <c r="I1434" s="2" t="n"/>
      <c r="J1434" s="3" t="n"/>
    </row>
    <row customHeight="1" ht="15" r="1435" s="183" spans="1:15">
      <c r="A1435" s="37" t="n"/>
      <c r="B1435" s="2" t="n"/>
      <c r="C1435" s="2" t="n"/>
      <c r="D1435" s="2" t="n"/>
      <c r="E1435" s="2" t="n"/>
      <c r="F1435" s="2" t="n"/>
      <c r="G1435" s="2" t="n"/>
      <c r="H1435" s="2" t="n"/>
      <c r="I1435" s="2" t="n"/>
      <c r="J1435" s="3" t="n"/>
    </row>
    <row customHeight="1" ht="15" r="1436" s="183" spans="1:15">
      <c r="A1436" s="37" t="n"/>
      <c r="B1436" s="2" t="n"/>
      <c r="C1436" s="2" t="n"/>
      <c r="D1436" s="2" t="n"/>
      <c r="E1436" s="2" t="n"/>
      <c r="F1436" s="2" t="n"/>
      <c r="G1436" s="2" t="n"/>
      <c r="H1436" s="2" t="n"/>
      <c r="I1436" s="2" t="n"/>
      <c r="J1436" s="3" t="n"/>
    </row>
    <row customHeight="1" ht="15" r="1437" s="183" spans="1:15">
      <c r="A1437" s="37" t="n"/>
      <c r="B1437" s="2" t="n"/>
      <c r="C1437" s="2" t="n"/>
      <c r="D1437" s="2" t="n"/>
      <c r="E1437" s="2" t="n"/>
      <c r="F1437" s="2" t="n"/>
      <c r="G1437" s="2" t="n"/>
      <c r="H1437" s="2" t="n"/>
      <c r="I1437" s="2" t="n"/>
      <c r="J1437" s="3" t="n"/>
    </row>
    <row customHeight="1" ht="15" r="1438" s="183" spans="1:15">
      <c r="A1438" s="37" t="n"/>
      <c r="B1438" s="2" t="n"/>
      <c r="C1438" s="2" t="n"/>
      <c r="D1438" s="2" t="n"/>
      <c r="E1438" s="2" t="n"/>
      <c r="F1438" s="2" t="n"/>
      <c r="G1438" s="2" t="n"/>
      <c r="H1438" s="2" t="n"/>
      <c r="I1438" s="2" t="n"/>
      <c r="J1438" s="3" t="n"/>
    </row>
    <row customHeight="1" ht="15" r="1439" s="183" spans="1:15">
      <c r="A1439" s="37" t="n"/>
      <c r="B1439" s="2" t="n"/>
      <c r="C1439" s="2" t="n"/>
      <c r="D1439" s="2" t="n"/>
      <c r="E1439" s="2" t="n"/>
      <c r="F1439" s="2" t="n"/>
      <c r="G1439" s="2" t="n"/>
      <c r="H1439" s="2" t="n"/>
      <c r="I1439" s="2" t="n"/>
      <c r="J1439" s="3" t="n"/>
    </row>
    <row customHeight="1" ht="15" r="1440" s="183" spans="1:15">
      <c r="A1440" s="37" t="n"/>
      <c r="B1440" s="2" t="n"/>
      <c r="C1440" s="2" t="n"/>
      <c r="D1440" s="2" t="n"/>
      <c r="E1440" s="2" t="n"/>
      <c r="F1440" s="2" t="n"/>
      <c r="G1440" s="2" t="n"/>
      <c r="H1440" s="2" t="n"/>
      <c r="I1440" s="2" t="n"/>
      <c r="J1440" s="3" t="n"/>
    </row>
    <row customHeight="1" ht="15" r="1441" s="183" spans="1:15">
      <c r="A1441" s="37" t="n"/>
      <c r="B1441" s="2" t="n"/>
      <c r="C1441" s="2" t="n"/>
      <c r="D1441" s="2" t="n"/>
      <c r="E1441" s="2" t="n"/>
      <c r="F1441" s="2" t="n"/>
      <c r="G1441" s="2" t="n"/>
      <c r="H1441" s="2" t="n"/>
      <c r="I1441" s="2" t="n"/>
      <c r="J1441" s="3" t="n"/>
    </row>
    <row customHeight="1" ht="15" r="1442" s="183" spans="1:15">
      <c r="A1442" s="37" t="n"/>
      <c r="B1442" s="2" t="n"/>
      <c r="C1442" s="2" t="n"/>
      <c r="D1442" s="2" t="n"/>
      <c r="E1442" s="2" t="n"/>
      <c r="F1442" s="2" t="n"/>
      <c r="G1442" s="2" t="n"/>
      <c r="H1442" s="2" t="n"/>
      <c r="I1442" s="2" t="n"/>
      <c r="J1442" s="3" t="n"/>
    </row>
    <row customHeight="1" ht="15" r="1443" s="183" spans="1:15">
      <c r="A1443" s="37" t="n"/>
      <c r="B1443" s="2" t="n"/>
      <c r="C1443" s="2" t="n"/>
      <c r="D1443" s="2" t="n"/>
      <c r="E1443" s="2" t="n"/>
      <c r="F1443" s="2" t="n"/>
      <c r="G1443" s="2" t="n"/>
      <c r="H1443" s="2" t="n"/>
      <c r="I1443" s="2" t="n"/>
      <c r="J1443" s="3" t="n"/>
    </row>
    <row customHeight="1" ht="15" r="1444" s="183" spans="1:15">
      <c r="A1444" s="37" t="n"/>
      <c r="B1444" s="2" t="n"/>
      <c r="C1444" s="2" t="n"/>
      <c r="D1444" s="2" t="n"/>
      <c r="E1444" s="2" t="n"/>
      <c r="F1444" s="2" t="n"/>
      <c r="G1444" s="2" t="n"/>
      <c r="H1444" s="2" t="n"/>
      <c r="I1444" s="2" t="n"/>
      <c r="J1444" s="3" t="n"/>
    </row>
    <row customHeight="1" ht="15" r="1445" s="183" spans="1:15">
      <c r="A1445" s="37" t="n"/>
      <c r="B1445" s="2" t="n"/>
      <c r="C1445" s="2" t="n"/>
      <c r="D1445" s="2" t="n"/>
      <c r="E1445" s="2" t="n"/>
      <c r="F1445" s="2" t="n"/>
      <c r="G1445" s="2" t="n"/>
      <c r="H1445" s="2" t="n"/>
      <c r="I1445" s="2" t="n"/>
      <c r="J1445" s="3" t="n"/>
    </row>
    <row customHeight="1" ht="15" r="1446" s="183" spans="1:15">
      <c r="A1446" s="37" t="n"/>
      <c r="B1446" s="2" t="n"/>
      <c r="C1446" s="2" t="n"/>
      <c r="D1446" s="2" t="n"/>
      <c r="E1446" s="2" t="n"/>
      <c r="F1446" s="2" t="n"/>
      <c r="G1446" s="2" t="n"/>
      <c r="H1446" s="2" t="n"/>
      <c r="I1446" s="2" t="n"/>
      <c r="J1446" s="3" t="n"/>
    </row>
    <row customHeight="1" ht="15" r="1447" s="183" spans="1:15">
      <c r="A1447" s="37" t="n"/>
      <c r="B1447" s="2" t="n"/>
      <c r="C1447" s="2" t="n"/>
      <c r="D1447" s="2" t="n"/>
      <c r="E1447" s="2" t="n"/>
      <c r="F1447" s="2" t="n"/>
      <c r="G1447" s="2" t="n"/>
      <c r="H1447" s="2" t="n"/>
      <c r="I1447" s="2" t="n"/>
      <c r="J1447" s="3" t="n"/>
    </row>
    <row customHeight="1" ht="15" r="1448" s="183" spans="1:15">
      <c r="A1448" s="37" t="n"/>
      <c r="B1448" s="2" t="n"/>
      <c r="C1448" s="2" t="n"/>
      <c r="D1448" s="2" t="n"/>
      <c r="E1448" s="2" t="n"/>
      <c r="F1448" s="2" t="n"/>
      <c r="G1448" s="2" t="n"/>
      <c r="H1448" s="2" t="n"/>
      <c r="I1448" s="2" t="n"/>
      <c r="J1448" s="3" t="n"/>
    </row>
    <row customHeight="1" ht="15" r="1449" s="183" spans="1:15">
      <c r="A1449" s="37" t="n"/>
      <c r="B1449" s="2" t="n"/>
      <c r="C1449" s="2" t="n"/>
      <c r="D1449" s="2" t="n"/>
      <c r="E1449" s="2" t="n"/>
      <c r="F1449" s="2" t="n"/>
      <c r="G1449" s="2" t="n"/>
      <c r="H1449" s="2" t="n"/>
      <c r="I1449" s="2" t="n"/>
      <c r="J1449" s="3" t="n"/>
    </row>
    <row customHeight="1" ht="15" r="1450" s="183" spans="1:15">
      <c r="A1450" s="37" t="n"/>
      <c r="B1450" s="2" t="n"/>
      <c r="C1450" s="2" t="n"/>
      <c r="D1450" s="2" t="n"/>
      <c r="E1450" s="2" t="n"/>
      <c r="F1450" s="2" t="n"/>
      <c r="G1450" s="2" t="n"/>
      <c r="H1450" s="2" t="n"/>
      <c r="I1450" s="2" t="n"/>
      <c r="J1450" s="3" t="n"/>
    </row>
    <row customHeight="1" ht="15" r="1451" s="183" spans="1:15">
      <c r="A1451" s="37" t="n"/>
      <c r="B1451" s="2" t="n"/>
      <c r="C1451" s="2" t="n"/>
      <c r="D1451" s="2" t="n"/>
      <c r="E1451" s="2" t="n"/>
      <c r="F1451" s="2" t="n"/>
      <c r="G1451" s="2" t="n"/>
      <c r="H1451" s="2" t="n"/>
      <c r="I1451" s="2" t="n"/>
      <c r="J1451" s="3" t="n"/>
    </row>
    <row customHeight="1" ht="15" r="1452" s="183" spans="1:15">
      <c r="A1452" s="37" t="n"/>
      <c r="B1452" s="2" t="n"/>
      <c r="C1452" s="2" t="n"/>
      <c r="D1452" s="2" t="n"/>
      <c r="E1452" s="2" t="n"/>
      <c r="F1452" s="2" t="n"/>
      <c r="G1452" s="2" t="n"/>
      <c r="H1452" s="2" t="n"/>
      <c r="I1452" s="2" t="n"/>
      <c r="J1452" s="3" t="n"/>
    </row>
    <row customHeight="1" ht="15" r="1453" s="183" spans="1:15">
      <c r="A1453" s="37" t="n"/>
      <c r="B1453" s="2" t="n"/>
      <c r="C1453" s="2" t="n"/>
      <c r="D1453" s="2" t="n"/>
      <c r="E1453" s="2" t="n"/>
      <c r="F1453" s="2" t="n"/>
      <c r="G1453" s="2" t="n"/>
      <c r="H1453" s="2" t="n"/>
      <c r="I1453" s="2" t="n"/>
      <c r="J1453" s="3" t="n"/>
    </row>
    <row customHeight="1" ht="15" r="1454" s="183" spans="1:15">
      <c r="A1454" s="37" t="n"/>
      <c r="B1454" s="2" t="n"/>
      <c r="C1454" s="2" t="n"/>
      <c r="D1454" s="2" t="n"/>
      <c r="E1454" s="2" t="n"/>
      <c r="F1454" s="2" t="n"/>
      <c r="G1454" s="2" t="n"/>
      <c r="H1454" s="2" t="n"/>
      <c r="I1454" s="2" t="n"/>
      <c r="J1454" s="3" t="n"/>
    </row>
    <row customHeight="1" ht="15" r="1455" s="183" spans="1:15">
      <c r="A1455" s="37" t="n"/>
      <c r="B1455" s="2" t="n"/>
      <c r="C1455" s="2" t="n"/>
      <c r="D1455" s="2" t="n"/>
      <c r="E1455" s="2" t="n"/>
      <c r="F1455" s="2" t="n"/>
      <c r="G1455" s="2" t="n"/>
      <c r="H1455" s="2" t="n"/>
      <c r="I1455" s="2" t="n"/>
      <c r="J1455" s="3" t="n"/>
    </row>
    <row customHeight="1" ht="15" r="1456" s="183" spans="1:15">
      <c r="A1456" s="37" t="n"/>
      <c r="B1456" s="2" t="n"/>
      <c r="C1456" s="2" t="n"/>
      <c r="D1456" s="2" t="n"/>
      <c r="E1456" s="2" t="n"/>
      <c r="F1456" s="2" t="n"/>
      <c r="G1456" s="2" t="n"/>
      <c r="H1456" s="2" t="n"/>
      <c r="I1456" s="2" t="n"/>
      <c r="J1456" s="3" t="n"/>
    </row>
    <row customHeight="1" ht="15" r="1457" s="183" spans="1:15">
      <c r="A1457" s="37" t="n"/>
      <c r="B1457" s="2" t="n"/>
      <c r="C1457" s="2" t="n"/>
      <c r="D1457" s="2" t="n"/>
      <c r="E1457" s="2" t="n"/>
      <c r="F1457" s="2" t="n"/>
      <c r="G1457" s="2" t="n"/>
      <c r="H1457" s="2" t="n"/>
      <c r="I1457" s="2" t="n"/>
      <c r="J1457" s="3" t="n"/>
    </row>
    <row customHeight="1" ht="15" r="1458" s="183" spans="1:15">
      <c r="A1458" s="37" t="n"/>
      <c r="B1458" s="2" t="n"/>
      <c r="C1458" s="2" t="n"/>
      <c r="D1458" s="2" t="n"/>
      <c r="E1458" s="2" t="n"/>
      <c r="F1458" s="2" t="n"/>
      <c r="G1458" s="2" t="n"/>
      <c r="H1458" s="2" t="n"/>
      <c r="I1458" s="2" t="n"/>
      <c r="J1458" s="3" t="n"/>
    </row>
    <row customHeight="1" ht="15" r="1459" s="183" spans="1:15">
      <c r="A1459" s="37" t="n"/>
      <c r="B1459" s="2" t="n"/>
      <c r="C1459" s="2" t="n"/>
      <c r="D1459" s="2" t="n"/>
      <c r="E1459" s="2" t="n"/>
      <c r="F1459" s="2" t="n"/>
      <c r="G1459" s="2" t="n"/>
      <c r="H1459" s="2" t="n"/>
      <c r="I1459" s="2" t="n"/>
      <c r="J1459" s="3" t="n"/>
    </row>
    <row customHeight="1" ht="15" r="1460" s="183" spans="1:15">
      <c r="A1460" s="37" t="n"/>
      <c r="B1460" s="2" t="n"/>
      <c r="C1460" s="2" t="n"/>
      <c r="D1460" s="2" t="n"/>
      <c r="E1460" s="2" t="n"/>
      <c r="F1460" s="2" t="n"/>
      <c r="G1460" s="2" t="n"/>
      <c r="H1460" s="2" t="n"/>
      <c r="I1460" s="2" t="n"/>
      <c r="J1460" s="3" t="n"/>
    </row>
    <row customHeight="1" ht="15" r="1461" s="183" spans="1:15">
      <c r="A1461" s="37" t="n"/>
      <c r="B1461" s="2" t="n"/>
      <c r="C1461" s="2" t="n"/>
      <c r="D1461" s="2" t="n"/>
      <c r="E1461" s="2" t="n"/>
      <c r="F1461" s="2" t="n"/>
      <c r="G1461" s="2" t="n"/>
      <c r="H1461" s="2" t="n"/>
      <c r="I1461" s="2" t="n"/>
      <c r="J1461" s="3" t="n"/>
    </row>
    <row customHeight="1" ht="15" r="1462" s="183" spans="1:15">
      <c r="A1462" s="37" t="n"/>
      <c r="B1462" s="2" t="n"/>
      <c r="C1462" s="2" t="n"/>
      <c r="D1462" s="2" t="n"/>
      <c r="E1462" s="2" t="n"/>
      <c r="F1462" s="2" t="n"/>
      <c r="G1462" s="2" t="n"/>
      <c r="H1462" s="2" t="n"/>
      <c r="I1462" s="2" t="n"/>
      <c r="J1462" s="3" t="n"/>
    </row>
    <row customHeight="1" ht="15" r="1463" s="183" spans="1:15">
      <c r="A1463" s="37" t="n"/>
      <c r="B1463" s="2" t="n"/>
      <c r="C1463" s="2" t="n"/>
      <c r="D1463" s="2" t="n"/>
      <c r="E1463" s="2" t="n"/>
      <c r="F1463" s="2" t="n"/>
      <c r="G1463" s="2" t="n"/>
      <c r="H1463" s="2" t="n"/>
      <c r="I1463" s="2" t="n"/>
      <c r="J1463" s="3" t="n"/>
    </row>
    <row customHeight="1" ht="15" r="1464" s="183" spans="1:15">
      <c r="A1464" s="37" t="n"/>
      <c r="B1464" s="2" t="n"/>
      <c r="C1464" s="2" t="n"/>
      <c r="D1464" s="2" t="n"/>
      <c r="E1464" s="2" t="n"/>
      <c r="F1464" s="2" t="n"/>
      <c r="G1464" s="2" t="n"/>
      <c r="H1464" s="2" t="n"/>
      <c r="I1464" s="2" t="n"/>
      <c r="J1464" s="3" t="n"/>
    </row>
    <row customHeight="1" ht="15" r="1465" s="183" spans="1:15">
      <c r="A1465" s="37" t="n"/>
      <c r="B1465" s="2" t="n"/>
      <c r="C1465" s="2" t="n"/>
      <c r="D1465" s="2" t="n"/>
      <c r="E1465" s="2" t="n"/>
      <c r="F1465" s="2" t="n"/>
      <c r="G1465" s="2" t="n"/>
      <c r="H1465" s="2" t="n"/>
      <c r="I1465" s="2" t="n"/>
      <c r="J1465" s="3" t="n"/>
    </row>
    <row customHeight="1" ht="15" r="1466" s="183" spans="1:15">
      <c r="A1466" s="37" t="n"/>
      <c r="B1466" s="2" t="n"/>
      <c r="C1466" s="2" t="n"/>
      <c r="D1466" s="2" t="n"/>
      <c r="E1466" s="2" t="n"/>
      <c r="F1466" s="2" t="n"/>
      <c r="G1466" s="2" t="n"/>
      <c r="H1466" s="2" t="n"/>
      <c r="I1466" s="2" t="n"/>
      <c r="J1466" s="3" t="n"/>
    </row>
    <row customHeight="1" ht="15" r="1467" s="183" spans="1:15">
      <c r="A1467" s="37" t="n"/>
      <c r="B1467" s="2" t="n"/>
      <c r="C1467" s="2" t="n"/>
      <c r="D1467" s="2" t="n"/>
      <c r="E1467" s="2" t="n"/>
      <c r="F1467" s="2" t="n"/>
      <c r="G1467" s="2" t="n"/>
      <c r="H1467" s="2" t="n"/>
      <c r="I1467" s="2" t="n"/>
      <c r="J1467" s="3" t="n"/>
    </row>
    <row customHeight="1" ht="15" r="1468" s="183" spans="1:15">
      <c r="A1468" s="37" t="n"/>
      <c r="B1468" s="2" t="n"/>
      <c r="C1468" s="2" t="n"/>
      <c r="D1468" s="2" t="n"/>
      <c r="E1468" s="2" t="n"/>
      <c r="F1468" s="2" t="n"/>
      <c r="G1468" s="2" t="n"/>
      <c r="H1468" s="2" t="n"/>
      <c r="I1468" s="2" t="n"/>
      <c r="J1468" s="3" t="n"/>
    </row>
    <row customHeight="1" ht="15" r="1469" s="183" spans="1:15">
      <c r="A1469" s="37" t="n"/>
      <c r="B1469" s="2" t="n"/>
      <c r="C1469" s="2" t="n"/>
      <c r="D1469" s="2" t="n"/>
      <c r="E1469" s="2" t="n"/>
      <c r="F1469" s="2" t="n"/>
      <c r="G1469" s="2" t="n"/>
      <c r="H1469" s="2" t="n"/>
      <c r="I1469" s="2" t="n"/>
      <c r="J1469" s="3" t="n"/>
    </row>
    <row customHeight="1" ht="15" r="1470" s="183" spans="1:15">
      <c r="A1470" s="37" t="n"/>
      <c r="B1470" s="2" t="n"/>
      <c r="C1470" s="2" t="n"/>
      <c r="D1470" s="2" t="n"/>
      <c r="E1470" s="2" t="n"/>
      <c r="F1470" s="2" t="n"/>
      <c r="G1470" s="2" t="n"/>
      <c r="H1470" s="2" t="n"/>
      <c r="I1470" s="2" t="n"/>
      <c r="J1470" s="3" t="n"/>
    </row>
    <row customHeight="1" ht="15" r="1471" s="183" spans="1:15">
      <c r="A1471" s="37" t="n"/>
      <c r="B1471" s="2" t="n"/>
      <c r="C1471" s="2" t="n"/>
      <c r="D1471" s="2" t="n"/>
      <c r="E1471" s="2" t="n"/>
      <c r="F1471" s="2" t="n"/>
      <c r="G1471" s="2" t="n"/>
      <c r="H1471" s="2" t="n"/>
      <c r="I1471" s="2" t="n"/>
      <c r="J1471" s="3" t="n"/>
    </row>
    <row customHeight="1" ht="15" r="1472" s="183" spans="1:15">
      <c r="A1472" s="37" t="n"/>
      <c r="B1472" s="2" t="n"/>
      <c r="C1472" s="2" t="n"/>
      <c r="D1472" s="2" t="n"/>
      <c r="E1472" s="2" t="n"/>
      <c r="F1472" s="2" t="n"/>
      <c r="G1472" s="2" t="n"/>
      <c r="H1472" s="2" t="n"/>
      <c r="I1472" s="2" t="n"/>
      <c r="J1472" s="3" t="n"/>
    </row>
    <row customHeight="1" ht="15" r="1473" s="183" spans="1:15">
      <c r="A1473" s="37" t="n"/>
      <c r="B1473" s="2" t="n"/>
      <c r="C1473" s="2" t="n"/>
      <c r="D1473" s="2" t="n"/>
      <c r="E1473" s="2" t="n"/>
      <c r="F1473" s="2" t="n"/>
      <c r="G1473" s="2" t="n"/>
      <c r="H1473" s="2" t="n"/>
      <c r="I1473" s="2" t="n"/>
      <c r="J1473" s="3" t="n"/>
    </row>
    <row customHeight="1" ht="15" r="1474" s="183" spans="1:15">
      <c r="A1474" s="37" t="n"/>
      <c r="B1474" s="2" t="n"/>
      <c r="C1474" s="2" t="n"/>
      <c r="D1474" s="2" t="n"/>
      <c r="E1474" s="2" t="n"/>
      <c r="F1474" s="2" t="n"/>
      <c r="G1474" s="2" t="n"/>
      <c r="H1474" s="2" t="n"/>
      <c r="I1474" s="2" t="n"/>
      <c r="J1474" s="3" t="n"/>
    </row>
    <row customHeight="1" ht="15" r="1475" s="183" spans="1:15">
      <c r="A1475" s="37" t="n"/>
      <c r="B1475" s="2" t="n"/>
      <c r="C1475" s="2" t="n"/>
      <c r="D1475" s="2" t="n"/>
      <c r="E1475" s="2" t="n"/>
      <c r="F1475" s="2" t="n"/>
      <c r="G1475" s="2" t="n"/>
      <c r="H1475" s="2" t="n"/>
      <c r="I1475" s="2" t="n"/>
      <c r="J1475" s="3" t="n"/>
    </row>
    <row customHeight="1" ht="15" r="1476" s="183" spans="1:15">
      <c r="A1476" s="37" t="n"/>
      <c r="B1476" s="2" t="n"/>
      <c r="C1476" s="2" t="n"/>
      <c r="D1476" s="2" t="n"/>
      <c r="E1476" s="2" t="n"/>
      <c r="F1476" s="2" t="n"/>
      <c r="G1476" s="2" t="n"/>
      <c r="H1476" s="2" t="n"/>
      <c r="I1476" s="2" t="n"/>
      <c r="J1476" s="3" t="n"/>
    </row>
    <row customHeight="1" ht="15" r="1477" s="183" spans="1:15">
      <c r="A1477" s="37" t="n"/>
      <c r="B1477" s="2" t="n"/>
      <c r="C1477" s="2" t="n"/>
      <c r="D1477" s="2" t="n"/>
      <c r="E1477" s="2" t="n"/>
      <c r="F1477" s="2" t="n"/>
      <c r="G1477" s="2" t="n"/>
      <c r="H1477" s="2" t="n"/>
      <c r="I1477" s="2" t="n"/>
      <c r="J1477" s="3" t="n"/>
    </row>
    <row customHeight="1" ht="15" r="1478" s="183" spans="1:15">
      <c r="A1478" s="37" t="n"/>
      <c r="B1478" s="2" t="n"/>
      <c r="C1478" s="2" t="n"/>
      <c r="D1478" s="2" t="n"/>
      <c r="E1478" s="2" t="n"/>
      <c r="F1478" s="2" t="n"/>
      <c r="G1478" s="2" t="n"/>
      <c r="H1478" s="2" t="n"/>
      <c r="I1478" s="2" t="n"/>
      <c r="J1478" s="3" t="n"/>
    </row>
    <row customHeight="1" ht="15" r="1479" s="183" spans="1:15">
      <c r="A1479" s="37" t="n"/>
      <c r="B1479" s="2" t="n"/>
      <c r="C1479" s="2" t="n"/>
      <c r="D1479" s="2" t="n"/>
      <c r="E1479" s="2" t="n"/>
      <c r="F1479" s="2" t="n"/>
      <c r="G1479" s="2" t="n"/>
      <c r="H1479" s="2" t="n"/>
      <c r="I1479" s="2" t="n"/>
      <c r="J1479" s="3" t="n"/>
    </row>
    <row customHeight="1" ht="15" r="1480" s="183" spans="1:15">
      <c r="A1480" s="37" t="n"/>
      <c r="B1480" s="2" t="n"/>
      <c r="C1480" s="2" t="n"/>
      <c r="D1480" s="2" t="n"/>
      <c r="E1480" s="2" t="n"/>
      <c r="F1480" s="2" t="n"/>
      <c r="G1480" s="2" t="n"/>
      <c r="H1480" s="2" t="n"/>
      <c r="I1480" s="2" t="n"/>
      <c r="J1480" s="3" t="n"/>
    </row>
    <row customHeight="1" ht="15" r="1481" s="183" spans="1:15">
      <c r="A1481" s="37" t="n"/>
      <c r="B1481" s="2" t="n"/>
      <c r="C1481" s="2" t="n"/>
      <c r="D1481" s="2" t="n"/>
      <c r="E1481" s="2" t="n"/>
      <c r="F1481" s="2" t="n"/>
      <c r="G1481" s="2" t="n"/>
      <c r="H1481" s="2" t="n"/>
      <c r="I1481" s="2" t="n"/>
      <c r="J1481" s="3" t="n"/>
    </row>
    <row customHeight="1" ht="15" r="1482" s="183" spans="1:15">
      <c r="A1482" s="37" t="n"/>
      <c r="B1482" s="2" t="n"/>
      <c r="C1482" s="2" t="n"/>
      <c r="D1482" s="2" t="n"/>
      <c r="E1482" s="2" t="n"/>
      <c r="F1482" s="2" t="n"/>
      <c r="G1482" s="2" t="n"/>
      <c r="H1482" s="2" t="n"/>
      <c r="I1482" s="2" t="n"/>
      <c r="J1482" s="3" t="n"/>
    </row>
    <row customHeight="1" ht="15" r="1483" s="183" spans="1:15">
      <c r="A1483" s="37" t="n"/>
      <c r="B1483" s="2" t="n"/>
      <c r="C1483" s="2" t="n"/>
      <c r="D1483" s="2" t="n"/>
      <c r="E1483" s="2" t="n"/>
      <c r="F1483" s="2" t="n"/>
      <c r="G1483" s="2" t="n"/>
      <c r="H1483" s="2" t="n"/>
      <c r="I1483" s="2" t="n"/>
      <c r="J1483" s="3" t="n"/>
    </row>
    <row customHeight="1" ht="15" r="1484" s="183" spans="1:15">
      <c r="A1484" s="37" t="n"/>
      <c r="B1484" s="2" t="n"/>
      <c r="C1484" s="2" t="n"/>
      <c r="D1484" s="2" t="n"/>
      <c r="E1484" s="2" t="n"/>
      <c r="F1484" s="2" t="n"/>
      <c r="G1484" s="2" t="n"/>
      <c r="H1484" s="2" t="n"/>
      <c r="I1484" s="2" t="n"/>
      <c r="J1484" s="3" t="n"/>
    </row>
    <row customHeight="1" ht="15" r="1485" s="183" spans="1:15">
      <c r="A1485" s="37" t="n"/>
      <c r="B1485" s="2" t="n"/>
      <c r="C1485" s="2" t="n"/>
      <c r="D1485" s="2" t="n"/>
      <c r="E1485" s="2" t="n"/>
      <c r="F1485" s="2" t="n"/>
      <c r="G1485" s="2" t="n"/>
      <c r="H1485" s="2" t="n"/>
      <c r="I1485" s="2" t="n"/>
      <c r="J1485" s="3" t="n"/>
    </row>
    <row customHeight="1" ht="15" r="1486" s="183" spans="1:15">
      <c r="A1486" s="37" t="n"/>
      <c r="B1486" s="2" t="n"/>
      <c r="C1486" s="2" t="n"/>
      <c r="D1486" s="2" t="n"/>
      <c r="E1486" s="2" t="n"/>
      <c r="F1486" s="2" t="n"/>
      <c r="G1486" s="2" t="n"/>
      <c r="H1486" s="2" t="n"/>
      <c r="I1486" s="2" t="n"/>
      <c r="J1486" s="3" t="n"/>
    </row>
    <row customHeight="1" ht="15" r="1487" s="183" spans="1:15">
      <c r="A1487" s="37" t="n"/>
      <c r="B1487" s="2" t="n"/>
      <c r="C1487" s="2" t="n"/>
      <c r="D1487" s="2" t="n"/>
      <c r="E1487" s="2" t="n"/>
      <c r="F1487" s="2" t="n"/>
      <c r="G1487" s="2" t="n"/>
      <c r="H1487" s="2" t="n"/>
      <c r="I1487" s="2" t="n"/>
      <c r="J1487" s="3" t="n"/>
    </row>
    <row customHeight="1" ht="15" r="1488" s="183" spans="1:15">
      <c r="A1488" s="37" t="n"/>
      <c r="B1488" s="2" t="n"/>
      <c r="C1488" s="2" t="n"/>
      <c r="D1488" s="2" t="n"/>
      <c r="E1488" s="2" t="n"/>
      <c r="F1488" s="2" t="n"/>
      <c r="G1488" s="2" t="n"/>
      <c r="H1488" s="2" t="n"/>
      <c r="I1488" s="2" t="n"/>
      <c r="J1488" s="3" t="n"/>
    </row>
    <row customHeight="1" ht="15" r="1489" s="183" spans="1:15">
      <c r="A1489" s="37" t="n"/>
      <c r="B1489" s="2" t="n"/>
      <c r="C1489" s="2" t="n"/>
      <c r="D1489" s="2" t="n"/>
      <c r="E1489" s="2" t="n"/>
      <c r="F1489" s="2" t="n"/>
      <c r="G1489" s="2" t="n"/>
      <c r="H1489" s="2" t="n"/>
      <c r="I1489" s="2" t="n"/>
      <c r="J1489" s="3" t="n"/>
    </row>
    <row customHeight="1" ht="15" r="1490" s="183" spans="1:15">
      <c r="A1490" s="37" t="n"/>
      <c r="B1490" s="2" t="n"/>
      <c r="C1490" s="2" t="n"/>
      <c r="D1490" s="2" t="n"/>
      <c r="E1490" s="2" t="n"/>
      <c r="F1490" s="2" t="n"/>
      <c r="G1490" s="2" t="n"/>
      <c r="H1490" s="2" t="n"/>
      <c r="I1490" s="2" t="n"/>
      <c r="J1490" s="3" t="n"/>
    </row>
    <row customHeight="1" ht="15" r="1491" s="183" spans="1:15">
      <c r="A1491" s="37" t="n"/>
      <c r="B1491" s="2" t="n"/>
      <c r="C1491" s="2" t="n"/>
      <c r="D1491" s="2" t="n"/>
      <c r="E1491" s="2" t="n"/>
      <c r="F1491" s="2" t="n"/>
      <c r="G1491" s="2" t="n"/>
      <c r="H1491" s="2" t="n"/>
      <c r="I1491" s="2" t="n"/>
      <c r="J1491" s="3" t="n"/>
    </row>
    <row customHeight="1" ht="15" r="1492" s="183" spans="1:15">
      <c r="A1492" s="37" t="n"/>
      <c r="B1492" s="2" t="n"/>
      <c r="C1492" s="2" t="n"/>
      <c r="D1492" s="2" t="n"/>
      <c r="E1492" s="2" t="n"/>
      <c r="F1492" s="2" t="n"/>
      <c r="G1492" s="2" t="n"/>
      <c r="H1492" s="2" t="n"/>
      <c r="I1492" s="2" t="n"/>
      <c r="J1492" s="3" t="n"/>
    </row>
    <row customHeight="1" ht="15" r="1493" s="183" spans="1:15">
      <c r="A1493" s="37" t="n"/>
      <c r="B1493" s="2" t="n"/>
      <c r="C1493" s="2" t="n"/>
      <c r="D1493" s="2" t="n"/>
      <c r="E1493" s="2" t="n"/>
      <c r="F1493" s="2" t="n"/>
      <c r="G1493" s="2" t="n"/>
      <c r="H1493" s="2" t="n"/>
      <c r="I1493" s="2" t="n"/>
      <c r="J1493" s="3" t="n"/>
    </row>
    <row customHeight="1" ht="15" r="1494" s="183" spans="1:15">
      <c r="A1494" s="37" t="n"/>
      <c r="B1494" s="2" t="n"/>
      <c r="C1494" s="2" t="n"/>
      <c r="D1494" s="2" t="n"/>
      <c r="E1494" s="2" t="n"/>
      <c r="F1494" s="2" t="n"/>
      <c r="G1494" s="2" t="n"/>
      <c r="H1494" s="2" t="n"/>
      <c r="I1494" s="2" t="n"/>
      <c r="J1494" s="3" t="n"/>
    </row>
    <row customHeight="1" ht="15" r="1495" s="183" spans="1:15">
      <c r="A1495" s="37" t="n"/>
      <c r="B1495" s="2" t="n"/>
      <c r="C1495" s="2" t="n"/>
      <c r="D1495" s="2" t="n"/>
      <c r="E1495" s="2" t="n"/>
      <c r="F1495" s="2" t="n"/>
      <c r="G1495" s="2" t="n"/>
      <c r="H1495" s="2" t="n"/>
      <c r="I1495" s="2" t="n"/>
      <c r="J1495" s="3" t="n"/>
    </row>
    <row customHeight="1" ht="15" r="1496" s="183" spans="1:15">
      <c r="A1496" s="37" t="n"/>
      <c r="B1496" s="2" t="n"/>
      <c r="C1496" s="2" t="n"/>
      <c r="D1496" s="2" t="n"/>
      <c r="E1496" s="2" t="n"/>
      <c r="F1496" s="2" t="n"/>
      <c r="G1496" s="2" t="n"/>
      <c r="H1496" s="2" t="n"/>
      <c r="I1496" s="2" t="n"/>
      <c r="J1496" s="3" t="n"/>
    </row>
    <row customHeight="1" ht="15" r="1497" s="183" spans="1:15">
      <c r="A1497" s="37" t="n"/>
      <c r="B1497" s="2" t="n"/>
      <c r="C1497" s="2" t="n"/>
      <c r="D1497" s="2" t="n"/>
      <c r="E1497" s="2" t="n"/>
      <c r="F1497" s="2" t="n"/>
      <c r="G1497" s="2" t="n"/>
      <c r="H1497" s="2" t="n"/>
      <c r="I1497" s="2" t="n"/>
      <c r="J1497" s="3" t="n"/>
    </row>
    <row customHeight="1" ht="15" r="1498" s="183" spans="1:15">
      <c r="A1498" s="37" t="n"/>
      <c r="B1498" s="2" t="n"/>
      <c r="C1498" s="2" t="n"/>
      <c r="D1498" s="2" t="n"/>
      <c r="E1498" s="2" t="n"/>
      <c r="F1498" s="2" t="n"/>
      <c r="G1498" s="2" t="n"/>
      <c r="H1498" s="2" t="n"/>
      <c r="I1498" s="2" t="n"/>
      <c r="J1498" s="3" t="n"/>
    </row>
    <row customHeight="1" ht="15" r="1499" s="183" spans="1:15">
      <c r="A1499" s="37" t="n"/>
      <c r="B1499" s="2" t="n"/>
      <c r="C1499" s="2" t="n"/>
      <c r="D1499" s="2" t="n"/>
      <c r="E1499" s="2" t="n"/>
      <c r="F1499" s="2" t="n"/>
      <c r="G1499" s="2" t="n"/>
      <c r="H1499" s="2" t="n"/>
      <c r="I1499" s="2" t="n"/>
      <c r="J1499" s="3" t="n"/>
    </row>
    <row customHeight="1" ht="15" r="1500" s="183" spans="1:15">
      <c r="A1500" s="37" t="n"/>
      <c r="B1500" s="2" t="n"/>
      <c r="C1500" s="2" t="n"/>
      <c r="D1500" s="2" t="n"/>
      <c r="E1500" s="2" t="n"/>
      <c r="F1500" s="2" t="n"/>
      <c r="G1500" s="2" t="n"/>
      <c r="H1500" s="2" t="n"/>
      <c r="I1500" s="2" t="n"/>
      <c r="J1500" s="3" t="n"/>
    </row>
    <row customHeight="1" ht="15" r="1501" s="183" spans="1:15">
      <c r="A1501" s="37" t="n"/>
      <c r="B1501" s="2" t="n"/>
      <c r="C1501" s="2" t="n"/>
      <c r="D1501" s="2" t="n"/>
      <c r="E1501" s="2" t="n"/>
      <c r="F1501" s="2" t="n"/>
      <c r="G1501" s="2" t="n"/>
      <c r="H1501" s="2" t="n"/>
      <c r="I1501" s="2" t="n"/>
      <c r="J1501" s="3" t="n"/>
    </row>
    <row customHeight="1" ht="15" r="1502" s="183" spans="1:15">
      <c r="A1502" s="37" t="n"/>
      <c r="B1502" s="2" t="n"/>
      <c r="C1502" s="2" t="n"/>
      <c r="D1502" s="2" t="n"/>
      <c r="E1502" s="2" t="n"/>
      <c r="F1502" s="2" t="n"/>
      <c r="G1502" s="2" t="n"/>
      <c r="H1502" s="2" t="n"/>
      <c r="I1502" s="2" t="n"/>
      <c r="J1502" s="3" t="n"/>
    </row>
    <row customHeight="1" ht="15" r="1503" s="183" spans="1:15">
      <c r="A1503" s="37" t="n"/>
      <c r="B1503" s="2" t="n"/>
      <c r="C1503" s="2" t="n"/>
      <c r="D1503" s="2" t="n"/>
      <c r="E1503" s="2" t="n"/>
      <c r="F1503" s="2" t="n"/>
      <c r="G1503" s="2" t="n"/>
      <c r="H1503" s="2" t="n"/>
      <c r="I1503" s="2" t="n"/>
      <c r="J1503" s="3" t="n"/>
    </row>
    <row customHeight="1" ht="15" r="1504" s="183" spans="1:15">
      <c r="A1504" s="37" t="n"/>
      <c r="B1504" s="2" t="n"/>
      <c r="C1504" s="2" t="n"/>
      <c r="D1504" s="2" t="n"/>
      <c r="E1504" s="2" t="n"/>
      <c r="F1504" s="2" t="n"/>
      <c r="G1504" s="2" t="n"/>
      <c r="H1504" s="2" t="n"/>
      <c r="I1504" s="2" t="n"/>
      <c r="J1504" s="3" t="n"/>
    </row>
    <row customHeight="1" ht="15" r="1505" s="183" spans="1:15">
      <c r="A1505" s="37" t="n"/>
      <c r="B1505" s="2" t="n"/>
      <c r="C1505" s="2" t="n"/>
      <c r="D1505" s="2" t="n"/>
      <c r="E1505" s="2" t="n"/>
      <c r="F1505" s="2" t="n"/>
      <c r="G1505" s="2" t="n"/>
      <c r="H1505" s="2" t="n"/>
      <c r="I1505" s="2" t="n"/>
      <c r="J1505" s="3" t="n"/>
    </row>
    <row customHeight="1" ht="15" r="1506" s="183" spans="1:15">
      <c r="A1506" s="37" t="n"/>
      <c r="B1506" s="2" t="n"/>
      <c r="C1506" s="2" t="n"/>
      <c r="D1506" s="2" t="n"/>
      <c r="E1506" s="2" t="n"/>
      <c r="F1506" s="2" t="n"/>
      <c r="G1506" s="2" t="n"/>
      <c r="H1506" s="2" t="n"/>
      <c r="I1506" s="2" t="n"/>
      <c r="J1506" s="3" t="n"/>
    </row>
    <row customHeight="1" ht="15" r="1507" s="183" spans="1:15">
      <c r="A1507" s="37" t="n"/>
      <c r="B1507" s="2" t="n"/>
      <c r="C1507" s="2" t="n"/>
      <c r="D1507" s="2" t="n"/>
      <c r="E1507" s="2" t="n"/>
      <c r="F1507" s="2" t="n"/>
      <c r="G1507" s="2" t="n"/>
      <c r="H1507" s="2" t="n"/>
      <c r="I1507" s="2" t="n"/>
      <c r="J1507" s="3" t="n"/>
    </row>
    <row customHeight="1" ht="15" r="1508" s="183" spans="1:15">
      <c r="A1508" s="37" t="n"/>
      <c r="B1508" s="2" t="n"/>
      <c r="C1508" s="2" t="n"/>
      <c r="D1508" s="2" t="n"/>
      <c r="E1508" s="2" t="n"/>
      <c r="F1508" s="2" t="n"/>
      <c r="G1508" s="2" t="n"/>
      <c r="H1508" s="2" t="n"/>
      <c r="I1508" s="2" t="n"/>
      <c r="J1508" s="3" t="n"/>
    </row>
    <row customHeight="1" ht="15" r="1509" s="183" spans="1:15">
      <c r="A1509" s="37" t="n"/>
      <c r="B1509" s="2" t="n"/>
      <c r="C1509" s="2" t="n"/>
      <c r="D1509" s="2" t="n"/>
      <c r="E1509" s="2" t="n"/>
      <c r="F1509" s="2" t="n"/>
      <c r="G1509" s="2" t="n"/>
      <c r="H1509" s="2" t="n"/>
      <c r="I1509" s="2" t="n"/>
      <c r="J1509" s="3" t="n"/>
    </row>
    <row customHeight="1" ht="15" r="1510" s="183" spans="1:15">
      <c r="A1510" s="37" t="n"/>
      <c r="B1510" s="2" t="n"/>
      <c r="C1510" s="2" t="n"/>
      <c r="D1510" s="2" t="n"/>
      <c r="E1510" s="2" t="n"/>
      <c r="F1510" s="2" t="n"/>
      <c r="G1510" s="2" t="n"/>
      <c r="H1510" s="2" t="n"/>
      <c r="I1510" s="2" t="n"/>
      <c r="J1510" s="3" t="n"/>
    </row>
    <row customHeight="1" ht="15" r="1511" s="183" spans="1:15">
      <c r="A1511" s="37" t="n"/>
      <c r="B1511" s="2" t="n"/>
      <c r="C1511" s="2" t="n"/>
      <c r="D1511" s="2" t="n"/>
      <c r="E1511" s="2" t="n"/>
      <c r="F1511" s="2" t="n"/>
      <c r="G1511" s="2" t="n"/>
      <c r="H1511" s="2" t="n"/>
      <c r="I1511" s="2" t="n"/>
      <c r="J1511" s="3" t="n"/>
    </row>
    <row customHeight="1" ht="15" r="1512" s="183" spans="1:15">
      <c r="A1512" s="37" t="n"/>
      <c r="B1512" s="2" t="n"/>
      <c r="C1512" s="2" t="n"/>
      <c r="D1512" s="2" t="n"/>
      <c r="E1512" s="2" t="n"/>
      <c r="F1512" s="2" t="n"/>
      <c r="G1512" s="2" t="n"/>
      <c r="H1512" s="2" t="n"/>
      <c r="I1512" s="2" t="n"/>
      <c r="J1512" s="3" t="n"/>
    </row>
    <row customHeight="1" ht="15" r="1513" s="183" spans="1:15">
      <c r="A1513" s="37" t="n"/>
      <c r="B1513" s="2" t="n"/>
      <c r="C1513" s="2" t="n"/>
      <c r="D1513" s="2" t="n"/>
      <c r="E1513" s="2" t="n"/>
      <c r="F1513" s="2" t="n"/>
      <c r="G1513" s="2" t="n"/>
      <c r="H1513" s="2" t="n"/>
      <c r="I1513" s="2" t="n"/>
      <c r="J1513" s="3" t="n"/>
    </row>
    <row customHeight="1" ht="15" r="1514" s="183" spans="1:15">
      <c r="A1514" s="37" t="n"/>
      <c r="B1514" s="2" t="n"/>
      <c r="C1514" s="2" t="n"/>
      <c r="D1514" s="2" t="n"/>
      <c r="E1514" s="2" t="n"/>
      <c r="F1514" s="2" t="n"/>
      <c r="G1514" s="2" t="n"/>
      <c r="H1514" s="2" t="n"/>
      <c r="I1514" s="2" t="n"/>
      <c r="J1514" s="3" t="n"/>
    </row>
  </sheetData>
  <autoFilter ref="A1:K1371"/>
  <pageMargins bottom="1" footer="0.5" header="0.5" left="0.75" right="0.75" top="1"/>
  <pageSetup horizontalDpi="4294967292" orientation="portrait" verticalDpi="4294967292"/>
</worksheet>
</file>

<file path=xl/worksheets/sheet3.xml><?xml version="1.0" encoding="utf-8"?>
<worksheet xmlns="http://schemas.openxmlformats.org/spreadsheetml/2006/main">
  <sheetPr codeName="Hoja4">
    <outlinePr summaryBelow="1" summaryRight="1"/>
    <pageSetUpPr/>
  </sheetPr>
  <dimension ref="A1:BL246"/>
  <sheetViews>
    <sheetView showGridLines="0" workbookViewId="0" zoomScaleNormal="100">
      <pane activePane="bottomRight" state="frozen" topLeftCell="L88" xSplit="11" ySplit="9"/>
      <selection activeCell="L1" pane="topRight" sqref="L1"/>
      <selection activeCell="A10" pane="bottomLeft" sqref="A10"/>
      <selection activeCell="P15" pane="bottomRight" sqref="P15"/>
    </sheetView>
  </sheetViews>
  <sheetFormatPr baseColWidth="10" defaultRowHeight="15" outlineLevelCol="0"/>
  <cols>
    <col customWidth="1" max="1" min="1" style="183" width="10.28515625"/>
    <col customWidth="1" max="2" min="2" style="183" width="11"/>
    <col customWidth="1" max="3" min="3" style="183" width="2.28515625"/>
    <col customWidth="1" max="4" min="4" style="183" width="14.140625"/>
    <col bestFit="1" customWidth="1" max="5" min="5" style="183" width="19"/>
    <col customWidth="1" max="6" min="6" style="183" width="15.42578125"/>
    <col customWidth="1" max="7" min="7" style="183" width="6.140625"/>
    <col customWidth="1" max="8" min="8" style="183" width="12.7109375"/>
    <col bestFit="1" customWidth="1" max="9" min="9" style="183" width="12.7109375"/>
    <col customWidth="1" max="10" min="10" style="183" width="13.7109375"/>
    <col customWidth="1" max="11" min="11" style="183" width="12.7109375"/>
    <col customWidth="1" max="12" min="12" style="183" width="10.5703125"/>
    <col customWidth="1" max="13" min="13" style="183" width="10.7109375"/>
    <col bestFit="1" customWidth="1" max="14" min="14" style="183" width="10.140625"/>
    <col bestFit="1" customWidth="1" max="15" min="15" style="183" width="10.28515625"/>
    <col customWidth="1" max="16" min="16" style="183" width="12"/>
    <col bestFit="1" customWidth="1" max="18" min="17" style="183" width="10.140625"/>
    <col bestFit="1" customWidth="1" max="19" min="19" style="183" width="10.28515625"/>
    <col customWidth="1" max="20" min="20" style="183" width="11.140625"/>
    <col bestFit="1" customWidth="1" max="22" min="21" style="183" width="10.140625"/>
    <col bestFit="1" customWidth="1" max="23" min="23" style="183" width="10.28515625"/>
    <col customWidth="1" max="59" min="24" style="183" width="11.42578125"/>
    <col bestFit="1" customWidth="1" max="61" min="61" style="183" width="10.28515625"/>
    <col bestFit="1" customWidth="1" max="62" min="62" style="183" width="12.28515625"/>
    <col bestFit="1" customWidth="1" max="63" min="63" style="183" width="4.28515625"/>
    <col bestFit="1" customWidth="1" max="64" min="64" style="183" width="3.42578125"/>
  </cols>
  <sheetData>
    <row r="1" spans="1:64">
      <c r="A1" s="13" t="s">
        <v>170</v>
      </c>
      <c r="B1" s="13" t="n">
        <v>999999</v>
      </c>
      <c r="C1" s="88" t="s">
        <v>171</v>
      </c>
      <c r="X1" s="125" t="n"/>
      <c r="Y1" s="125" t="n"/>
      <c r="Z1" s="125" t="n"/>
      <c r="AA1" s="125" t="n"/>
      <c r="AB1" s="125" t="n"/>
      <c r="AC1" s="125" t="n"/>
      <c r="AD1" s="125" t="n"/>
      <c r="AE1" s="125" t="n"/>
      <c r="AF1" s="125" t="n"/>
      <c r="AG1" s="125" t="n"/>
      <c r="AH1" s="125" t="n"/>
      <c r="AI1" s="125" t="n"/>
      <c r="AJ1" s="125" t="n"/>
      <c r="AK1" s="125" t="n"/>
      <c r="AL1" s="125" t="n"/>
      <c r="AM1" s="125" t="n"/>
      <c r="AN1" s="125" t="n"/>
      <c r="AO1" s="125" t="n"/>
      <c r="AP1" s="125" t="n"/>
      <c r="AQ1" s="125" t="n"/>
      <c r="AR1" s="125" t="n"/>
      <c r="AS1" s="125" t="n"/>
      <c r="AT1" s="125" t="n"/>
      <c r="AU1" s="125" t="n"/>
      <c r="AV1" s="125" t="n"/>
      <c r="AW1" s="125" t="n"/>
      <c r="AX1" s="125" t="n"/>
      <c r="AY1" s="125" t="n"/>
      <c r="AZ1" s="125" t="n"/>
      <c r="BA1" s="125" t="n"/>
      <c r="BB1" s="125" t="n"/>
      <c r="BC1" s="125" t="n"/>
      <c r="BD1" s="125" t="n"/>
      <c r="BE1" s="125" t="n"/>
      <c r="BF1" s="125" t="n"/>
      <c r="BG1" s="125" t="n"/>
    </row>
    <row r="2" spans="1:64">
      <c r="A2" s="13" t="s">
        <v>172</v>
      </c>
      <c r="B2" s="115" t="n">
        <v>0.1</v>
      </c>
      <c r="C2" s="88" t="n"/>
      <c r="D2" s="88" t="n"/>
      <c r="E2" s="79" t="n"/>
      <c r="F2" s="79" t="n"/>
      <c r="G2" s="79" t="n"/>
      <c r="X2" s="125" t="n"/>
      <c r="Y2" s="125" t="n"/>
      <c r="Z2" s="125" t="n"/>
      <c r="AA2" s="125" t="n"/>
      <c r="AB2" s="125" t="n"/>
      <c r="AC2" s="125" t="n"/>
      <c r="AD2" s="125" t="n"/>
      <c r="AE2" s="125" t="n"/>
      <c r="AF2" s="125" t="n"/>
      <c r="AG2" s="125" t="n"/>
      <c r="AH2" s="125" t="n"/>
      <c r="AI2" s="125" t="n"/>
      <c r="AJ2" s="125" t="n"/>
      <c r="AK2" s="125" t="n"/>
      <c r="AL2" s="125" t="n"/>
      <c r="AM2" s="125" t="n"/>
      <c r="AN2" s="125" t="n"/>
      <c r="AO2" s="125" t="n"/>
      <c r="AP2" s="125" t="n"/>
      <c r="AQ2" s="125" t="n"/>
      <c r="AR2" s="125" t="n"/>
      <c r="AS2" s="125" t="n"/>
      <c r="AT2" s="125" t="n"/>
      <c r="AU2" s="125" t="n"/>
      <c r="AV2" s="125" t="n"/>
      <c r="AW2" s="125" t="n"/>
      <c r="AX2" s="125" t="n"/>
      <c r="AY2" s="125" t="n"/>
      <c r="AZ2" s="125" t="n"/>
      <c r="BA2" s="125" t="n"/>
      <c r="BB2" s="125" t="n"/>
      <c r="BC2" s="125" t="n"/>
      <c r="BD2" s="125" t="n"/>
      <c r="BE2" s="125" t="n"/>
      <c r="BF2" s="125" t="n"/>
      <c r="BG2" s="125" t="n"/>
    </row>
    <row r="3" spans="1:64">
      <c r="A3" s="13" t="s">
        <v>173</v>
      </c>
      <c r="B3" s="13" t="n">
        <v>0</v>
      </c>
      <c r="E3" s="79" t="n"/>
      <c r="F3" s="79" t="n"/>
      <c r="G3" s="79" t="n"/>
      <c r="X3" s="125" t="n"/>
      <c r="Y3" s="125" t="n"/>
      <c r="Z3" s="125" t="n"/>
      <c r="AA3" s="125" t="n"/>
      <c r="AB3" s="125" t="n"/>
      <c r="AC3" s="125" t="n"/>
      <c r="AD3" s="125" t="n"/>
      <c r="AE3" s="125" t="n"/>
      <c r="AF3" s="125" t="n"/>
      <c r="AG3" s="125" t="n"/>
      <c r="AH3" s="125" t="n"/>
      <c r="AI3" s="125" t="n"/>
      <c r="AJ3" s="125" t="n"/>
      <c r="AK3" s="125" t="n"/>
      <c r="AL3" s="125" t="n"/>
      <c r="AM3" s="125" t="n"/>
      <c r="AN3" s="125" t="n"/>
      <c r="AO3" s="125" t="n"/>
      <c r="AP3" s="125" t="n"/>
      <c r="AQ3" s="125" t="n"/>
      <c r="AR3" s="125" t="n"/>
      <c r="AS3" s="125" t="n"/>
      <c r="AT3" s="125" t="n"/>
      <c r="AU3" s="125" t="n"/>
      <c r="AV3" s="125" t="n"/>
      <c r="AW3" s="125" t="n"/>
      <c r="AX3" s="125" t="n"/>
      <c r="AY3" s="125" t="n"/>
      <c r="AZ3" s="125" t="n"/>
      <c r="BA3" s="125" t="n"/>
      <c r="BB3" s="125" t="n"/>
      <c r="BC3" s="125" t="n"/>
      <c r="BD3" s="125" t="n"/>
      <c r="BE3" s="125" t="n"/>
      <c r="BF3" s="125" t="n"/>
      <c r="BG3" s="125" t="n"/>
    </row>
    <row r="4" spans="1:64">
      <c r="A4" s="13" t="s">
        <v>174</v>
      </c>
      <c r="B4" s="13" t="n">
        <v>500</v>
      </c>
      <c r="C4" s="88" t="s">
        <v>175</v>
      </c>
      <c r="E4" s="79" t="n"/>
      <c r="F4" s="79" t="n"/>
      <c r="G4" s="79" t="n"/>
      <c r="P4" s="86" t="n">
        <v>20</v>
      </c>
      <c r="Q4" s="86" t="n"/>
      <c r="R4" s="86" t="n"/>
      <c r="S4" s="86" t="n"/>
      <c r="T4" s="86" t="n">
        <v>20</v>
      </c>
      <c r="U4" s="86" t="n"/>
      <c r="V4" s="86" t="n"/>
      <c r="W4" s="86" t="n"/>
    </row>
    <row r="5" spans="1:64">
      <c r="A5" s="13" t="s">
        <v>176</v>
      </c>
      <c r="B5" s="13" t="n">
        <v>750</v>
      </c>
      <c r="C5" s="88" t="s">
        <v>175</v>
      </c>
      <c r="E5" s="309" t="n"/>
      <c r="F5" s="79" t="n"/>
      <c r="G5" s="79" t="n"/>
      <c r="P5" s="102" t="n">
        <v>22</v>
      </c>
      <c r="Q5" s="102" t="n">
        <v>2</v>
      </c>
      <c r="R5" s="102" t="n">
        <v>8</v>
      </c>
      <c r="S5" s="102" t="n">
        <v>14</v>
      </c>
      <c r="T5" s="102" t="n">
        <v>22</v>
      </c>
      <c r="U5" s="102" t="n">
        <v>2</v>
      </c>
      <c r="V5" s="102" t="n">
        <v>8</v>
      </c>
      <c r="W5" s="102" t="n">
        <v>14</v>
      </c>
      <c r="X5" s="108" t="s">
        <v>172</v>
      </c>
      <c r="Y5" s="87">
        <f>B2</f>
        <v/>
      </c>
      <c r="AB5" s="108" t="s">
        <v>173</v>
      </c>
      <c r="AC5" s="108">
        <f>B3</f>
        <v/>
      </c>
      <c r="AR5" s="108" t="s">
        <v>174</v>
      </c>
      <c r="AS5" s="108">
        <f>B4</f>
        <v/>
      </c>
      <c r="AV5" s="108" t="s">
        <v>176</v>
      </c>
      <c r="AW5" s="108">
        <f>B5</f>
        <v/>
      </c>
      <c r="AZ5" s="108" t="s">
        <v>177</v>
      </c>
      <c r="BA5" s="108">
        <f>B6</f>
        <v/>
      </c>
    </row>
    <row r="6" spans="1:64">
      <c r="A6" s="13" t="s">
        <v>177</v>
      </c>
      <c r="B6" s="13" t="n">
        <v>1000</v>
      </c>
      <c r="C6" s="88" t="s">
        <v>175</v>
      </c>
      <c r="E6" s="309" t="n"/>
      <c r="F6" s="79" t="n"/>
      <c r="G6" s="79" t="n"/>
      <c r="P6" s="86" t="n">
        <v>24</v>
      </c>
      <c r="Q6" s="86" t="n">
        <v>4</v>
      </c>
      <c r="R6" s="86" t="n">
        <v>10</v>
      </c>
      <c r="S6" s="86" t="n">
        <v>16</v>
      </c>
      <c r="T6" s="86" t="n">
        <v>24</v>
      </c>
      <c r="U6" s="86" t="n">
        <v>4</v>
      </c>
      <c r="V6" s="86" t="n">
        <v>10</v>
      </c>
      <c r="W6" s="86" t="n">
        <v>16</v>
      </c>
      <c r="X6" s="249" t="s">
        <v>178</v>
      </c>
      <c r="AB6" s="249" t="s">
        <v>179</v>
      </c>
      <c r="AF6" s="249" t="s">
        <v>180</v>
      </c>
      <c r="AJ6" s="250" t="s">
        <v>181</v>
      </c>
      <c r="AN6" s="250" t="s">
        <v>182</v>
      </c>
      <c r="AR6" s="248" t="s">
        <v>183</v>
      </c>
      <c r="AV6" s="248" t="s">
        <v>184</v>
      </c>
      <c r="AZ6" s="248" t="s">
        <v>185</v>
      </c>
      <c r="BD6" s="248" t="s">
        <v>186</v>
      </c>
    </row>
    <row r="7" spans="1:64">
      <c r="H7" s="88" t="s">
        <v>187</v>
      </c>
      <c r="L7" s="88" t="n"/>
      <c r="P7" s="86" t="n">
        <v>26</v>
      </c>
      <c r="Q7" s="86" t="n">
        <v>6</v>
      </c>
      <c r="R7" s="86" t="n">
        <v>12</v>
      </c>
      <c r="S7" s="86" t="n">
        <v>18</v>
      </c>
      <c r="T7" s="86" t="n">
        <v>26</v>
      </c>
      <c r="U7" s="86" t="n">
        <v>6</v>
      </c>
      <c r="V7" s="86" t="n">
        <v>12</v>
      </c>
      <c r="W7" s="86" t="n">
        <v>18</v>
      </c>
      <c r="X7" s="236" t="s">
        <v>188</v>
      </c>
      <c r="AB7" s="236" t="s">
        <v>189</v>
      </c>
      <c r="AF7" s="236" t="s">
        <v>190</v>
      </c>
      <c r="AJ7" s="237" t="s">
        <v>191</v>
      </c>
      <c r="AN7" s="237" t="s">
        <v>191</v>
      </c>
      <c r="AR7" s="235" t="s">
        <v>192</v>
      </c>
      <c r="AV7" s="235" t="s">
        <v>193</v>
      </c>
      <c r="AZ7" s="235" t="s">
        <v>194</v>
      </c>
      <c r="BD7" s="235" t="s">
        <v>190</v>
      </c>
    </row>
    <row r="8" spans="1:64">
      <c r="A8" s="126" t="s">
        <v>195</v>
      </c>
      <c r="B8" s="12" t="n"/>
      <c r="E8" s="108" t="n"/>
      <c r="F8" s="108" t="n"/>
      <c r="G8" s="108" t="n"/>
      <c r="H8" s="241" t="s">
        <v>196</v>
      </c>
      <c r="L8" s="241" t="s">
        <v>197</v>
      </c>
      <c r="P8" s="242" t="s">
        <v>198</v>
      </c>
      <c r="T8" s="242" t="s">
        <v>199</v>
      </c>
      <c r="X8" s="236" t="s">
        <v>200</v>
      </c>
      <c r="AB8" s="236" t="s">
        <v>201</v>
      </c>
      <c r="AF8" s="236" t="s">
        <v>202</v>
      </c>
      <c r="AJ8" s="245" t="s">
        <v>203</v>
      </c>
      <c r="AN8" s="245" t="s">
        <v>204</v>
      </c>
      <c r="AR8" s="235" t="s">
        <v>205</v>
      </c>
      <c r="AV8" s="238" t="s">
        <v>206</v>
      </c>
      <c r="AZ8" s="238" t="s">
        <v>207</v>
      </c>
      <c r="BD8" s="235" t="s">
        <v>208</v>
      </c>
    </row>
    <row r="9" spans="1:64">
      <c r="A9" s="13" t="s">
        <v>209</v>
      </c>
      <c r="B9" s="13" t="s">
        <v>210</v>
      </c>
      <c r="D9" t="s">
        <v>211</v>
      </c>
      <c r="E9" s="108" t="s">
        <v>212</v>
      </c>
      <c r="F9" s="108" t="s">
        <v>213</v>
      </c>
      <c r="G9" s="108" t="s">
        <v>214</v>
      </c>
      <c r="H9" s="13" t="s">
        <v>40</v>
      </c>
      <c r="I9" s="13" t="s">
        <v>152</v>
      </c>
      <c r="J9" s="13" t="s">
        <v>156</v>
      </c>
      <c r="K9" s="13" t="s">
        <v>154</v>
      </c>
      <c r="L9" s="241" t="s">
        <v>40</v>
      </c>
      <c r="M9" s="241" t="s">
        <v>152</v>
      </c>
      <c r="N9" s="241" t="s">
        <v>156</v>
      </c>
      <c r="O9" s="241" t="s">
        <v>154</v>
      </c>
      <c r="P9" s="241" t="s">
        <v>40</v>
      </c>
      <c r="Q9" s="241" t="s">
        <v>152</v>
      </c>
      <c r="R9" s="241" t="s">
        <v>156</v>
      </c>
      <c r="S9" s="241" t="s">
        <v>154</v>
      </c>
      <c r="T9" s="241" t="s">
        <v>40</v>
      </c>
      <c r="U9" s="241" t="s">
        <v>152</v>
      </c>
      <c r="V9" s="241" t="s">
        <v>156</v>
      </c>
      <c r="W9" s="241" t="s">
        <v>154</v>
      </c>
      <c r="X9" s="14" t="s">
        <v>40</v>
      </c>
      <c r="Y9" s="14" t="s">
        <v>152</v>
      </c>
      <c r="Z9" s="14" t="s">
        <v>156</v>
      </c>
      <c r="AA9" s="14" t="s">
        <v>154</v>
      </c>
      <c r="AB9" s="14" t="s">
        <v>40</v>
      </c>
      <c r="AC9" s="14" t="s">
        <v>152</v>
      </c>
      <c r="AD9" s="14" t="s">
        <v>156</v>
      </c>
      <c r="AE9" s="14" t="s">
        <v>154</v>
      </c>
      <c r="AF9" s="14" t="s">
        <v>40</v>
      </c>
      <c r="AG9" s="14" t="s">
        <v>152</v>
      </c>
      <c r="AH9" s="14" t="s">
        <v>156</v>
      </c>
      <c r="AI9" s="14" t="s">
        <v>154</v>
      </c>
      <c r="AJ9" s="80" t="s">
        <v>40</v>
      </c>
      <c r="AK9" s="80" t="s">
        <v>152</v>
      </c>
      <c r="AL9" s="80" t="s">
        <v>156</v>
      </c>
      <c r="AM9" s="80" t="s">
        <v>154</v>
      </c>
      <c r="AN9" s="80" t="s">
        <v>40</v>
      </c>
      <c r="AO9" s="80" t="s">
        <v>152</v>
      </c>
      <c r="AP9" s="80" t="s">
        <v>156</v>
      </c>
      <c r="AQ9" s="80" t="s">
        <v>154</v>
      </c>
      <c r="AR9" s="83" t="s">
        <v>40</v>
      </c>
      <c r="AS9" s="83" t="s">
        <v>152</v>
      </c>
      <c r="AT9" s="83" t="s">
        <v>156</v>
      </c>
      <c r="AU9" s="83" t="s">
        <v>154</v>
      </c>
      <c r="AV9" s="83" t="s">
        <v>40</v>
      </c>
      <c r="AW9" s="83" t="s">
        <v>152</v>
      </c>
      <c r="AX9" s="83" t="s">
        <v>156</v>
      </c>
      <c r="AY9" s="83" t="s">
        <v>154</v>
      </c>
      <c r="AZ9" s="83" t="s">
        <v>40</v>
      </c>
      <c r="BA9" s="83" t="s">
        <v>152</v>
      </c>
      <c r="BB9" s="83" t="s">
        <v>156</v>
      </c>
      <c r="BC9" s="83" t="s">
        <v>154</v>
      </c>
      <c r="BD9" s="83" t="s">
        <v>40</v>
      </c>
      <c r="BE9" s="83" t="s">
        <v>152</v>
      </c>
      <c r="BF9" s="83" t="s">
        <v>156</v>
      </c>
      <c r="BG9" s="83" t="s">
        <v>154</v>
      </c>
      <c r="BI9" s="83" t="s">
        <v>215</v>
      </c>
      <c r="BJ9" s="83" t="s">
        <v>216</v>
      </c>
      <c r="BK9" s="83" t="s">
        <v>217</v>
      </c>
      <c r="BL9" s="83" t="s">
        <v>218</v>
      </c>
    </row>
    <row r="10" spans="1:64">
      <c r="A10" s="114" t="s">
        <v>145</v>
      </c>
      <c r="B10" s="114" t="s">
        <v>85</v>
      </c>
      <c r="D10" t="s">
        <v>37</v>
      </c>
      <c r="E10" s="34" t="s">
        <v>37</v>
      </c>
      <c r="F10" s="34" t="s">
        <v>219</v>
      </c>
      <c r="G10" s="34" t="n">
        <v>10</v>
      </c>
      <c r="H10" s="310" t="n">
        <v>1</v>
      </c>
      <c r="I10" s="310" t="n">
        <v>1</v>
      </c>
      <c r="J10" s="310" t="n">
        <v>1</v>
      </c>
      <c r="K10" s="310" t="n">
        <v>1</v>
      </c>
      <c r="L10" s="311">
        <f>H10*$B$1</f>
        <v/>
      </c>
      <c r="M10" s="311">
        <f>I10*$B$1</f>
        <v/>
      </c>
      <c r="N10" s="311">
        <f>J10*$B$1</f>
        <v/>
      </c>
      <c r="O10" s="311">
        <f>K10*$B$1</f>
        <v/>
      </c>
      <c r="P10" s="311">
        <f>IFERROR(MIN(VLOOKUP(E10,Detalle!A:AA,$P$6,0),VLOOKUP(E10,Detalle!A:AA,$P$7,0),VLOOKUP(E10,Detalle!A:AA,$P$4,0)),0)</f>
        <v/>
      </c>
      <c r="Q10" s="311">
        <f>IFERROR(MIN(VLOOKUP(E10,Detalle!A:AA,$Q$6,0),VLOOKUP(E10,Detalle!A:AA,$Q$7,0)),0)</f>
        <v/>
      </c>
      <c r="R10" s="311">
        <f>IFERROR(MIN(VLOOKUP(E10,Detalle!A:AA,$R$6,0),VLOOKUP(E10,Detalle!A:AA,$R$7,0)),0)</f>
        <v/>
      </c>
      <c r="S10" s="311">
        <f>IFERROR(MIN(VLOOKUP(E10,Detalle!A:AA,$S$6,0),VLOOKUP(E10,Detalle!A:AA,$S$7,0)),0)</f>
        <v/>
      </c>
      <c r="T10" s="311">
        <f>IFERROR(MAX(VLOOKUP(E10,Detalle!A:AA,$P$6,0),VLOOKUP(E10,Detalle!A:AA,$P$7,0),VLOOKUP(E10,Detalle!A:AA,$P$4,0)),0)</f>
        <v/>
      </c>
      <c r="U10" s="311">
        <f>IFERROR(MAX(VLOOKUP(E10,Detalle!A:AA,$Q$6,0),VLOOKUP(E10,Detalle!A:AA,$Q$7,0)),0)</f>
        <v/>
      </c>
      <c r="V10" s="311">
        <f>IFERROR(MAX(VLOOKUP(E10,Detalle!A:AA,$R$6,0),VLOOKUP(E10,Detalle!A:AA,$R$7,0)),0)</f>
        <v/>
      </c>
      <c r="W10" s="311">
        <f>IFERROR(MAX(VLOOKUP(E10,Detalle!A:AA,$S$6,0),VLOOKUP(E10,Detalle!A:AA,$S$7,0)),0)</f>
        <v/>
      </c>
      <c r="X10" s="311">
        <f>INDEX($A$27:$B$246,MATCH(IFERROR(IF(P10*(1+$Y$5)&lt;H10,H10,IF(P10*(1+$Y$5)&gt;L10,L10,P10*(1+$Y$5))),0),$A$27:$A$246,1),2)</f>
        <v/>
      </c>
      <c r="Y10" s="311">
        <f>INDEX($A$27:$B$246,MATCH(IFERROR(IF(Q10*(1+$Y$5)&lt;I10,I10,IF(Q10*(1+$Y$5)&gt;M10,M10,Q10*(1+$Y$5))),0),$A$27:$A$246,1),2)</f>
        <v/>
      </c>
      <c r="Z10" s="311">
        <f>INDEX($A$27:$B$246,MATCH(IFERROR(IF(R10*(1+$Y$5)&lt;J10,J10,IF(R10*(1+$Y$5)&gt;N10,N10,R10*(1+$Y$5))),0),$A$27:$A$246,1),2)</f>
        <v/>
      </c>
      <c r="AA10" s="311">
        <f>INDEX($A$27:$B$246,MATCH(IFERROR(IF(S10*(1+$Y$5)&lt;K10,K10,IF(S10*(1+$Y$5)&gt;O10,O10,S10*(1+$Y$5))),0),$A$27:$A$246,1),2)</f>
        <v/>
      </c>
      <c r="AB10" s="311">
        <f>INDEX($A$27:$B$246,MATCH(IFERROR(IF(P10-$AC$5&lt;H10,H10,IF(P10-$AC$5&gt;L10,L10,P10-$AC$5)),0),$A$27:$A$246,1),2)</f>
        <v/>
      </c>
      <c r="AC10" s="311">
        <f>INDEX($A$27:$B$246,MATCH(IFERROR(IF(Q10-$AC$5&lt;I10,I10,IF(Q10-$AC$5&gt;M10,M10,Q10-$AC$5)),0),$A$27:$A$246,1),2)</f>
        <v/>
      </c>
      <c r="AD10" s="311">
        <f>INDEX($A$27:$B$246,MATCH(IFERROR(IF(R10-$AC$5&lt;J10,J10,IF(R10-$AC$5&gt;N10,N10,R10-$AC$5)),0),$A$27:$A$246,1),2)</f>
        <v/>
      </c>
      <c r="AE10" s="311">
        <f>INDEX($A$27:$B$246,MATCH(IFERROR(IF(S10-$AC$5&lt;K10,K10,IF(S10-$AC$5&gt;O10,O10,S10-$AC$5)),0),$A$27:$A$246,1),2)</f>
        <v/>
      </c>
      <c r="AF10" s="311" t="s">
        <v>8</v>
      </c>
      <c r="AG10" s="311" t="s">
        <v>8</v>
      </c>
      <c r="AH10" s="311" t="s">
        <v>8</v>
      </c>
      <c r="AI10" s="311" t="s">
        <v>8</v>
      </c>
      <c r="AJ10" s="311">
        <f>INDEX($A$27:$B$246,MATCH(IFERROR(IF(T10&lt;H10,H10,IF(T10&gt;L10,L10,T10)),0),$A$27:$A$246,1),2)</f>
        <v/>
      </c>
      <c r="AK10" s="311">
        <f>INDEX($A$27:$B$246,MATCH(IFERROR(IF(U10&lt;I10,I10,IF(U10&gt;M10,M10,U10)),0),$A$27:$A$246,1),2)</f>
        <v/>
      </c>
      <c r="AL10" s="311">
        <f>INDEX($A$27:$B$246,MATCH(IFERROR(IF(V10&lt;J10,J10,IF(V10&gt;N10,N10,V10)),0),$A$27:$A$246,1),2)</f>
        <v/>
      </c>
      <c r="AM10" s="311">
        <f>INDEX($A$27:$B$246,MATCH(IFERROR(IF(W10&lt;K10,K10,IF(W10&gt;O10,O10,W10)),0),$A$27:$A$246,1),2)</f>
        <v/>
      </c>
      <c r="AN10" s="311">
        <f>INDEX($A$27:$B$246,MATCH(IFERROR(IF(T10&lt;H10,H10,IF(T10&gt;L10,L10,T10)),0),$A$27:$A$246,1),2)</f>
        <v/>
      </c>
      <c r="AO10" s="311">
        <f>INDEX($A$27:$B$246,MATCH(IFERROR(IF(U10&lt;I10,I10,IF(U10&gt;M10,M10,U10)),0),$A$27:$A$246,1),2)</f>
        <v/>
      </c>
      <c r="AP10" s="311">
        <f>INDEX($A$27:$B$246,MATCH(IFERROR(IF(V10&lt;J10,J10,IF(V10&gt;N10,N10,V10)),0),$A$27:$A$246,1),2)</f>
        <v/>
      </c>
      <c r="AQ10" s="311">
        <f>INDEX($A$27:$B$246,MATCH(IFERROR(IF(W10&lt;K10,K10,IF(W10&gt;O10,O10,W10)),0),$A$27:$A$246,1),2)</f>
        <v/>
      </c>
      <c r="AR10" s="311">
        <f>INDEX($A$27:$B$246,MATCH(IFERROR(IF(T10+$AS$5&lt;H10,H10,IF(T10+$AS$5&gt;L10,L10,T10+$AS$5)),0),$A$27:$A$246,1),2)</f>
        <v/>
      </c>
      <c r="AS10" s="311">
        <f>INDEX($A$27:$B$246,MATCH(IFERROR(IF(U10+$AS$5&lt;I10,I10,IF(U10+$AS$5&gt;M10,M10,U10+$AS$5)),0),$A$27:$A$246,1),2)</f>
        <v/>
      </c>
      <c r="AT10" s="311">
        <f>INDEX($A$27:$B$246,MATCH(IFERROR(IF(V10+$AS$5&lt;J10,J10,IF(V10+$AS$5&gt;N10,N10,V10+$AS$5)),0),$A$27:$A$246,1),2)</f>
        <v/>
      </c>
      <c r="AU10" s="311">
        <f>INDEX($A$27:$B$246,MATCH(IFERROR(IF(W10+$AS$5&lt;K10,K10,IF(W10+$AS$5&gt;O10,O10,W10+$AS$5)),0),$A$27:$A$246,1),2)</f>
        <v/>
      </c>
      <c r="AV10" s="311">
        <f>INDEX($A$27:$B$246,MATCH(IFERROR(IF(T10+$AW$5&lt;H10,H10,IF(T10+$AW$5&gt;L10,L10,T10+$AW$5)),0),$A$27:$A$246,1),2)</f>
        <v/>
      </c>
      <c r="AW10" s="311">
        <f>INDEX($A$27:$B$246,MATCH(IFERROR(IF(U10+$AW$5&lt;I10,I10,IF(U10+$AW$5&gt;M10,M10,U10+$AW$5)),0),$A$27:$A$246,1),2)</f>
        <v/>
      </c>
      <c r="AX10" s="311">
        <f>INDEX($A$27:$B$246,MATCH(IFERROR(IF(V10+$AW$5&lt;J10,J10,IF(V10+$AW$5&gt;N10,N10,V10+$AW$5)),0),$A$27:$A$246,1),2)</f>
        <v/>
      </c>
      <c r="AY10" s="311">
        <f>INDEX($A$27:$B$246,MATCH(IFERROR(IF(W10+$AW$5&lt;K10,K10,IF(W10+$AW$5&gt;O10,O10,W10+$AW$5)),0),$A$27:$A$246,1),2)</f>
        <v/>
      </c>
      <c r="AZ10" s="311">
        <f>INDEX($A$27:$B$246,MATCH(IFERROR(IF(T10+$BA$5&lt;H10,H10,IF(T10+$BA$5&gt;L10,L10,T10+$BA$5)),0),$A$27:$A$246,1),2)</f>
        <v/>
      </c>
      <c r="BA10" s="311">
        <f>INDEX($A$27:$B$246,MATCH(IFERROR(IF(U10+$BA$5&lt;I10,I10,IF(U10+$BA$5&gt;M10,M10,U10+$BA$5)),0),$A$27:$A$246,1),2)</f>
        <v/>
      </c>
      <c r="BB10" s="311">
        <f>INDEX($A$27:$B$246,MATCH(IFERROR(IF(V10+$BA$5&lt;J10,J10,IF(V10+$BA$5&gt;N10,N10,V10+$BA$5)),0),$A$27:$A$246,1),2)</f>
        <v/>
      </c>
      <c r="BC10" s="311">
        <f>INDEX($A$27:$B$246,MATCH(IFERROR(IF(W10+$BA$5&lt;K10,K10,IF(W10+$BA$5&gt;O10,O10,W10+$BA$5)),0),$A$27:$A$246,1),2)</f>
        <v/>
      </c>
      <c r="BD10" s="311" t="s">
        <v>8</v>
      </c>
      <c r="BE10" s="311" t="s">
        <v>8</v>
      </c>
      <c r="BF10" s="311" t="s">
        <v>8</v>
      </c>
      <c r="BG10" s="311" t="s">
        <v>8</v>
      </c>
      <c r="BI10" s="312" t="s">
        <v>40</v>
      </c>
      <c r="BJ10" s="108" t="s">
        <v>200</v>
      </c>
      <c r="BK10" s="108" t="s">
        <v>220</v>
      </c>
      <c r="BL10" s="108" t="n">
        <v>20</v>
      </c>
    </row>
    <row r="11" spans="1:64">
      <c r="A11" s="114" t="s">
        <v>121</v>
      </c>
      <c r="B11" s="114" t="s">
        <v>37</v>
      </c>
      <c r="D11" t="s">
        <v>42</v>
      </c>
      <c r="E11" s="34" t="s">
        <v>42</v>
      </c>
      <c r="F11" s="34" t="s">
        <v>219</v>
      </c>
      <c r="G11" s="34" t="n">
        <v>11</v>
      </c>
      <c r="H11" s="310" t="n">
        <v>1</v>
      </c>
      <c r="I11" s="310" t="n">
        <v>1</v>
      </c>
      <c r="J11" s="310" t="n">
        <v>1</v>
      </c>
      <c r="K11" s="310" t="n">
        <v>1</v>
      </c>
      <c r="L11" s="311">
        <f>H11*$B$1</f>
        <v/>
      </c>
      <c r="M11" s="311">
        <f>I11*$B$1</f>
        <v/>
      </c>
      <c r="N11" s="311">
        <f>J11*$B$1</f>
        <v/>
      </c>
      <c r="O11" s="311">
        <f>K11*$B$1</f>
        <v/>
      </c>
      <c r="P11" s="311">
        <f>IFERROR(MIN(VLOOKUP(E11,Detalle!A:AA,$P$6,0),VLOOKUP(E11,Detalle!A:AA,$P$7,0),VLOOKUP(E11,Detalle!A:AA,$P$4,0)),0)</f>
        <v/>
      </c>
      <c r="Q11" s="311">
        <f>IFERROR(MIN(VLOOKUP(E11,Detalle!A:AA,$Q$6,0),VLOOKUP(E11,Detalle!A:AA,$Q$7,0)),0)</f>
        <v/>
      </c>
      <c r="R11" s="311">
        <f>IFERROR(MIN(VLOOKUP(E11,Detalle!A:AA,$R$6,0),VLOOKUP(E11,Detalle!A:AA,$R$7,0)),0)</f>
        <v/>
      </c>
      <c r="S11" s="311">
        <f>IFERROR(MIN(VLOOKUP(E11,Detalle!A:AA,$S$6,0),VLOOKUP(E11,Detalle!A:AA,$S$7,0)),0)</f>
        <v/>
      </c>
      <c r="T11" s="311">
        <f>IFERROR(MAX(VLOOKUP(E11,Detalle!A:AA,$P$6,0),VLOOKUP(E11,Detalle!A:AA,$P$7,0),VLOOKUP(E11,Detalle!A:AA,$P$4,0)),0)</f>
        <v/>
      </c>
      <c r="U11" s="311">
        <f>IFERROR(MAX(VLOOKUP(E11,Detalle!A:AA,$Q$6,0),VLOOKUP(E11,Detalle!A:AA,$Q$7,0)),0)</f>
        <v/>
      </c>
      <c r="V11" s="311">
        <f>IFERROR(MAX(VLOOKUP(E11,Detalle!A:AA,$R$6,0),VLOOKUP(E11,Detalle!A:AA,$R$7,0)),0)</f>
        <v/>
      </c>
      <c r="W11" s="311">
        <f>IFERROR(MAX(VLOOKUP(E11,Detalle!A:AA,$S$6,0),VLOOKUP(E11,Detalle!A:AA,$S$7,0)),0)</f>
        <v/>
      </c>
      <c r="X11" s="311">
        <f>INDEX($A$27:$B$246,MATCH(IFERROR(IF(P11*(1+$Y$5)&lt;H11,H11,IF(P11*(1+$Y$5)&gt;L11,L11,P11*(1+$Y$5))),0),$A$27:$A$246,1),2)</f>
        <v/>
      </c>
      <c r="Y11" s="311">
        <f>INDEX($A$27:$B$246,MATCH(IFERROR(IF(Q11*(1+$Y$5)&lt;I11,I11,IF(Q11*(1+$Y$5)&gt;M11,M11,Q11*(1+$Y$5))),0),$A$27:$A$246,1),2)</f>
        <v/>
      </c>
      <c r="Z11" s="311">
        <f>INDEX($A$27:$B$246,MATCH(IFERROR(IF(R11*(1+$Y$5)&lt;J11,J11,IF(R11*(1+$Y$5)&gt;N11,N11,R11*(1+$Y$5))),0),$A$27:$A$246,1),2)</f>
        <v/>
      </c>
      <c r="AA11" s="311">
        <f>INDEX($A$27:$B$246,MATCH(IFERROR(IF(S11*(1+$Y$5)&lt;K11,K11,IF(S11*(1+$Y$5)&gt;O11,O11,S11*(1+$Y$5))),0),$A$27:$A$246,1),2)</f>
        <v/>
      </c>
      <c r="AB11" s="311">
        <f>INDEX($A$27:$B$246,MATCH(IFERROR(IF(P11-$AC$5&lt;H11,H11,IF(P11-$AC$5&gt;L11,L11,P11-$AC$5)),0),$A$27:$A$246,1),2)</f>
        <v/>
      </c>
      <c r="AC11" s="311">
        <f>INDEX($A$27:$B$246,MATCH(IFERROR(IF(Q11-$AC$5&lt;I11,I11,IF(Q11-$AC$5&gt;M11,M11,Q11-$AC$5)),0),$A$27:$A$246,1),2)</f>
        <v/>
      </c>
      <c r="AD11" s="311">
        <f>INDEX($A$27:$B$246,MATCH(IFERROR(IF(R11-$AC$5&lt;J11,J11,IF(R11-$AC$5&gt;N11,N11,R11-$AC$5)),0),$A$27:$A$246,1),2)</f>
        <v/>
      </c>
      <c r="AE11" s="311">
        <f>INDEX($A$27:$B$246,MATCH(IFERROR(IF(S11-$AC$5&lt;K11,K11,IF(S11-$AC$5&gt;O11,O11,S11-$AC$5)),0),$A$27:$A$246,1),2)</f>
        <v/>
      </c>
      <c r="AF11" s="311" t="s">
        <v>8</v>
      </c>
      <c r="AG11" s="311" t="s">
        <v>8</v>
      </c>
      <c r="AH11" s="311" t="s">
        <v>8</v>
      </c>
      <c r="AI11" s="311" t="s">
        <v>8</v>
      </c>
      <c r="AJ11" s="311">
        <f>INDEX($A$27:$B$246,MATCH(IFERROR(IF(T11&lt;H11,H11,IF(T11&gt;L11,L11,T11)),0),$A$27:$A$246,1),2)</f>
        <v/>
      </c>
      <c r="AK11" s="311">
        <f>INDEX($A$27:$B$246,MATCH(IFERROR(IF(U11&lt;I11,I11,IF(U11&gt;M11,M11,U11)),0),$A$27:$A$246,1),2)</f>
        <v/>
      </c>
      <c r="AL11" s="311">
        <f>INDEX($A$27:$B$246,MATCH(IFERROR(IF(V11&lt;J11,J11,IF(V11&gt;N11,N11,V11)),0),$A$27:$A$246,1),2)</f>
        <v/>
      </c>
      <c r="AM11" s="311">
        <f>INDEX($A$27:$B$246,MATCH(IFERROR(IF(W11&lt;K11,K11,IF(W11&gt;O11,O11,W11)),0),$A$27:$A$246,1),2)</f>
        <v/>
      </c>
      <c r="AN11" s="311">
        <f>INDEX($A$27:$B$246,MATCH(IFERROR(IF(T11&lt;H11,H11,IF(T11&gt;L11,L11,T11)),0),$A$27:$A$246,1),2)</f>
        <v/>
      </c>
      <c r="AO11" s="311">
        <f>INDEX($A$27:$B$246,MATCH(IFERROR(IF(U11&lt;I11,I11,IF(U11&gt;M11,M11,U11)),0),$A$27:$A$246,1),2)</f>
        <v/>
      </c>
      <c r="AP11" s="311">
        <f>INDEX($A$27:$B$246,MATCH(IFERROR(IF(V11&lt;J11,J11,IF(V11&gt;N11,N11,V11)),0),$A$27:$A$246,1),2)</f>
        <v/>
      </c>
      <c r="AQ11" s="311">
        <f>INDEX($A$27:$B$246,MATCH(IFERROR(IF(W11&lt;K11,K11,IF(W11&gt;O11,O11,W11)),0),$A$27:$A$246,1),2)</f>
        <v/>
      </c>
      <c r="AR11" s="311">
        <f>INDEX($A$27:$B$246,MATCH(IFERROR(IF(T11+$AS$5&lt;H11,H11,IF(T11+$AS$5&gt;L11,L11,T11+$AS$5)),0),$A$27:$A$246,1),2)</f>
        <v/>
      </c>
      <c r="AS11" s="311">
        <f>INDEX($A$27:$B$246,MATCH(IFERROR(IF(U11+$AS$5&lt;I11,I11,IF(U11+$AS$5&gt;M11,M11,U11+$AS$5)),0),$A$27:$A$246,1),2)</f>
        <v/>
      </c>
      <c r="AT11" s="311">
        <f>INDEX($A$27:$B$246,MATCH(IFERROR(IF(V11+$AS$5&lt;J11,J11,IF(V11+$AS$5&gt;N11,N11,V11+$AS$5)),0),$A$27:$A$246,1),2)</f>
        <v/>
      </c>
      <c r="AU11" s="311">
        <f>INDEX($A$27:$B$246,MATCH(IFERROR(IF(W11+$AS$5&lt;K11,K11,IF(W11+$AS$5&gt;O11,O11,W11+$AS$5)),0),$A$27:$A$246,1),2)</f>
        <v/>
      </c>
      <c r="AV11" s="311">
        <f>INDEX($A$27:$B$246,MATCH(IFERROR(IF(T11+$AW$5&lt;H11,H11,IF(T11+$AW$5&gt;L11,L11,T11+$AW$5)),0),$A$27:$A$246,1),2)</f>
        <v/>
      </c>
      <c r="AW11" s="311">
        <f>INDEX($A$27:$B$246,MATCH(IFERROR(IF(U11+$AW$5&lt;I11,I11,IF(U11+$AW$5&gt;M11,M11,U11+$AW$5)),0),$A$27:$A$246,1),2)</f>
        <v/>
      </c>
      <c r="AX11" s="311">
        <f>INDEX($A$27:$B$246,MATCH(IFERROR(IF(V11+$AW$5&lt;J11,J11,IF(V11+$AW$5&gt;N11,N11,V11+$AW$5)),0),$A$27:$A$246,1),2)</f>
        <v/>
      </c>
      <c r="AY11" s="311">
        <f>INDEX($A$27:$B$246,MATCH(IFERROR(IF(W11+$AW$5&lt;K11,K11,IF(W11+$AW$5&gt;O11,O11,W11+$AW$5)),0),$A$27:$A$246,1),2)</f>
        <v/>
      </c>
      <c r="AZ11" s="311">
        <f>INDEX($A$27:$B$246,MATCH(IFERROR(IF(T11+$BA$5&lt;H11,H11,IF(T11+$BA$5&gt;L11,L11,T11+$BA$5)),0),$A$27:$A$246,1),2)</f>
        <v/>
      </c>
      <c r="BA11" s="311">
        <f>INDEX($A$27:$B$246,MATCH(IFERROR(IF(U11+$BA$5&lt;I11,I11,IF(U11+$BA$5&gt;M11,M11,U11+$BA$5)),0),$A$27:$A$246,1),2)</f>
        <v/>
      </c>
      <c r="BB11" s="311">
        <f>INDEX($A$27:$B$246,MATCH(IFERROR(IF(V11+$BA$5&lt;J11,J11,IF(V11+$BA$5&gt;N11,N11,V11+$BA$5)),0),$A$27:$A$246,1),2)</f>
        <v/>
      </c>
      <c r="BC11" s="311">
        <f>INDEX($A$27:$B$246,MATCH(IFERROR(IF(W11+$BA$5&lt;K11,K11,IF(W11+$BA$5&gt;O11,O11,W11+$BA$5)),0),$A$27:$A$246,1),2)</f>
        <v/>
      </c>
      <c r="BD11" s="311" t="s">
        <v>8</v>
      </c>
      <c r="BE11" s="311" t="s">
        <v>8</v>
      </c>
      <c r="BF11" s="311" t="s">
        <v>8</v>
      </c>
      <c r="BG11" s="311" t="s">
        <v>8</v>
      </c>
      <c r="BI11" s="312" t="s">
        <v>40</v>
      </c>
      <c r="BJ11" s="108" t="s">
        <v>201</v>
      </c>
      <c r="BK11" s="108" t="s">
        <v>221</v>
      </c>
      <c r="BL11" s="108" t="n">
        <v>24</v>
      </c>
    </row>
    <row r="12" spans="1:64">
      <c r="A12" s="114" t="s">
        <v>134</v>
      </c>
      <c r="B12" s="114" t="s">
        <v>222</v>
      </c>
      <c r="D12" t="s">
        <v>45</v>
      </c>
      <c r="E12" s="34" t="s">
        <v>45</v>
      </c>
      <c r="F12" s="34" t="s">
        <v>219</v>
      </c>
      <c r="G12" s="34" t="n">
        <v>1</v>
      </c>
      <c r="H12" s="310" t="n">
        <v>1</v>
      </c>
      <c r="I12" s="310" t="n">
        <v>1</v>
      </c>
      <c r="J12" s="310" t="n">
        <v>1</v>
      </c>
      <c r="K12" s="310" t="n">
        <v>1</v>
      </c>
      <c r="L12" s="311">
        <f>H12*$B$1</f>
        <v/>
      </c>
      <c r="M12" s="311">
        <f>I12*$B$1</f>
        <v/>
      </c>
      <c r="N12" s="311">
        <f>J12*$B$1</f>
        <v/>
      </c>
      <c r="O12" s="311">
        <f>K12*$B$1</f>
        <v/>
      </c>
      <c r="P12" s="311">
        <f>IFERROR(MIN(VLOOKUP(E12,Detalle!A:AA,$P$6,0),VLOOKUP(E12,Detalle!A:AA,$P$7,0),VLOOKUP(E12,Detalle!A:AA,$P$4,0)),0)</f>
        <v/>
      </c>
      <c r="Q12" s="311">
        <f>IFERROR(MIN(VLOOKUP(E12,Detalle!A:AA,$Q$6,0),VLOOKUP(E12,Detalle!A:AA,$Q$7,0)),0)</f>
        <v/>
      </c>
      <c r="R12" s="311">
        <f>IFERROR(MIN(VLOOKUP(E12,Detalle!A:AA,$R$6,0),VLOOKUP(E12,Detalle!A:AA,$R$7,0)),0)</f>
        <v/>
      </c>
      <c r="S12" s="311">
        <f>IFERROR(MIN(VLOOKUP(E12,Detalle!A:AA,$S$6,0),VLOOKUP(E12,Detalle!A:AA,$S$7,0)),0)</f>
        <v/>
      </c>
      <c r="T12" s="311">
        <f>IFERROR(MAX(VLOOKUP(E12,Detalle!A:AA,$P$6,0),VLOOKUP(E12,Detalle!A:AA,$P$7,0),VLOOKUP(E12,Detalle!A:AA,$P$4,0)),0)</f>
        <v/>
      </c>
      <c r="U12" s="311">
        <f>IFERROR(MAX(VLOOKUP(E12,Detalle!A:AA,$Q$6,0),VLOOKUP(E12,Detalle!A:AA,$Q$7,0)),0)</f>
        <v/>
      </c>
      <c r="V12" s="311">
        <f>IFERROR(MAX(VLOOKUP(E12,Detalle!A:AA,$R$6,0),VLOOKUP(E12,Detalle!A:AA,$R$7,0)),0)</f>
        <v/>
      </c>
      <c r="W12" s="311">
        <f>IFERROR(MAX(VLOOKUP(E12,Detalle!A:AA,$S$6,0),VLOOKUP(E12,Detalle!A:AA,$S$7,0)),0)</f>
        <v/>
      </c>
      <c r="X12" s="311">
        <f>INDEX($A$27:$B$246,MATCH(IFERROR(IF(P12*(1+$Y$5)&lt;H12,H12,IF(P12*(1+$Y$5)&gt;L12,L12,P12*(1+$Y$5))),0),$A$27:$A$246,1),2)</f>
        <v/>
      </c>
      <c r="Y12" s="311">
        <f>INDEX($A$27:$B$246,MATCH(IFERROR(IF(Q12*(1+$Y$5)&lt;I12,I12,IF(Q12*(1+$Y$5)&gt;M12,M12,Q12*(1+$Y$5))),0),$A$27:$A$246,1),2)</f>
        <v/>
      </c>
      <c r="Z12" s="311">
        <f>INDEX($A$27:$B$246,MATCH(IFERROR(IF(R12*(1+$Y$5)&lt;J12,J12,IF(R12*(1+$Y$5)&gt;N12,N12,R12*(1+$Y$5))),0),$A$27:$A$246,1),2)</f>
        <v/>
      </c>
      <c r="AA12" s="311">
        <f>INDEX($A$27:$B$246,MATCH(IFERROR(IF(S12*(1+$Y$5)&lt;K12,K12,IF(S12*(1+$Y$5)&gt;O12,O12,S12*(1+$Y$5))),0),$A$27:$A$246,1),2)</f>
        <v/>
      </c>
      <c r="AB12" s="311">
        <f>INDEX($A$27:$B$246,MATCH(IFERROR(IF(P12-$AC$5&lt;H12,H12,IF(P12-$AC$5&gt;L12,L12,P12-$AC$5)),0),$A$27:$A$246,1),2)</f>
        <v/>
      </c>
      <c r="AC12" s="311">
        <f>INDEX($A$27:$B$246,MATCH(IFERROR(IF(Q12-$AC$5&lt;I12,I12,IF(Q12-$AC$5&gt;M12,M12,Q12-$AC$5)),0),$A$27:$A$246,1),2)</f>
        <v/>
      </c>
      <c r="AD12" s="311">
        <f>INDEX($A$27:$B$246,MATCH(IFERROR(IF(R12-$AC$5&lt;J12,J12,IF(R12-$AC$5&gt;N12,N12,R12-$AC$5)),0),$A$27:$A$246,1),2)</f>
        <v/>
      </c>
      <c r="AE12" s="311">
        <f>INDEX($A$27:$B$246,MATCH(IFERROR(IF(S12-$AC$5&lt;K12,K12,IF(S12-$AC$5&gt;O12,O12,S12-$AC$5)),0),$A$27:$A$246,1),2)</f>
        <v/>
      </c>
      <c r="AF12" s="311" t="s">
        <v>8</v>
      </c>
      <c r="AG12" s="311" t="s">
        <v>8</v>
      </c>
      <c r="AH12" s="311" t="s">
        <v>8</v>
      </c>
      <c r="AI12" s="311" t="s">
        <v>8</v>
      </c>
      <c r="AJ12" s="311">
        <f>INDEX($A$27:$B$246,MATCH(IFERROR(IF(T12&lt;H12,H12,IF(T12&gt;L12,L12,T12)),0),$A$27:$A$246,1),2)</f>
        <v/>
      </c>
      <c r="AK12" s="311">
        <f>INDEX($A$27:$B$246,MATCH(IFERROR(IF(U12&lt;I12,I12,IF(U12&gt;M12,M12,U12)),0),$A$27:$A$246,1),2)</f>
        <v/>
      </c>
      <c r="AL12" s="311">
        <f>INDEX($A$27:$B$246,MATCH(IFERROR(IF(V12&lt;J12,J12,IF(V12&gt;N12,N12,V12)),0),$A$27:$A$246,1),2)</f>
        <v/>
      </c>
      <c r="AM12" s="311">
        <f>INDEX($A$27:$B$246,MATCH(IFERROR(IF(W12&lt;K12,K12,IF(W12&gt;O12,O12,W12)),0),$A$27:$A$246,1),2)</f>
        <v/>
      </c>
      <c r="AN12" s="311">
        <f>INDEX($A$27:$B$246,MATCH(IFERROR(IF(T12&lt;H12,H12,IF(T12&gt;L12,L12,T12)),0),$A$27:$A$246,1),2)</f>
        <v/>
      </c>
      <c r="AO12" s="311">
        <f>INDEX($A$27:$B$246,MATCH(IFERROR(IF(U12&lt;I12,I12,IF(U12&gt;M12,M12,U12)),0),$A$27:$A$246,1),2)</f>
        <v/>
      </c>
      <c r="AP12" s="311">
        <f>INDEX($A$27:$B$246,MATCH(IFERROR(IF(V12&lt;J12,J12,IF(V12&gt;N12,N12,V12)),0),$A$27:$A$246,1),2)</f>
        <v/>
      </c>
      <c r="AQ12" s="311">
        <f>INDEX($A$27:$B$246,MATCH(IFERROR(IF(W12&lt;K12,K12,IF(W12&gt;O12,O12,W12)),0),$A$27:$A$246,1),2)</f>
        <v/>
      </c>
      <c r="AR12" s="311">
        <f>INDEX($A$27:$B$246,MATCH(IFERROR(IF(T12+$AS$5&lt;H12,H12,IF(T12+$AS$5&gt;L12,L12,T12+$AS$5)),0),$A$27:$A$246,1),2)</f>
        <v/>
      </c>
      <c r="AS12" s="311">
        <f>INDEX($A$27:$B$246,MATCH(IFERROR(IF(U12+$AS$5&lt;I12,I12,IF(U12+$AS$5&gt;M12,M12,U12+$AS$5)),0),$A$27:$A$246,1),2)</f>
        <v/>
      </c>
      <c r="AT12" s="311">
        <f>INDEX($A$27:$B$246,MATCH(IFERROR(IF(V12+$AS$5&lt;J12,J12,IF(V12+$AS$5&gt;N12,N12,V12+$AS$5)),0),$A$27:$A$246,1),2)</f>
        <v/>
      </c>
      <c r="AU12" s="311">
        <f>INDEX($A$27:$B$246,MATCH(IFERROR(IF(W12+$AS$5&lt;K12,K12,IF(W12+$AS$5&gt;O12,O12,W12+$AS$5)),0),$A$27:$A$246,1),2)</f>
        <v/>
      </c>
      <c r="AV12" s="311">
        <f>INDEX($A$27:$B$246,MATCH(IFERROR(IF(T12+$AW$5&lt;H12,H12,IF(T12+$AW$5&gt;L12,L12,T12+$AW$5)),0),$A$27:$A$246,1),2)</f>
        <v/>
      </c>
      <c r="AW12" s="311">
        <f>INDEX($A$27:$B$246,MATCH(IFERROR(IF(U12+$AW$5&lt;I12,I12,IF(U12+$AW$5&gt;M12,M12,U12+$AW$5)),0),$A$27:$A$246,1),2)</f>
        <v/>
      </c>
      <c r="AX12" s="311">
        <f>INDEX($A$27:$B$246,MATCH(IFERROR(IF(V12+$AW$5&lt;J12,J12,IF(V12+$AW$5&gt;N12,N12,V12+$AW$5)),0),$A$27:$A$246,1),2)</f>
        <v/>
      </c>
      <c r="AY12" s="311">
        <f>INDEX($A$27:$B$246,MATCH(IFERROR(IF(W12+$AW$5&lt;K12,K12,IF(W12+$AW$5&gt;O12,O12,W12+$AW$5)),0),$A$27:$A$246,1),2)</f>
        <v/>
      </c>
      <c r="AZ12" s="311">
        <f>INDEX($A$27:$B$246,MATCH(IFERROR(IF(T12+$BA$5&lt;H12,H12,IF(T12+$BA$5&gt;L12,L12,T12+$BA$5)),0),$A$27:$A$246,1),2)</f>
        <v/>
      </c>
      <c r="BA12" s="311">
        <f>INDEX($A$27:$B$246,MATCH(IFERROR(IF(U12+$BA$5&lt;I12,I12,IF(U12+$BA$5&gt;M12,M12,U12+$BA$5)),0),$A$27:$A$246,1),2)</f>
        <v/>
      </c>
      <c r="BB12" s="311">
        <f>INDEX($A$27:$B$246,MATCH(IFERROR(IF(V12+$BA$5&lt;J12,J12,IF(V12+$BA$5&gt;N12,N12,V12+$BA$5)),0),$A$27:$A$246,1),2)</f>
        <v/>
      </c>
      <c r="BC12" s="311">
        <f>INDEX($A$27:$B$246,MATCH(IFERROR(IF(W12+$BA$5&lt;K12,K12,IF(W12+$BA$5&gt;O12,O12,W12+$BA$5)),0),$A$27:$A$246,1),2)</f>
        <v/>
      </c>
      <c r="BD12" s="311" t="s">
        <v>8</v>
      </c>
      <c r="BE12" s="311" t="s">
        <v>8</v>
      </c>
      <c r="BF12" s="311" t="s">
        <v>8</v>
      </c>
      <c r="BG12" s="311" t="s">
        <v>8</v>
      </c>
      <c r="BI12" s="312" t="s">
        <v>40</v>
      </c>
      <c r="BJ12" s="108" t="s">
        <v>202</v>
      </c>
      <c r="BK12" s="108" t="s">
        <v>223</v>
      </c>
      <c r="BL12" s="108" t="n">
        <v>28</v>
      </c>
    </row>
    <row r="13" spans="1:64">
      <c r="A13" s="114" t="s">
        <v>126</v>
      </c>
      <c r="B13" s="114" t="s">
        <v>83</v>
      </c>
      <c r="D13" t="s">
        <v>47</v>
      </c>
      <c r="E13" s="34" t="s">
        <v>224</v>
      </c>
      <c r="F13" s="34" t="s">
        <v>219</v>
      </c>
      <c r="G13" s="34" t="n">
        <v>23</v>
      </c>
      <c r="H13" s="310" t="n">
        <v>1</v>
      </c>
      <c r="I13" s="310" t="n">
        <v>1</v>
      </c>
      <c r="J13" s="310" t="n">
        <v>1</v>
      </c>
      <c r="K13" s="310" t="n">
        <v>1</v>
      </c>
      <c r="L13" s="311">
        <f>H13*$B$1</f>
        <v/>
      </c>
      <c r="M13" s="311">
        <f>I13*$B$1</f>
        <v/>
      </c>
      <c r="N13" s="311">
        <f>J13*$B$1</f>
        <v/>
      </c>
      <c r="O13" s="311">
        <f>K13*$B$1</f>
        <v/>
      </c>
      <c r="P13" s="311">
        <f>IFERROR(MIN(VLOOKUP(E13,Detalle!A:AA,$P$6,0),VLOOKUP(E13,Detalle!A:AA,$P$7,0),VLOOKUP(E13,Detalle!A:AA,$P$4,0)),0)</f>
        <v/>
      </c>
      <c r="Q13" s="311">
        <f>IFERROR(MIN(VLOOKUP(E13,Detalle!A:AA,$Q$6,0),VLOOKUP(E13,Detalle!A:AA,$Q$7,0)),0)</f>
        <v/>
      </c>
      <c r="R13" s="311">
        <f>IFERROR(MIN(VLOOKUP(E13,Detalle!A:AA,$R$6,0),VLOOKUP(E13,Detalle!A:AA,$R$7,0)),0)</f>
        <v/>
      </c>
      <c r="S13" s="311">
        <f>IFERROR(MIN(VLOOKUP(E13,Detalle!A:AA,$S$6,0),VLOOKUP(E13,Detalle!A:AA,$S$7,0)),0)</f>
        <v/>
      </c>
      <c r="T13" s="311">
        <f>IFERROR(MAX(VLOOKUP(E13,Detalle!A:AA,$P$6,0),VLOOKUP(E13,Detalle!A:AA,$P$7,0),VLOOKUP(E13,Detalle!A:AA,$P$4,0)),0)</f>
        <v/>
      </c>
      <c r="U13" s="311">
        <f>IFERROR(MAX(VLOOKUP(E13,Detalle!A:AA,$Q$6,0),VLOOKUP(E13,Detalle!A:AA,$Q$7,0)),0)</f>
        <v/>
      </c>
      <c r="V13" s="311">
        <f>IFERROR(MAX(VLOOKUP(E13,Detalle!A:AA,$R$6,0),VLOOKUP(E13,Detalle!A:AA,$R$7,0)),0)</f>
        <v/>
      </c>
      <c r="W13" s="311">
        <f>IFERROR(MAX(VLOOKUP(E13,Detalle!A:AA,$S$6,0),VLOOKUP(E13,Detalle!A:AA,$S$7,0)),0)</f>
        <v/>
      </c>
      <c r="X13" s="311">
        <f>INDEX($A$27:$B$246,MATCH(IFERROR(IF(P13*(1+$Y$5)&lt;H13,H13,IF(P13*(1+$Y$5)&gt;L13,L13,P13*(1+$Y$5))),0),$A$27:$A$246,1),2)</f>
        <v/>
      </c>
      <c r="Y13" s="311">
        <f>INDEX($A$27:$B$246,MATCH(IFERROR(IF(Q13*(1+$Y$5)&lt;I13,I13,IF(Q13*(1+$Y$5)&gt;M13,M13,Q13*(1+$Y$5))),0),$A$27:$A$246,1),2)</f>
        <v/>
      </c>
      <c r="Z13" s="311">
        <f>INDEX($A$27:$B$246,MATCH(IFERROR(IF(R13*(1+$Y$5)&lt;J13,J13,IF(R13*(1+$Y$5)&gt;N13,N13,R13*(1+$Y$5))),0),$A$27:$A$246,1),2)</f>
        <v/>
      </c>
      <c r="AA13" s="311">
        <f>INDEX($A$27:$B$246,MATCH(IFERROR(IF(S13*(1+$Y$5)&lt;K13,K13,IF(S13*(1+$Y$5)&gt;O13,O13,S13*(1+$Y$5))),0),$A$27:$A$246,1),2)</f>
        <v/>
      </c>
      <c r="AB13" s="311">
        <f>INDEX($A$27:$B$246,MATCH(IFERROR(IF(P13-$AC$5&lt;H13,H13,IF(P13-$AC$5&gt;L13,L13,P13-$AC$5)),0),$A$27:$A$246,1),2)</f>
        <v/>
      </c>
      <c r="AC13" s="311">
        <f>INDEX($A$27:$B$246,MATCH(IFERROR(IF(Q13-$AC$5&lt;I13,I13,IF(Q13-$AC$5&gt;M13,M13,Q13-$AC$5)),0),$A$27:$A$246,1),2)</f>
        <v/>
      </c>
      <c r="AD13" s="311">
        <f>INDEX($A$27:$B$246,MATCH(IFERROR(IF(R13-$AC$5&lt;J13,J13,IF(R13-$AC$5&gt;N13,N13,R13-$AC$5)),0),$A$27:$A$246,1),2)</f>
        <v/>
      </c>
      <c r="AE13" s="311">
        <f>INDEX($A$27:$B$246,MATCH(IFERROR(IF(S13-$AC$5&lt;K13,K13,IF(S13-$AC$5&gt;O13,O13,S13-$AC$5)),0),$A$27:$A$246,1),2)</f>
        <v/>
      </c>
      <c r="AF13" s="311" t="s">
        <v>8</v>
      </c>
      <c r="AG13" s="311" t="s">
        <v>8</v>
      </c>
      <c r="AH13" s="311" t="s">
        <v>8</v>
      </c>
      <c r="AI13" s="311" t="s">
        <v>8</v>
      </c>
      <c r="AJ13" s="311">
        <f>INDEX($A$27:$B$246,MATCH(IFERROR(IF(T13&lt;H13,H13,IF(T13&gt;L13,L13,T13)),0),$A$27:$A$246,1),2)</f>
        <v/>
      </c>
      <c r="AK13" s="311">
        <f>INDEX($A$27:$B$246,MATCH(IFERROR(IF(U13&lt;I13,I13,IF(U13&gt;M13,M13,U13)),0),$A$27:$A$246,1),2)</f>
        <v/>
      </c>
      <c r="AL13" s="311">
        <f>INDEX($A$27:$B$246,MATCH(IFERROR(IF(V13&lt;J13,J13,IF(V13&gt;N13,N13,V13)),0),$A$27:$A$246,1),2)</f>
        <v/>
      </c>
      <c r="AM13" s="311">
        <f>INDEX($A$27:$B$246,MATCH(IFERROR(IF(W13&lt;K13,K13,IF(W13&gt;O13,O13,W13)),0),$A$27:$A$246,1),2)</f>
        <v/>
      </c>
      <c r="AN13" s="311">
        <f>INDEX($A$27:$B$246,MATCH(IFERROR(IF(T13&lt;H13,H13,IF(T13&gt;L13,L13,T13)),0),$A$27:$A$246,1),2)</f>
        <v/>
      </c>
      <c r="AO13" s="311">
        <f>INDEX($A$27:$B$246,MATCH(IFERROR(IF(U13&lt;I13,I13,IF(U13&gt;M13,M13,U13)),0),$A$27:$A$246,1),2)</f>
        <v/>
      </c>
      <c r="AP13" s="311">
        <f>INDEX($A$27:$B$246,MATCH(IFERROR(IF(V13&lt;J13,J13,IF(V13&gt;N13,N13,V13)),0),$A$27:$A$246,1),2)</f>
        <v/>
      </c>
      <c r="AQ13" s="311">
        <f>INDEX($A$27:$B$246,MATCH(IFERROR(IF(W13&lt;K13,K13,IF(W13&gt;O13,O13,W13)),0),$A$27:$A$246,1),2)</f>
        <v/>
      </c>
      <c r="AR13" s="311">
        <f>INDEX($A$27:$B$246,MATCH(IFERROR(IF(T13+$AS$5&lt;H13,H13,IF(T13+$AS$5&gt;L13,L13,T13+$AS$5)),0),$A$27:$A$246,1),2)</f>
        <v/>
      </c>
      <c r="AS13" s="311">
        <f>INDEX($A$27:$B$246,MATCH(IFERROR(IF(U13+$AS$5&lt;I13,I13,IF(U13+$AS$5&gt;M13,M13,U13+$AS$5)),0),$A$27:$A$246,1),2)</f>
        <v/>
      </c>
      <c r="AT13" s="311">
        <f>INDEX($A$27:$B$246,MATCH(IFERROR(IF(V13+$AS$5&lt;J13,J13,IF(V13+$AS$5&gt;N13,N13,V13+$AS$5)),0),$A$27:$A$246,1),2)</f>
        <v/>
      </c>
      <c r="AU13" s="311">
        <f>INDEX($A$27:$B$246,MATCH(IFERROR(IF(W13+$AS$5&lt;K13,K13,IF(W13+$AS$5&gt;O13,O13,W13+$AS$5)),0),$A$27:$A$246,1),2)</f>
        <v/>
      </c>
      <c r="AV13" s="311">
        <f>INDEX($A$27:$B$246,MATCH(IFERROR(IF(T13+$AW$5&lt;H13,H13,IF(T13+$AW$5&gt;L13,L13,T13+$AW$5)),0),$A$27:$A$246,1),2)</f>
        <v/>
      </c>
      <c r="AW13" s="311">
        <f>INDEX($A$27:$B$246,MATCH(IFERROR(IF(U13+$AW$5&lt;I13,I13,IF(U13+$AW$5&gt;M13,M13,U13+$AW$5)),0),$A$27:$A$246,1),2)</f>
        <v/>
      </c>
      <c r="AX13" s="311">
        <f>INDEX($A$27:$B$246,MATCH(IFERROR(IF(V13+$AW$5&lt;J13,J13,IF(V13+$AW$5&gt;N13,N13,V13+$AW$5)),0),$A$27:$A$246,1),2)</f>
        <v/>
      </c>
      <c r="AY13" s="311">
        <f>INDEX($A$27:$B$246,MATCH(IFERROR(IF(W13+$AW$5&lt;K13,K13,IF(W13+$AW$5&gt;O13,O13,W13+$AW$5)),0),$A$27:$A$246,1),2)</f>
        <v/>
      </c>
      <c r="AZ13" s="311">
        <f>INDEX($A$27:$B$246,MATCH(IFERROR(IF(T13+$BA$5&lt;H13,H13,IF(T13+$BA$5&gt;L13,L13,T13+$BA$5)),0),$A$27:$A$246,1),2)</f>
        <v/>
      </c>
      <c r="BA13" s="311">
        <f>INDEX($A$27:$B$246,MATCH(IFERROR(IF(U13+$BA$5&lt;I13,I13,IF(U13+$BA$5&gt;M13,M13,U13+$BA$5)),0),$A$27:$A$246,1),2)</f>
        <v/>
      </c>
      <c r="BB13" s="311">
        <f>INDEX($A$27:$B$246,MATCH(IFERROR(IF(V13+$BA$5&lt;J13,J13,IF(V13+$BA$5&gt;N13,N13,V13+$BA$5)),0),$A$27:$A$246,1),2)</f>
        <v/>
      </c>
      <c r="BC13" s="311">
        <f>INDEX($A$27:$B$246,MATCH(IFERROR(IF(W13+$BA$5&lt;K13,K13,IF(W13+$BA$5&gt;O13,O13,W13+$BA$5)),0),$A$27:$A$246,1),2)</f>
        <v/>
      </c>
      <c r="BD13" s="311" t="s">
        <v>8</v>
      </c>
      <c r="BE13" s="311" t="s">
        <v>8</v>
      </c>
      <c r="BF13" s="311" t="s">
        <v>8</v>
      </c>
      <c r="BG13" s="311" t="s">
        <v>8</v>
      </c>
      <c r="BI13" s="312" t="s">
        <v>40</v>
      </c>
      <c r="BJ13" s="108" t="s">
        <v>203</v>
      </c>
      <c r="BK13" s="108" t="s">
        <v>225</v>
      </c>
      <c r="BL13" s="108" t="n">
        <v>32</v>
      </c>
    </row>
    <row r="14" spans="1:64">
      <c r="A14" s="114" t="s">
        <v>226</v>
      </c>
      <c r="B14" s="114" t="s">
        <v>98</v>
      </c>
      <c r="D14" t="s">
        <v>50</v>
      </c>
      <c r="E14" s="34" t="s">
        <v>50</v>
      </c>
      <c r="F14" s="34" t="s">
        <v>227</v>
      </c>
      <c r="G14" s="34" t="n">
        <v>295</v>
      </c>
      <c r="H14" s="310" t="n">
        <v>1</v>
      </c>
      <c r="I14" s="310" t="n">
        <v>1</v>
      </c>
      <c r="J14" s="310" t="n">
        <v>1</v>
      </c>
      <c r="K14" s="310" t="n">
        <v>1</v>
      </c>
      <c r="L14" s="311">
        <f>H14*$B$1</f>
        <v/>
      </c>
      <c r="M14" s="311">
        <f>I14*$B$1</f>
        <v/>
      </c>
      <c r="N14" s="311">
        <f>J14*$B$1</f>
        <v/>
      </c>
      <c r="O14" s="311">
        <f>K14*$B$1</f>
        <v/>
      </c>
      <c r="P14" s="311">
        <f>IFERROR(MIN(VLOOKUP(E14,Detalle!A:AA,$P$6,0),VLOOKUP(E14,Detalle!A:AA,$P$7,0),VLOOKUP(E14,Detalle!A:AA,$P$4,0)),0)</f>
        <v/>
      </c>
      <c r="Q14" s="311">
        <f>IFERROR(MIN(VLOOKUP(E14,Detalle!A:AA,$Q$6,0),VLOOKUP(E14,Detalle!A:AA,$Q$7,0)),0)</f>
        <v/>
      </c>
      <c r="R14" s="311">
        <f>IFERROR(MIN(VLOOKUP(E14,Detalle!A:AA,$R$6,0),VLOOKUP(E14,Detalle!A:AA,$R$7,0)),0)</f>
        <v/>
      </c>
      <c r="S14" s="311">
        <f>IFERROR(MIN(VLOOKUP(E14,Detalle!A:AA,$S$6,0),VLOOKUP(E14,Detalle!A:AA,$S$7,0)),0)</f>
        <v/>
      </c>
      <c r="T14" s="311">
        <f>IFERROR(MAX(VLOOKUP(E14,Detalle!A:AA,$P$6,0),VLOOKUP(E14,Detalle!A:AA,$P$7,0),VLOOKUP(E14,Detalle!A:AA,$P$4,0)),0)</f>
        <v/>
      </c>
      <c r="U14" s="311">
        <f>IFERROR(MAX(VLOOKUP(E14,Detalle!A:AA,$Q$6,0),VLOOKUP(E14,Detalle!A:AA,$Q$7,0)),0)</f>
        <v/>
      </c>
      <c r="V14" s="311">
        <f>IFERROR(MAX(VLOOKUP(E14,Detalle!A:AA,$R$6,0),VLOOKUP(E14,Detalle!A:AA,$R$7,0)),0)</f>
        <v/>
      </c>
      <c r="W14" s="311">
        <f>IFERROR(MAX(VLOOKUP(E14,Detalle!A:AA,$S$6,0),VLOOKUP(E14,Detalle!A:AA,$S$7,0)),0)</f>
        <v/>
      </c>
      <c r="X14" s="311">
        <f>INDEX($A$27:$B$246,MATCH(IFERROR(IF(P14*(1+$Y$5)&lt;H14,H14,IF(P14*(1+$Y$5)&gt;L14,L14,P14*(1+$Y$5))),0),$A$27:$A$246,1),2)</f>
        <v/>
      </c>
      <c r="Y14" s="311">
        <f>INDEX($A$27:$B$246,MATCH(IFERROR(IF(Q14*(1+$Y$5)&lt;I14,I14,IF(Q14*(1+$Y$5)&gt;M14,M14,Q14*(1+$Y$5))),0),$A$27:$A$246,1),2)</f>
        <v/>
      </c>
      <c r="Z14" s="311">
        <f>INDEX($A$27:$B$246,MATCH(IFERROR(IF(R14*(1+$Y$5)&lt;J14,J14,IF(R14*(1+$Y$5)&gt;N14,N14,R14*(1+$Y$5))),0),$A$27:$A$246,1),2)</f>
        <v/>
      </c>
      <c r="AA14" s="311">
        <f>INDEX($A$27:$B$246,MATCH(IFERROR(IF(S14*(1+$Y$5)&lt;K14,K14,IF(S14*(1+$Y$5)&gt;O14,O14,S14*(1+$Y$5))),0),$A$27:$A$246,1),2)</f>
        <v/>
      </c>
      <c r="AB14" s="311">
        <f>INDEX($A$27:$B$246,MATCH(IFERROR(IF(P14-$AC$5&lt;H14,H14,IF(P14-$AC$5&gt;L14,L14,P14-$AC$5)),0),$A$27:$A$246,1),2)</f>
        <v/>
      </c>
      <c r="AC14" s="311">
        <f>INDEX($A$27:$B$246,MATCH(IFERROR(IF(Q14-$AC$5&lt;I14,I14,IF(Q14-$AC$5&gt;M14,M14,Q14-$AC$5)),0),$A$27:$A$246,1),2)</f>
        <v/>
      </c>
      <c r="AD14" s="311">
        <f>INDEX($A$27:$B$246,MATCH(IFERROR(IF(R14-$AC$5&lt;J14,J14,IF(R14-$AC$5&gt;N14,N14,R14-$AC$5)),0),$A$27:$A$246,1),2)</f>
        <v/>
      </c>
      <c r="AE14" s="311">
        <f>INDEX($A$27:$B$246,MATCH(IFERROR(IF(S14-$AC$5&lt;K14,K14,IF(S14-$AC$5&gt;O14,O14,S14-$AC$5)),0),$A$27:$A$246,1),2)</f>
        <v/>
      </c>
      <c r="AF14" s="311" t="s">
        <v>8</v>
      </c>
      <c r="AG14" s="311" t="s">
        <v>8</v>
      </c>
      <c r="AH14" s="311" t="s">
        <v>8</v>
      </c>
      <c r="AI14" s="311" t="s">
        <v>8</v>
      </c>
      <c r="AJ14" s="311">
        <f>INDEX($A$27:$B$246,MATCH(IFERROR(IF(T14&lt;H14,H14,IF(T14&gt;L14,L14,T14)),0),$A$27:$A$246,1),2)</f>
        <v/>
      </c>
      <c r="AK14" s="311">
        <f>INDEX($A$27:$B$246,MATCH(IFERROR(IF(U14&lt;I14,I14,IF(U14&gt;M14,M14,U14)),0),$A$27:$A$246,1),2)</f>
        <v/>
      </c>
      <c r="AL14" s="311">
        <f>INDEX($A$27:$B$246,MATCH(IFERROR(IF(V14&lt;J14,J14,IF(V14&gt;N14,N14,V14)),0),$A$27:$A$246,1),2)</f>
        <v/>
      </c>
      <c r="AM14" s="311">
        <f>INDEX($A$27:$B$246,MATCH(IFERROR(IF(W14&lt;K14,K14,IF(W14&gt;O14,O14,W14)),0),$A$27:$A$246,1),2)</f>
        <v/>
      </c>
      <c r="AN14" s="311">
        <f>INDEX($A$27:$B$246,MATCH(IFERROR(IF(T14&lt;H14,H14,IF(T14&gt;L14,L14,T14)),0),$A$27:$A$246,1),2)</f>
        <v/>
      </c>
      <c r="AO14" s="311">
        <f>INDEX($A$27:$B$246,MATCH(IFERROR(IF(U14&lt;I14,I14,IF(U14&gt;M14,M14,U14)),0),$A$27:$A$246,1),2)</f>
        <v/>
      </c>
      <c r="AP14" s="311">
        <f>INDEX($A$27:$B$246,MATCH(IFERROR(IF(V14&lt;J14,J14,IF(V14&gt;N14,N14,V14)),0),$A$27:$A$246,1),2)</f>
        <v/>
      </c>
      <c r="AQ14" s="311">
        <f>INDEX($A$27:$B$246,MATCH(IFERROR(IF(W14&lt;K14,K14,IF(W14&gt;O14,O14,W14)),0),$A$27:$A$246,1),2)</f>
        <v/>
      </c>
      <c r="AR14" s="311">
        <f>INDEX($A$27:$B$246,MATCH(IFERROR(IF(T14+$AS$5&lt;H14,H14,IF(T14+$AS$5&gt;L14,L14,T14+$AS$5)),0),$A$27:$A$246,1),2)</f>
        <v/>
      </c>
      <c r="AS14" s="311">
        <f>INDEX($A$27:$B$246,MATCH(IFERROR(IF(U14+$AS$5&lt;I14,I14,IF(U14+$AS$5&gt;M14,M14,U14+$AS$5)),0),$A$27:$A$246,1),2)</f>
        <v/>
      </c>
      <c r="AT14" s="311">
        <f>INDEX($A$27:$B$246,MATCH(IFERROR(IF(V14+$AS$5&lt;J14,J14,IF(V14+$AS$5&gt;N14,N14,V14+$AS$5)),0),$A$27:$A$246,1),2)</f>
        <v/>
      </c>
      <c r="AU14" s="311">
        <f>INDEX($A$27:$B$246,MATCH(IFERROR(IF(W14+$AS$5&lt;K14,K14,IF(W14+$AS$5&gt;O14,O14,W14+$AS$5)),0),$A$27:$A$246,1),2)</f>
        <v/>
      </c>
      <c r="AV14" s="311">
        <f>INDEX($A$27:$B$246,MATCH(IFERROR(IF(T14+$AW$5&lt;H14,H14,IF(T14+$AW$5&gt;L14,L14,T14+$AW$5)),0),$A$27:$A$246,1),2)</f>
        <v/>
      </c>
      <c r="AW14" s="311">
        <f>INDEX($A$27:$B$246,MATCH(IFERROR(IF(U14+$AW$5&lt;I14,I14,IF(U14+$AW$5&gt;M14,M14,U14+$AW$5)),0),$A$27:$A$246,1),2)</f>
        <v/>
      </c>
      <c r="AX14" s="311">
        <f>INDEX($A$27:$B$246,MATCH(IFERROR(IF(V14+$AW$5&lt;J14,J14,IF(V14+$AW$5&gt;N14,N14,V14+$AW$5)),0),$A$27:$A$246,1),2)</f>
        <v/>
      </c>
      <c r="AY14" s="311">
        <f>INDEX($A$27:$B$246,MATCH(IFERROR(IF(W14+$AW$5&lt;K14,K14,IF(W14+$AW$5&gt;O14,O14,W14+$AW$5)),0),$A$27:$A$246,1),2)</f>
        <v/>
      </c>
      <c r="AZ14" s="311">
        <f>INDEX($A$27:$B$246,MATCH(IFERROR(IF(T14+$BA$5&lt;H14,H14,IF(T14+$BA$5&gt;L14,L14,T14+$BA$5)),0),$A$27:$A$246,1),2)</f>
        <v/>
      </c>
      <c r="BA14" s="311">
        <f>INDEX($A$27:$B$246,MATCH(IFERROR(IF(U14+$BA$5&lt;I14,I14,IF(U14+$BA$5&gt;M14,M14,U14+$BA$5)),0),$A$27:$A$246,1),2)</f>
        <v/>
      </c>
      <c r="BB14" s="311">
        <f>INDEX($A$27:$B$246,MATCH(IFERROR(IF(V14+$BA$5&lt;J14,J14,IF(V14+$BA$5&gt;N14,N14,V14+$BA$5)),0),$A$27:$A$246,1),2)</f>
        <v/>
      </c>
      <c r="BC14" s="311">
        <f>INDEX($A$27:$B$246,MATCH(IFERROR(IF(W14+$BA$5&lt;K14,K14,IF(W14+$BA$5&gt;O14,O14,W14+$BA$5)),0),$A$27:$A$246,1),2)</f>
        <v/>
      </c>
      <c r="BD14" s="311" t="s">
        <v>8</v>
      </c>
      <c r="BE14" s="311" t="s">
        <v>8</v>
      </c>
      <c r="BF14" s="311" t="s">
        <v>8</v>
      </c>
      <c r="BG14" s="311" t="s">
        <v>8</v>
      </c>
      <c r="BI14" s="312" t="s">
        <v>40</v>
      </c>
      <c r="BJ14" s="108" t="s">
        <v>204</v>
      </c>
      <c r="BK14" s="108" t="s">
        <v>228</v>
      </c>
      <c r="BL14" s="108" t="n">
        <v>36</v>
      </c>
    </row>
    <row r="15" spans="1:64">
      <c r="A15" s="114" t="s">
        <v>136</v>
      </c>
      <c r="B15" s="114" t="s">
        <v>104</v>
      </c>
      <c r="D15" t="s">
        <v>52</v>
      </c>
      <c r="E15" s="34" t="s">
        <v>52</v>
      </c>
      <c r="F15" s="34" t="s">
        <v>219</v>
      </c>
      <c r="G15" s="34" t="n">
        <v>34</v>
      </c>
      <c r="H15" s="310" t="n">
        <v>1</v>
      </c>
      <c r="I15" s="310" t="n">
        <v>1</v>
      </c>
      <c r="J15" s="310" t="n">
        <v>1</v>
      </c>
      <c r="K15" s="310" t="n">
        <v>1</v>
      </c>
      <c r="L15" s="311">
        <f>H15*$B$1</f>
        <v/>
      </c>
      <c r="M15" s="311">
        <f>I15*$B$1</f>
        <v/>
      </c>
      <c r="N15" s="311">
        <f>J15*$B$1</f>
        <v/>
      </c>
      <c r="O15" s="311">
        <f>K15*$B$1</f>
        <v/>
      </c>
      <c r="P15" s="311">
        <f>IFERROR(MIN(VLOOKUP(E15,Detalle!A:AA,$P$6,0),VLOOKUP(E15,Detalle!A:AA,$P$7,0),VLOOKUP(E15,Detalle!A:AA,$P$4,0)),0)</f>
        <v/>
      </c>
      <c r="Q15" s="311">
        <f>IFERROR(MIN(VLOOKUP(E15,Detalle!A:AA,$Q$6,0),VLOOKUP(E15,Detalle!A:AA,$Q$7,0)),0)</f>
        <v/>
      </c>
      <c r="R15" s="311">
        <f>IFERROR(MIN(VLOOKUP(E15,Detalle!A:AA,$R$6,0),VLOOKUP(E15,Detalle!A:AA,$R$7,0)),0)</f>
        <v/>
      </c>
      <c r="S15" s="311">
        <f>IFERROR(MIN(VLOOKUP(E15,Detalle!A:AA,$S$6,0),VLOOKUP(E15,Detalle!A:AA,$S$7,0)),0)</f>
        <v/>
      </c>
      <c r="T15" s="311">
        <f>IFERROR(MAX(VLOOKUP(E15,Detalle!A:AA,$P$6,0),VLOOKUP(E15,Detalle!A:AA,$P$7,0),VLOOKUP(E15,Detalle!A:AA,$P$4,0)),0)</f>
        <v/>
      </c>
      <c r="U15" s="311">
        <f>IFERROR(MAX(VLOOKUP(E15,Detalle!A:AA,$Q$6,0),VLOOKUP(E15,Detalle!A:AA,$Q$7,0)),0)</f>
        <v/>
      </c>
      <c r="V15" s="311">
        <f>IFERROR(MAX(VLOOKUP(E15,Detalle!A:AA,$R$6,0),VLOOKUP(E15,Detalle!A:AA,$R$7,0)),0)</f>
        <v/>
      </c>
      <c r="W15" s="311">
        <f>IFERROR(MAX(VLOOKUP(E15,Detalle!A:AA,$S$6,0),VLOOKUP(E15,Detalle!A:AA,$S$7,0)),0)</f>
        <v/>
      </c>
      <c r="X15" s="311">
        <f>INDEX($A$27:$B$246,MATCH(IFERROR(IF(P15*(1+$Y$5)&lt;H15,H15,IF(P15*(1+$Y$5)&gt;L15,L15,P15*(1+$Y$5))),0),$A$27:$A$246,1),2)</f>
        <v/>
      </c>
      <c r="Y15" s="311">
        <f>INDEX($A$27:$B$246,MATCH(IFERROR(IF(Q15*(1+$Y$5)&lt;I15,I15,IF(Q15*(1+$Y$5)&gt;M15,M15,Q15*(1+$Y$5))),0),$A$27:$A$246,1),2)</f>
        <v/>
      </c>
      <c r="Z15" s="311">
        <f>INDEX($A$27:$B$246,MATCH(IFERROR(IF(R15*(1+$Y$5)&lt;J15,J15,IF(R15*(1+$Y$5)&gt;N15,N15,R15*(1+$Y$5))),0),$A$27:$A$246,1),2)</f>
        <v/>
      </c>
      <c r="AA15" s="311">
        <f>INDEX($A$27:$B$246,MATCH(IFERROR(IF(S15*(1+$Y$5)&lt;K15,K15,IF(S15*(1+$Y$5)&gt;O15,O15,S15*(1+$Y$5))),0),$A$27:$A$246,1),2)</f>
        <v/>
      </c>
      <c r="AB15" s="311">
        <f>INDEX($A$27:$B$246,MATCH(IFERROR(IF(P15-$AC$5&lt;H15,H15,IF(P15-$AC$5&gt;L15,L15,P15-$AC$5)),0),$A$27:$A$246,1),2)</f>
        <v/>
      </c>
      <c r="AC15" s="311">
        <f>INDEX($A$27:$B$246,MATCH(IFERROR(IF(Q15-$AC$5&lt;I15,I15,IF(Q15-$AC$5&gt;M15,M15,Q15-$AC$5)),0),$A$27:$A$246,1),2)</f>
        <v/>
      </c>
      <c r="AD15" s="311">
        <f>INDEX($A$27:$B$246,MATCH(IFERROR(IF(R15-$AC$5&lt;J15,J15,IF(R15-$AC$5&gt;N15,N15,R15-$AC$5)),0),$A$27:$A$246,1),2)</f>
        <v/>
      </c>
      <c r="AE15" s="311">
        <f>INDEX($A$27:$B$246,MATCH(IFERROR(IF(S15-$AC$5&lt;K15,K15,IF(S15-$AC$5&gt;O15,O15,S15-$AC$5)),0),$A$27:$A$246,1),2)</f>
        <v/>
      </c>
      <c r="AF15" s="311" t="s">
        <v>8</v>
      </c>
      <c r="AG15" s="311" t="s">
        <v>8</v>
      </c>
      <c r="AH15" s="311" t="s">
        <v>8</v>
      </c>
      <c r="AI15" s="311" t="s">
        <v>8</v>
      </c>
      <c r="AJ15" s="311">
        <f>INDEX($A$27:$B$246,MATCH(IFERROR(IF(T15&lt;H15,H15,IF(T15&gt;L15,L15,T15)),0),$A$27:$A$246,1),2)</f>
        <v/>
      </c>
      <c r="AK15" s="311">
        <f>INDEX($A$27:$B$246,MATCH(IFERROR(IF(U15&lt;I15,I15,IF(U15&gt;M15,M15,U15)),0),$A$27:$A$246,1),2)</f>
        <v/>
      </c>
      <c r="AL15" s="311">
        <f>INDEX($A$27:$B$246,MATCH(IFERROR(IF(V15&lt;J15,J15,IF(V15&gt;N15,N15,V15)),0),$A$27:$A$246,1),2)</f>
        <v/>
      </c>
      <c r="AM15" s="311">
        <f>INDEX($A$27:$B$246,MATCH(IFERROR(IF(W15&lt;K15,K15,IF(W15&gt;O15,O15,W15)),0),$A$27:$A$246,1),2)</f>
        <v/>
      </c>
      <c r="AN15" s="311">
        <f>INDEX($A$27:$B$246,MATCH(IFERROR(IF(T15&lt;H15,H15,IF(T15&gt;L15,L15,T15)),0),$A$27:$A$246,1),2)</f>
        <v/>
      </c>
      <c r="AO15" s="311">
        <f>INDEX($A$27:$B$246,MATCH(IFERROR(IF(U15&lt;I15,I15,IF(U15&gt;M15,M15,U15)),0),$A$27:$A$246,1),2)</f>
        <v/>
      </c>
      <c r="AP15" s="311">
        <f>INDEX($A$27:$B$246,MATCH(IFERROR(IF(V15&lt;J15,J15,IF(V15&gt;N15,N15,V15)),0),$A$27:$A$246,1),2)</f>
        <v/>
      </c>
      <c r="AQ15" s="311">
        <f>INDEX($A$27:$B$246,MATCH(IFERROR(IF(W15&lt;K15,K15,IF(W15&gt;O15,O15,W15)),0),$A$27:$A$246,1),2)</f>
        <v/>
      </c>
      <c r="AR15" s="311">
        <f>INDEX($A$27:$B$246,MATCH(IFERROR(IF(T15+$AS$5&lt;H15,H15,IF(T15+$AS$5&gt;L15,L15,T15+$AS$5)),0),$A$27:$A$246,1),2)</f>
        <v/>
      </c>
      <c r="AS15" s="311">
        <f>INDEX($A$27:$B$246,MATCH(IFERROR(IF(U15+$AS$5&lt;I15,I15,IF(U15+$AS$5&gt;M15,M15,U15+$AS$5)),0),$A$27:$A$246,1),2)</f>
        <v/>
      </c>
      <c r="AT15" s="311">
        <f>INDEX($A$27:$B$246,MATCH(IFERROR(IF(V15+$AS$5&lt;J15,J15,IF(V15+$AS$5&gt;N15,N15,V15+$AS$5)),0),$A$27:$A$246,1),2)</f>
        <v/>
      </c>
      <c r="AU15" s="311">
        <f>INDEX($A$27:$B$246,MATCH(IFERROR(IF(W15+$AS$5&lt;K15,K15,IF(W15+$AS$5&gt;O15,O15,W15+$AS$5)),0),$A$27:$A$246,1),2)</f>
        <v/>
      </c>
      <c r="AV15" s="311">
        <f>INDEX($A$27:$B$246,MATCH(IFERROR(IF(T15+$AW$5&lt;H15,H15,IF(T15+$AW$5&gt;L15,L15,T15+$AW$5)),0),$A$27:$A$246,1),2)</f>
        <v/>
      </c>
      <c r="AW15" s="311">
        <f>INDEX($A$27:$B$246,MATCH(IFERROR(IF(U15+$AW$5&lt;I15,I15,IF(U15+$AW$5&gt;M15,M15,U15+$AW$5)),0),$A$27:$A$246,1),2)</f>
        <v/>
      </c>
      <c r="AX15" s="311">
        <f>INDEX($A$27:$B$246,MATCH(IFERROR(IF(V15+$AW$5&lt;J15,J15,IF(V15+$AW$5&gt;N15,N15,V15+$AW$5)),0),$A$27:$A$246,1),2)</f>
        <v/>
      </c>
      <c r="AY15" s="311">
        <f>INDEX($A$27:$B$246,MATCH(IFERROR(IF(W15+$AW$5&lt;K15,K15,IF(W15+$AW$5&gt;O15,O15,W15+$AW$5)),0),$A$27:$A$246,1),2)</f>
        <v/>
      </c>
      <c r="AZ15" s="311">
        <f>INDEX($A$27:$B$246,MATCH(IFERROR(IF(T15+$BA$5&lt;H15,H15,IF(T15+$BA$5&gt;L15,L15,T15+$BA$5)),0),$A$27:$A$246,1),2)</f>
        <v/>
      </c>
      <c r="BA15" s="311">
        <f>INDEX($A$27:$B$246,MATCH(IFERROR(IF(U15+$BA$5&lt;I15,I15,IF(U15+$BA$5&gt;M15,M15,U15+$BA$5)),0),$A$27:$A$246,1),2)</f>
        <v/>
      </c>
      <c r="BB15" s="311">
        <f>INDEX($A$27:$B$246,MATCH(IFERROR(IF(V15+$BA$5&lt;J15,J15,IF(V15+$BA$5&gt;N15,N15,V15+$BA$5)),0),$A$27:$A$246,1),2)</f>
        <v/>
      </c>
      <c r="BC15" s="311">
        <f>INDEX($A$27:$B$246,MATCH(IFERROR(IF(W15+$BA$5&lt;K15,K15,IF(W15+$BA$5&gt;O15,O15,W15+$BA$5)),0),$A$27:$A$246,1),2)</f>
        <v/>
      </c>
      <c r="BD15" s="311" t="s">
        <v>8</v>
      </c>
      <c r="BE15" s="311" t="s">
        <v>8</v>
      </c>
      <c r="BF15" s="311" t="s">
        <v>8</v>
      </c>
      <c r="BG15" s="311" t="s">
        <v>8</v>
      </c>
      <c r="BI15" s="312" t="s">
        <v>40</v>
      </c>
      <c r="BJ15" s="108" t="s">
        <v>205</v>
      </c>
      <c r="BK15" s="108" t="s">
        <v>229</v>
      </c>
      <c r="BL15" s="108" t="n">
        <v>40</v>
      </c>
    </row>
    <row r="16" spans="1:64">
      <c r="A16" s="114" t="s">
        <v>116</v>
      </c>
      <c r="B16" s="114" t="s">
        <v>61</v>
      </c>
      <c r="D16" t="s">
        <v>54</v>
      </c>
      <c r="E16" s="34" t="s">
        <v>54</v>
      </c>
      <c r="F16" s="34" t="s">
        <v>219</v>
      </c>
      <c r="G16" s="34" t="n">
        <v>37</v>
      </c>
      <c r="H16" s="310" t="n">
        <v>1</v>
      </c>
      <c r="I16" s="310" t="n">
        <v>1</v>
      </c>
      <c r="J16" s="310" t="n">
        <v>1</v>
      </c>
      <c r="K16" s="310" t="n">
        <v>1</v>
      </c>
      <c r="L16" s="311">
        <f>H16*$B$1</f>
        <v/>
      </c>
      <c r="M16" s="311">
        <f>I16*$B$1</f>
        <v/>
      </c>
      <c r="N16" s="311">
        <f>J16*$B$1</f>
        <v/>
      </c>
      <c r="O16" s="311">
        <f>K16*$B$1</f>
        <v/>
      </c>
      <c r="P16" s="311">
        <f>IFERROR(MIN(VLOOKUP(E16,Detalle!A:AA,$P$6,0),VLOOKUP(E16,Detalle!A:AA,$P$7,0),VLOOKUP(E16,Detalle!A:AA,$P$4,0)),0)</f>
        <v/>
      </c>
      <c r="Q16" s="311">
        <f>IFERROR(MIN(VLOOKUP(E16,Detalle!A:AA,$Q$6,0),VLOOKUP(E16,Detalle!A:AA,$Q$7,0)),0)</f>
        <v/>
      </c>
      <c r="R16" s="311">
        <f>IFERROR(MIN(VLOOKUP(E16,Detalle!A:AA,$R$6,0),VLOOKUP(E16,Detalle!A:AA,$R$7,0)),0)</f>
        <v/>
      </c>
      <c r="S16" s="311">
        <f>IFERROR(MIN(VLOOKUP(E16,Detalle!A:AA,$S$6,0),VLOOKUP(E16,Detalle!A:AA,$S$7,0)),0)</f>
        <v/>
      </c>
      <c r="T16" s="311">
        <f>IFERROR(MAX(VLOOKUP(E16,Detalle!A:AA,$P$6,0),VLOOKUP(E16,Detalle!A:AA,$P$7,0),VLOOKUP(E16,Detalle!A:AA,$P$4,0)),0)</f>
        <v/>
      </c>
      <c r="U16" s="311">
        <f>IFERROR(MAX(VLOOKUP(E16,Detalle!A:AA,$Q$6,0),VLOOKUP(E16,Detalle!A:AA,$Q$7,0)),0)</f>
        <v/>
      </c>
      <c r="V16" s="311">
        <f>IFERROR(MAX(VLOOKUP(E16,Detalle!A:AA,$R$6,0),VLOOKUP(E16,Detalle!A:AA,$R$7,0)),0)</f>
        <v/>
      </c>
      <c r="W16" s="311">
        <f>IFERROR(MAX(VLOOKUP(E16,Detalle!A:AA,$S$6,0),VLOOKUP(E16,Detalle!A:AA,$S$7,0)),0)</f>
        <v/>
      </c>
      <c r="X16" s="311">
        <f>INDEX($A$27:$B$246,MATCH(IFERROR(IF(P16*(1+$Y$5)&lt;H16,H16,IF(P16*(1+$Y$5)&gt;L16,L16,P16*(1+$Y$5))),0),$A$27:$A$246,1),2)</f>
        <v/>
      </c>
      <c r="Y16" s="311">
        <f>INDEX($A$27:$B$246,MATCH(IFERROR(IF(Q16*(1+$Y$5)&lt;I16,I16,IF(Q16*(1+$Y$5)&gt;M16,M16,Q16*(1+$Y$5))),0),$A$27:$A$246,1),2)</f>
        <v/>
      </c>
      <c r="Z16" s="311">
        <f>INDEX($A$27:$B$246,MATCH(IFERROR(IF(R16*(1+$Y$5)&lt;J16,J16,IF(R16*(1+$Y$5)&gt;N16,N16,R16*(1+$Y$5))),0),$A$27:$A$246,1),2)</f>
        <v/>
      </c>
      <c r="AA16" s="311">
        <f>INDEX($A$27:$B$246,MATCH(IFERROR(IF(S16*(1+$Y$5)&lt;K16,K16,IF(S16*(1+$Y$5)&gt;O16,O16,S16*(1+$Y$5))),0),$A$27:$A$246,1),2)</f>
        <v/>
      </c>
      <c r="AB16" s="311">
        <f>INDEX($A$27:$B$246,MATCH(IFERROR(IF(P16-$AC$5&lt;H16,H16,IF(P16-$AC$5&gt;L16,L16,P16-$AC$5)),0),$A$27:$A$246,1),2)</f>
        <v/>
      </c>
      <c r="AC16" s="311">
        <f>INDEX($A$27:$B$246,MATCH(IFERROR(IF(Q16-$AC$5&lt;I16,I16,IF(Q16-$AC$5&gt;M16,M16,Q16-$AC$5)),0),$A$27:$A$246,1),2)</f>
        <v/>
      </c>
      <c r="AD16" s="311">
        <f>INDEX($A$27:$B$246,MATCH(IFERROR(IF(R16-$AC$5&lt;J16,J16,IF(R16-$AC$5&gt;N16,N16,R16-$AC$5)),0),$A$27:$A$246,1),2)</f>
        <v/>
      </c>
      <c r="AE16" s="311">
        <f>INDEX($A$27:$B$246,MATCH(IFERROR(IF(S16-$AC$5&lt;K16,K16,IF(S16-$AC$5&gt;O16,O16,S16-$AC$5)),0),$A$27:$A$246,1),2)</f>
        <v/>
      </c>
      <c r="AF16" s="311" t="s">
        <v>8</v>
      </c>
      <c r="AG16" s="311" t="s">
        <v>8</v>
      </c>
      <c r="AH16" s="311" t="s">
        <v>8</v>
      </c>
      <c r="AI16" s="311" t="s">
        <v>8</v>
      </c>
      <c r="AJ16" s="311">
        <f>INDEX($A$27:$B$246,MATCH(IFERROR(IF(T16&lt;H16,H16,IF(T16&gt;L16,L16,T16)),0),$A$27:$A$246,1),2)</f>
        <v/>
      </c>
      <c r="AK16" s="311">
        <f>INDEX($A$27:$B$246,MATCH(IFERROR(IF(U16&lt;I16,I16,IF(U16&gt;M16,M16,U16)),0),$A$27:$A$246,1),2)</f>
        <v/>
      </c>
      <c r="AL16" s="311">
        <f>INDEX($A$27:$B$246,MATCH(IFERROR(IF(V16&lt;J16,J16,IF(V16&gt;N16,N16,V16)),0),$A$27:$A$246,1),2)</f>
        <v/>
      </c>
      <c r="AM16" s="311">
        <f>INDEX($A$27:$B$246,MATCH(IFERROR(IF(W16&lt;K16,K16,IF(W16&gt;O16,O16,W16)),0),$A$27:$A$246,1),2)</f>
        <v/>
      </c>
      <c r="AN16" s="311">
        <f>INDEX($A$27:$B$246,MATCH(IFERROR(IF(T16&lt;H16,H16,IF(T16&gt;L16,L16,T16)),0),$A$27:$A$246,1),2)</f>
        <v/>
      </c>
      <c r="AO16" s="311">
        <f>INDEX($A$27:$B$246,MATCH(IFERROR(IF(U16&lt;I16,I16,IF(U16&gt;M16,M16,U16)),0),$A$27:$A$246,1),2)</f>
        <v/>
      </c>
      <c r="AP16" s="311">
        <f>INDEX($A$27:$B$246,MATCH(IFERROR(IF(V16&lt;J16,J16,IF(V16&gt;N16,N16,V16)),0),$A$27:$A$246,1),2)</f>
        <v/>
      </c>
      <c r="AQ16" s="311">
        <f>INDEX($A$27:$B$246,MATCH(IFERROR(IF(W16&lt;K16,K16,IF(W16&gt;O16,O16,W16)),0),$A$27:$A$246,1),2)</f>
        <v/>
      </c>
      <c r="AR16" s="311">
        <f>INDEX($A$27:$B$246,MATCH(IFERROR(IF(T16+$AS$5&lt;H16,H16,IF(T16+$AS$5&gt;L16,L16,T16+$AS$5)),0),$A$27:$A$246,1),2)</f>
        <v/>
      </c>
      <c r="AS16" s="311">
        <f>INDEX($A$27:$B$246,MATCH(IFERROR(IF(U16+$AS$5&lt;I16,I16,IF(U16+$AS$5&gt;M16,M16,U16+$AS$5)),0),$A$27:$A$246,1),2)</f>
        <v/>
      </c>
      <c r="AT16" s="311">
        <f>INDEX($A$27:$B$246,MATCH(IFERROR(IF(V16+$AS$5&lt;J16,J16,IF(V16+$AS$5&gt;N16,N16,V16+$AS$5)),0),$A$27:$A$246,1),2)</f>
        <v/>
      </c>
      <c r="AU16" s="311">
        <f>INDEX($A$27:$B$246,MATCH(IFERROR(IF(W16+$AS$5&lt;K16,K16,IF(W16+$AS$5&gt;O16,O16,W16+$AS$5)),0),$A$27:$A$246,1),2)</f>
        <v/>
      </c>
      <c r="AV16" s="311">
        <f>INDEX($A$27:$B$246,MATCH(IFERROR(IF(T16+$AW$5&lt;H16,H16,IF(T16+$AW$5&gt;L16,L16,T16+$AW$5)),0),$A$27:$A$246,1),2)</f>
        <v/>
      </c>
      <c r="AW16" s="311">
        <f>INDEX($A$27:$B$246,MATCH(IFERROR(IF(U16+$AW$5&lt;I16,I16,IF(U16+$AW$5&gt;M16,M16,U16+$AW$5)),0),$A$27:$A$246,1),2)</f>
        <v/>
      </c>
      <c r="AX16" s="311">
        <f>INDEX($A$27:$B$246,MATCH(IFERROR(IF(V16+$AW$5&lt;J16,J16,IF(V16+$AW$5&gt;N16,N16,V16+$AW$5)),0),$A$27:$A$246,1),2)</f>
        <v/>
      </c>
      <c r="AY16" s="311">
        <f>INDEX($A$27:$B$246,MATCH(IFERROR(IF(W16+$AW$5&lt;K16,K16,IF(W16+$AW$5&gt;O16,O16,W16+$AW$5)),0),$A$27:$A$246,1),2)</f>
        <v/>
      </c>
      <c r="AZ16" s="311">
        <f>INDEX($A$27:$B$246,MATCH(IFERROR(IF(T16+$BA$5&lt;H16,H16,IF(T16+$BA$5&gt;L16,L16,T16+$BA$5)),0),$A$27:$A$246,1),2)</f>
        <v/>
      </c>
      <c r="BA16" s="311">
        <f>INDEX($A$27:$B$246,MATCH(IFERROR(IF(U16+$BA$5&lt;I16,I16,IF(U16+$BA$5&gt;M16,M16,U16+$BA$5)),0),$A$27:$A$246,1),2)</f>
        <v/>
      </c>
      <c r="BB16" s="311">
        <f>INDEX($A$27:$B$246,MATCH(IFERROR(IF(V16+$BA$5&lt;J16,J16,IF(V16+$BA$5&gt;N16,N16,V16+$BA$5)),0),$A$27:$A$246,1),2)</f>
        <v/>
      </c>
      <c r="BC16" s="311">
        <f>INDEX($A$27:$B$246,MATCH(IFERROR(IF(W16+$BA$5&lt;K16,K16,IF(W16+$BA$5&gt;O16,O16,W16+$BA$5)),0),$A$27:$A$246,1),2)</f>
        <v/>
      </c>
      <c r="BD16" s="311" t="s">
        <v>8</v>
      </c>
      <c r="BE16" s="311" t="s">
        <v>8</v>
      </c>
      <c r="BF16" s="311" t="s">
        <v>8</v>
      </c>
      <c r="BG16" s="311" t="s">
        <v>8</v>
      </c>
      <c r="BI16" s="312" t="s">
        <v>40</v>
      </c>
      <c r="BJ16" s="108" t="s">
        <v>206</v>
      </c>
      <c r="BK16" s="108" t="s">
        <v>230</v>
      </c>
      <c r="BL16" s="108" t="n">
        <v>44</v>
      </c>
    </row>
    <row r="17" spans="1:64">
      <c r="A17" s="114" t="s">
        <v>147</v>
      </c>
      <c r="B17" s="114" t="s">
        <v>231</v>
      </c>
      <c r="D17" t="s">
        <v>61</v>
      </c>
      <c r="E17" s="34" t="s">
        <v>61</v>
      </c>
      <c r="F17" s="34" t="s">
        <v>227</v>
      </c>
      <c r="G17" s="34" t="n">
        <v>241</v>
      </c>
      <c r="H17" s="310" t="n">
        <v>1</v>
      </c>
      <c r="I17" s="310" t="n">
        <v>1</v>
      </c>
      <c r="J17" s="310" t="n">
        <v>1</v>
      </c>
      <c r="K17" s="310" t="n">
        <v>1</v>
      </c>
      <c r="L17" s="311">
        <f>H17*$B$1</f>
        <v/>
      </c>
      <c r="M17" s="311">
        <f>I17*$B$1</f>
        <v/>
      </c>
      <c r="N17" s="311">
        <f>J17*$B$1</f>
        <v/>
      </c>
      <c r="O17" s="311">
        <f>K17*$B$1</f>
        <v/>
      </c>
      <c r="P17" s="311">
        <f>IFERROR(MIN(VLOOKUP(E17,Detalle!A:AA,$P$6,0),VLOOKUP(E17,Detalle!A:AA,$P$7,0),VLOOKUP(E17,Detalle!A:AA,$P$4,0)),0)</f>
        <v/>
      </c>
      <c r="Q17" s="311">
        <f>IFERROR(MIN(VLOOKUP(E17,Detalle!A:AA,$Q$6,0),VLOOKUP(E17,Detalle!A:AA,$Q$7,0)),0)</f>
        <v/>
      </c>
      <c r="R17" s="311">
        <f>IFERROR(MIN(VLOOKUP(E17,Detalle!A:AA,$R$6,0),VLOOKUP(E17,Detalle!A:AA,$R$7,0)),0)</f>
        <v/>
      </c>
      <c r="S17" s="311">
        <f>IFERROR(MIN(VLOOKUP(E17,Detalle!A:AA,$S$6,0),VLOOKUP(E17,Detalle!A:AA,$S$7,0)),0)</f>
        <v/>
      </c>
      <c r="T17" s="311">
        <f>IFERROR(MAX(VLOOKUP(E17,Detalle!A:AA,$P$6,0),VLOOKUP(E17,Detalle!A:AA,$P$7,0),VLOOKUP(E17,Detalle!A:AA,$P$4,0)),0)</f>
        <v/>
      </c>
      <c r="U17" s="311">
        <f>IFERROR(MAX(VLOOKUP(E17,Detalle!A:AA,$Q$6,0),VLOOKUP(E17,Detalle!A:AA,$Q$7,0)),0)</f>
        <v/>
      </c>
      <c r="V17" s="311">
        <f>IFERROR(MAX(VLOOKUP(E17,Detalle!A:AA,$R$6,0),VLOOKUP(E17,Detalle!A:AA,$R$7,0)),0)</f>
        <v/>
      </c>
      <c r="W17" s="311">
        <f>IFERROR(MAX(VLOOKUP(E17,Detalle!A:AA,$S$6,0),VLOOKUP(E17,Detalle!A:AA,$S$7,0)),0)</f>
        <v/>
      </c>
      <c r="X17" s="311">
        <f>INDEX($A$27:$B$246,MATCH(IFERROR(IF(P17*(1+$Y$5)&lt;H17,H17,IF(P17*(1+$Y$5)&gt;L17,L17,P17*(1+$Y$5))),0),$A$27:$A$246,1),2)</f>
        <v/>
      </c>
      <c r="Y17" s="311">
        <f>INDEX($A$27:$B$246,MATCH(IFERROR(IF(Q17*(1+$Y$5)&lt;I17,I17,IF(Q17*(1+$Y$5)&gt;M17,M17,Q17*(1+$Y$5))),0),$A$27:$A$246,1),2)</f>
        <v/>
      </c>
      <c r="Z17" s="311">
        <f>INDEX($A$27:$B$246,MATCH(IFERROR(IF(R17*(1+$Y$5)&lt;J17,J17,IF(R17*(1+$Y$5)&gt;N17,N17,R17*(1+$Y$5))),0),$A$27:$A$246,1),2)</f>
        <v/>
      </c>
      <c r="AA17" s="311">
        <f>INDEX($A$27:$B$246,MATCH(IFERROR(IF(S17*(1+$Y$5)&lt;K17,K17,IF(S17*(1+$Y$5)&gt;O17,O17,S17*(1+$Y$5))),0),$A$27:$A$246,1),2)</f>
        <v/>
      </c>
      <c r="AB17" s="311">
        <f>INDEX($A$27:$B$246,MATCH(IFERROR(IF(P17-$AC$5&lt;H17,H17,IF(P17-$AC$5&gt;L17,L17,P17-$AC$5)),0),$A$27:$A$246,1),2)</f>
        <v/>
      </c>
      <c r="AC17" s="311">
        <f>INDEX($A$27:$B$246,MATCH(IFERROR(IF(Q17-$AC$5&lt;I17,I17,IF(Q17-$AC$5&gt;M17,M17,Q17-$AC$5)),0),$A$27:$A$246,1),2)</f>
        <v/>
      </c>
      <c r="AD17" s="311">
        <f>INDEX($A$27:$B$246,MATCH(IFERROR(IF(R17-$AC$5&lt;J17,J17,IF(R17-$AC$5&gt;N17,N17,R17-$AC$5)),0),$A$27:$A$246,1),2)</f>
        <v/>
      </c>
      <c r="AE17" s="311">
        <f>INDEX($A$27:$B$246,MATCH(IFERROR(IF(S17-$AC$5&lt;K17,K17,IF(S17-$AC$5&gt;O17,O17,S17-$AC$5)),0),$A$27:$A$246,1),2)</f>
        <v/>
      </c>
      <c r="AF17" s="311" t="s">
        <v>8</v>
      </c>
      <c r="AG17" s="311" t="s">
        <v>8</v>
      </c>
      <c r="AH17" s="311" t="s">
        <v>8</v>
      </c>
      <c r="AI17" s="311" t="s">
        <v>8</v>
      </c>
      <c r="AJ17" s="311">
        <f>INDEX($A$27:$B$246,MATCH(IFERROR(IF(T17&lt;H17,H17,IF(T17&gt;L17,L17,T17)),0),$A$27:$A$246,1),2)</f>
        <v/>
      </c>
      <c r="AK17" s="311">
        <f>INDEX($A$27:$B$246,MATCH(IFERROR(IF(U17&lt;I17,I17,IF(U17&gt;M17,M17,U17)),0),$A$27:$A$246,1),2)</f>
        <v/>
      </c>
      <c r="AL17" s="311">
        <f>INDEX($A$27:$B$246,MATCH(IFERROR(IF(V17&lt;J17,J17,IF(V17&gt;N17,N17,V17)),0),$A$27:$A$246,1),2)</f>
        <v/>
      </c>
      <c r="AM17" s="311">
        <f>INDEX($A$27:$B$246,MATCH(IFERROR(IF(W17&lt;K17,K17,IF(W17&gt;O17,O17,W17)),0),$A$27:$A$246,1),2)</f>
        <v/>
      </c>
      <c r="AN17" s="311">
        <f>INDEX($A$27:$B$246,MATCH(IFERROR(IF(T17&lt;H17,H17,IF(T17&gt;L17,L17,T17)),0),$A$27:$A$246,1),2)</f>
        <v/>
      </c>
      <c r="AO17" s="311">
        <f>INDEX($A$27:$B$246,MATCH(IFERROR(IF(U17&lt;I17,I17,IF(U17&gt;M17,M17,U17)),0),$A$27:$A$246,1),2)</f>
        <v/>
      </c>
      <c r="AP17" s="311">
        <f>INDEX($A$27:$B$246,MATCH(IFERROR(IF(V17&lt;J17,J17,IF(V17&gt;N17,N17,V17)),0),$A$27:$A$246,1),2)</f>
        <v/>
      </c>
      <c r="AQ17" s="311">
        <f>INDEX($A$27:$B$246,MATCH(IFERROR(IF(W17&lt;K17,K17,IF(W17&gt;O17,O17,W17)),0),$A$27:$A$246,1),2)</f>
        <v/>
      </c>
      <c r="AR17" s="311">
        <f>INDEX($A$27:$B$246,MATCH(IFERROR(IF(T17+$AS$5&lt;H17,H17,IF(T17+$AS$5&gt;L17,L17,T17+$AS$5)),0),$A$27:$A$246,1),2)</f>
        <v/>
      </c>
      <c r="AS17" s="311">
        <f>INDEX($A$27:$B$246,MATCH(IFERROR(IF(U17+$AS$5&lt;I17,I17,IF(U17+$AS$5&gt;M17,M17,U17+$AS$5)),0),$A$27:$A$246,1),2)</f>
        <v/>
      </c>
      <c r="AT17" s="311">
        <f>INDEX($A$27:$B$246,MATCH(IFERROR(IF(V17+$AS$5&lt;J17,J17,IF(V17+$AS$5&gt;N17,N17,V17+$AS$5)),0),$A$27:$A$246,1),2)</f>
        <v/>
      </c>
      <c r="AU17" s="311">
        <f>INDEX($A$27:$B$246,MATCH(IFERROR(IF(W17+$AS$5&lt;K17,K17,IF(W17+$AS$5&gt;O17,O17,W17+$AS$5)),0),$A$27:$A$246,1),2)</f>
        <v/>
      </c>
      <c r="AV17" s="311">
        <f>INDEX($A$27:$B$246,MATCH(IFERROR(IF(T17+$AW$5&lt;H17,H17,IF(T17+$AW$5&gt;L17,L17,T17+$AW$5)),0),$A$27:$A$246,1),2)</f>
        <v/>
      </c>
      <c r="AW17" s="311">
        <f>INDEX($A$27:$B$246,MATCH(IFERROR(IF(U17+$AW$5&lt;I17,I17,IF(U17+$AW$5&gt;M17,M17,U17+$AW$5)),0),$A$27:$A$246,1),2)</f>
        <v/>
      </c>
      <c r="AX17" s="311">
        <f>INDEX($A$27:$B$246,MATCH(IFERROR(IF(V17+$AW$5&lt;J17,J17,IF(V17+$AW$5&gt;N17,N17,V17+$AW$5)),0),$A$27:$A$246,1),2)</f>
        <v/>
      </c>
      <c r="AY17" s="311">
        <f>INDEX($A$27:$B$246,MATCH(IFERROR(IF(W17+$AW$5&lt;K17,K17,IF(W17+$AW$5&gt;O17,O17,W17+$AW$5)),0),$A$27:$A$246,1),2)</f>
        <v/>
      </c>
      <c r="AZ17" s="311">
        <f>INDEX($A$27:$B$246,MATCH(IFERROR(IF(T17+$BA$5&lt;H17,H17,IF(T17+$BA$5&gt;L17,L17,T17+$BA$5)),0),$A$27:$A$246,1),2)</f>
        <v/>
      </c>
      <c r="BA17" s="311">
        <f>INDEX($A$27:$B$246,MATCH(IFERROR(IF(U17+$BA$5&lt;I17,I17,IF(U17+$BA$5&gt;M17,M17,U17+$BA$5)),0),$A$27:$A$246,1),2)</f>
        <v/>
      </c>
      <c r="BB17" s="311">
        <f>INDEX($A$27:$B$246,MATCH(IFERROR(IF(V17+$BA$5&lt;J17,J17,IF(V17+$BA$5&gt;N17,N17,V17+$BA$5)),0),$A$27:$A$246,1),2)</f>
        <v/>
      </c>
      <c r="BC17" s="311">
        <f>INDEX($A$27:$B$246,MATCH(IFERROR(IF(W17+$BA$5&lt;K17,K17,IF(W17+$BA$5&gt;O17,O17,W17+$BA$5)),0),$A$27:$A$246,1),2)</f>
        <v/>
      </c>
      <c r="BD17" s="311" t="s">
        <v>8</v>
      </c>
      <c r="BE17" s="311" t="s">
        <v>8</v>
      </c>
      <c r="BF17" s="311" t="s">
        <v>8</v>
      </c>
      <c r="BG17" s="311" t="s">
        <v>8</v>
      </c>
      <c r="BI17" s="312" t="s">
        <v>40</v>
      </c>
      <c r="BJ17" s="108" t="s">
        <v>207</v>
      </c>
      <c r="BK17" s="108" t="s">
        <v>232</v>
      </c>
      <c r="BL17" s="108" t="n">
        <v>48</v>
      </c>
    </row>
    <row r="18" spans="1:64">
      <c r="A18" s="114" t="s">
        <v>135</v>
      </c>
      <c r="B18" s="114" t="s">
        <v>54</v>
      </c>
      <c r="D18" t="s">
        <v>65</v>
      </c>
      <c r="E18" s="34" t="s">
        <v>65</v>
      </c>
      <c r="F18" s="34" t="s">
        <v>227</v>
      </c>
      <c r="G18" s="34" t="n">
        <v>272</v>
      </c>
      <c r="H18" s="310" t="n">
        <v>1</v>
      </c>
      <c r="I18" s="310" t="n">
        <v>1</v>
      </c>
      <c r="J18" s="310" t="n">
        <v>1</v>
      </c>
      <c r="K18" s="310" t="n">
        <v>1</v>
      </c>
      <c r="L18" s="311">
        <f>H18*$B$1</f>
        <v/>
      </c>
      <c r="M18" s="311">
        <f>I18*$B$1</f>
        <v/>
      </c>
      <c r="N18" s="311">
        <f>J18*$B$1</f>
        <v/>
      </c>
      <c r="O18" s="311">
        <f>K18*$B$1</f>
        <v/>
      </c>
      <c r="P18" s="311">
        <f>IFERROR(MIN(VLOOKUP(E18,Detalle!A:AA,$P$6,0),VLOOKUP(E18,Detalle!A:AA,$P$7,0),VLOOKUP(E18,Detalle!A:AA,$P$4,0)),0)</f>
        <v/>
      </c>
      <c r="Q18" s="311">
        <f>IFERROR(MIN(VLOOKUP(E18,Detalle!A:AA,$Q$6,0),VLOOKUP(E18,Detalle!A:AA,$Q$7,0)),0)</f>
        <v/>
      </c>
      <c r="R18" s="311">
        <f>IFERROR(MIN(VLOOKUP(E18,Detalle!A:AA,$R$6,0),VLOOKUP(E18,Detalle!A:AA,$R$7,0)),0)</f>
        <v/>
      </c>
      <c r="S18" s="311">
        <f>IFERROR(MIN(VLOOKUP(E18,Detalle!A:AA,$S$6,0),VLOOKUP(E18,Detalle!A:AA,$S$7,0)),0)</f>
        <v/>
      </c>
      <c r="T18" s="311">
        <f>IFERROR(MAX(VLOOKUP(E18,Detalle!A:AA,$P$6,0),VLOOKUP(E18,Detalle!A:AA,$P$7,0),VLOOKUP(E18,Detalle!A:AA,$P$4,0)),0)</f>
        <v/>
      </c>
      <c r="U18" s="311">
        <f>IFERROR(MAX(VLOOKUP(E18,Detalle!A:AA,$Q$6,0),VLOOKUP(E18,Detalle!A:AA,$Q$7,0)),0)</f>
        <v/>
      </c>
      <c r="V18" s="311">
        <f>IFERROR(MAX(VLOOKUP(E18,Detalle!A:AA,$R$6,0),VLOOKUP(E18,Detalle!A:AA,$R$7,0)),0)</f>
        <v/>
      </c>
      <c r="W18" s="311">
        <f>IFERROR(MAX(VLOOKUP(E18,Detalle!A:AA,$S$6,0),VLOOKUP(E18,Detalle!A:AA,$S$7,0)),0)</f>
        <v/>
      </c>
      <c r="X18" s="311">
        <f>INDEX($A$27:$B$246,MATCH(IFERROR(IF(P18*(1+$Y$5)&lt;H18,H18,IF(P18*(1+$Y$5)&gt;L18,L18,P18*(1+$Y$5))),0),$A$27:$A$246,1),2)</f>
        <v/>
      </c>
      <c r="Y18" s="311">
        <f>INDEX($A$27:$B$246,MATCH(IFERROR(IF(Q18*(1+$Y$5)&lt;I18,I18,IF(Q18*(1+$Y$5)&gt;M18,M18,Q18*(1+$Y$5))),0),$A$27:$A$246,1),2)</f>
        <v/>
      </c>
      <c r="Z18" s="311">
        <f>INDEX($A$27:$B$246,MATCH(IFERROR(IF(R18*(1+$Y$5)&lt;J18,J18,IF(R18*(1+$Y$5)&gt;N18,N18,R18*(1+$Y$5))),0),$A$27:$A$246,1),2)</f>
        <v/>
      </c>
      <c r="AA18" s="311">
        <f>INDEX($A$27:$B$246,MATCH(IFERROR(IF(S18*(1+$Y$5)&lt;K18,K18,IF(S18*(1+$Y$5)&gt;O18,O18,S18*(1+$Y$5))),0),$A$27:$A$246,1),2)</f>
        <v/>
      </c>
      <c r="AB18" s="311">
        <f>INDEX($A$27:$B$246,MATCH(IFERROR(IF(P18-$AC$5&lt;H18,H18,IF(P18-$AC$5&gt;L18,L18,P18-$AC$5)),0),$A$27:$A$246,1),2)</f>
        <v/>
      </c>
      <c r="AC18" s="311">
        <f>INDEX($A$27:$B$246,MATCH(IFERROR(IF(Q18-$AC$5&lt;I18,I18,IF(Q18-$AC$5&gt;M18,M18,Q18-$AC$5)),0),$A$27:$A$246,1),2)</f>
        <v/>
      </c>
      <c r="AD18" s="311">
        <f>INDEX($A$27:$B$246,MATCH(IFERROR(IF(R18-$AC$5&lt;J18,J18,IF(R18-$AC$5&gt;N18,N18,R18-$AC$5)),0),$A$27:$A$246,1),2)</f>
        <v/>
      </c>
      <c r="AE18" s="311">
        <f>INDEX($A$27:$B$246,MATCH(IFERROR(IF(S18-$AC$5&lt;K18,K18,IF(S18-$AC$5&gt;O18,O18,S18-$AC$5)),0),$A$27:$A$246,1),2)</f>
        <v/>
      </c>
      <c r="AF18" s="311" t="s">
        <v>8</v>
      </c>
      <c r="AG18" s="311" t="s">
        <v>8</v>
      </c>
      <c r="AH18" s="311" t="s">
        <v>8</v>
      </c>
      <c r="AI18" s="311" t="s">
        <v>8</v>
      </c>
      <c r="AJ18" s="311">
        <f>INDEX($A$27:$B$246,MATCH(IFERROR(IF(T18&lt;H18,H18,IF(T18&gt;L18,L18,T18)),0),$A$27:$A$246,1),2)</f>
        <v/>
      </c>
      <c r="AK18" s="311">
        <f>INDEX($A$27:$B$246,MATCH(IFERROR(IF(U18&lt;I18,I18,IF(U18&gt;M18,M18,U18)),0),$A$27:$A$246,1),2)</f>
        <v/>
      </c>
      <c r="AL18" s="311">
        <f>INDEX($A$27:$B$246,MATCH(IFERROR(IF(V18&lt;J18,J18,IF(V18&gt;N18,N18,V18)),0),$A$27:$A$246,1),2)</f>
        <v/>
      </c>
      <c r="AM18" s="311">
        <f>INDEX($A$27:$B$246,MATCH(IFERROR(IF(W18&lt;K18,K18,IF(W18&gt;O18,O18,W18)),0),$A$27:$A$246,1),2)</f>
        <v/>
      </c>
      <c r="AN18" s="311">
        <f>INDEX($A$27:$B$246,MATCH(IFERROR(IF(T18&lt;H18,H18,IF(T18&gt;L18,L18,T18)),0),$A$27:$A$246,1),2)</f>
        <v/>
      </c>
      <c r="AO18" s="311">
        <f>INDEX($A$27:$B$246,MATCH(IFERROR(IF(U18&lt;I18,I18,IF(U18&gt;M18,M18,U18)),0),$A$27:$A$246,1),2)</f>
        <v/>
      </c>
      <c r="AP18" s="311">
        <f>INDEX($A$27:$B$246,MATCH(IFERROR(IF(V18&lt;J18,J18,IF(V18&gt;N18,N18,V18)),0),$A$27:$A$246,1),2)</f>
        <v/>
      </c>
      <c r="AQ18" s="311">
        <f>INDEX($A$27:$B$246,MATCH(IFERROR(IF(W18&lt;K18,K18,IF(W18&gt;O18,O18,W18)),0),$A$27:$A$246,1),2)</f>
        <v/>
      </c>
      <c r="AR18" s="311">
        <f>INDEX($A$27:$B$246,MATCH(IFERROR(IF(T18+$AS$5&lt;H18,H18,IF(T18+$AS$5&gt;L18,L18,T18+$AS$5)),0),$A$27:$A$246,1),2)</f>
        <v/>
      </c>
      <c r="AS18" s="311">
        <f>INDEX($A$27:$B$246,MATCH(IFERROR(IF(U18+$AS$5&lt;I18,I18,IF(U18+$AS$5&gt;M18,M18,U18+$AS$5)),0),$A$27:$A$246,1),2)</f>
        <v/>
      </c>
      <c r="AT18" s="311">
        <f>INDEX($A$27:$B$246,MATCH(IFERROR(IF(V18+$AS$5&lt;J18,J18,IF(V18+$AS$5&gt;N18,N18,V18+$AS$5)),0),$A$27:$A$246,1),2)</f>
        <v/>
      </c>
      <c r="AU18" s="311">
        <f>INDEX($A$27:$B$246,MATCH(IFERROR(IF(W18+$AS$5&lt;K18,K18,IF(W18+$AS$5&gt;O18,O18,W18+$AS$5)),0),$A$27:$A$246,1),2)</f>
        <v/>
      </c>
      <c r="AV18" s="311">
        <f>INDEX($A$27:$B$246,MATCH(IFERROR(IF(T18+$AW$5&lt;H18,H18,IF(T18+$AW$5&gt;L18,L18,T18+$AW$5)),0),$A$27:$A$246,1),2)</f>
        <v/>
      </c>
      <c r="AW18" s="311">
        <f>INDEX($A$27:$B$246,MATCH(IFERROR(IF(U18+$AW$5&lt;I18,I18,IF(U18+$AW$5&gt;M18,M18,U18+$AW$5)),0),$A$27:$A$246,1),2)</f>
        <v/>
      </c>
      <c r="AX18" s="311">
        <f>INDEX($A$27:$B$246,MATCH(IFERROR(IF(V18+$AW$5&lt;J18,J18,IF(V18+$AW$5&gt;N18,N18,V18+$AW$5)),0),$A$27:$A$246,1),2)</f>
        <v/>
      </c>
      <c r="AY18" s="311">
        <f>INDEX($A$27:$B$246,MATCH(IFERROR(IF(W18+$AW$5&lt;K18,K18,IF(W18+$AW$5&gt;O18,O18,W18+$AW$5)),0),$A$27:$A$246,1),2)</f>
        <v/>
      </c>
      <c r="AZ18" s="311">
        <f>INDEX($A$27:$B$246,MATCH(IFERROR(IF(T18+$BA$5&lt;H18,H18,IF(T18+$BA$5&gt;L18,L18,T18+$BA$5)),0),$A$27:$A$246,1),2)</f>
        <v/>
      </c>
      <c r="BA18" s="311">
        <f>INDEX($A$27:$B$246,MATCH(IFERROR(IF(U18+$BA$5&lt;I18,I18,IF(U18+$BA$5&gt;M18,M18,U18+$BA$5)),0),$A$27:$A$246,1),2)</f>
        <v/>
      </c>
      <c r="BB18" s="311">
        <f>INDEX($A$27:$B$246,MATCH(IFERROR(IF(V18+$BA$5&lt;J18,J18,IF(V18+$BA$5&gt;N18,N18,V18+$BA$5)),0),$A$27:$A$246,1),2)</f>
        <v/>
      </c>
      <c r="BC18" s="311">
        <f>INDEX($A$27:$B$246,MATCH(IFERROR(IF(W18+$BA$5&lt;K18,K18,IF(W18+$BA$5&gt;O18,O18,W18+$BA$5)),0),$A$27:$A$246,1),2)</f>
        <v/>
      </c>
      <c r="BD18" s="311" t="s">
        <v>8</v>
      </c>
      <c r="BE18" s="311" t="s">
        <v>8</v>
      </c>
      <c r="BF18" s="311" t="s">
        <v>8</v>
      </c>
      <c r="BG18" s="311" t="s">
        <v>8</v>
      </c>
      <c r="BI18" s="312" t="s">
        <v>40</v>
      </c>
      <c r="BJ18" s="108" t="s">
        <v>208</v>
      </c>
      <c r="BK18" s="108" t="s">
        <v>233</v>
      </c>
      <c r="BL18" s="108" t="n">
        <v>52</v>
      </c>
    </row>
    <row r="19" spans="1:64">
      <c r="A19" s="114" t="s">
        <v>234</v>
      </c>
      <c r="B19" s="114" t="s">
        <v>70</v>
      </c>
      <c r="D19" t="s">
        <v>66</v>
      </c>
      <c r="E19" s="34" t="s">
        <v>66</v>
      </c>
      <c r="F19" s="34" t="s">
        <v>227</v>
      </c>
      <c r="G19" s="34" t="n">
        <v>276</v>
      </c>
      <c r="H19" s="310" t="n">
        <v>1</v>
      </c>
      <c r="I19" s="310" t="n">
        <v>1</v>
      </c>
      <c r="J19" s="310" t="n">
        <v>1</v>
      </c>
      <c r="K19" s="310" t="n">
        <v>1</v>
      </c>
      <c r="L19" s="311">
        <f>H19*$B$1</f>
        <v/>
      </c>
      <c r="M19" s="311">
        <f>I19*$B$1</f>
        <v/>
      </c>
      <c r="N19" s="311">
        <f>J19*$B$1</f>
        <v/>
      </c>
      <c r="O19" s="311">
        <f>K19*$B$1</f>
        <v/>
      </c>
      <c r="P19" s="311">
        <f>IFERROR(MIN(VLOOKUP(E19,Detalle!A:AA,$P$6,0),VLOOKUP(E19,Detalle!A:AA,$P$7,0),VLOOKUP(E19,Detalle!A:AA,$P$4,0)),0)</f>
        <v/>
      </c>
      <c r="Q19" s="311">
        <f>IFERROR(MIN(VLOOKUP(E19,Detalle!A:AA,$Q$6,0),VLOOKUP(E19,Detalle!A:AA,$Q$7,0)),0)</f>
        <v/>
      </c>
      <c r="R19" s="311">
        <f>IFERROR(MIN(VLOOKUP(E19,Detalle!A:AA,$R$6,0),VLOOKUP(E19,Detalle!A:AA,$R$7,0)),0)</f>
        <v/>
      </c>
      <c r="S19" s="311">
        <f>IFERROR(MIN(VLOOKUP(E19,Detalle!A:AA,$S$6,0),VLOOKUP(E19,Detalle!A:AA,$S$7,0)),0)</f>
        <v/>
      </c>
      <c r="T19" s="311">
        <f>IFERROR(MAX(VLOOKUP(E19,Detalle!A:AA,$P$6,0),VLOOKUP(E19,Detalle!A:AA,$P$7,0),VLOOKUP(E19,Detalle!A:AA,$P$4,0)),0)</f>
        <v/>
      </c>
      <c r="U19" s="311">
        <f>IFERROR(MAX(VLOOKUP(E19,Detalle!A:AA,$Q$6,0),VLOOKUP(E19,Detalle!A:AA,$Q$7,0)),0)</f>
        <v/>
      </c>
      <c r="V19" s="311">
        <f>IFERROR(MAX(VLOOKUP(E19,Detalle!A:AA,$R$6,0),VLOOKUP(E19,Detalle!A:AA,$R$7,0)),0)</f>
        <v/>
      </c>
      <c r="W19" s="311">
        <f>IFERROR(MAX(VLOOKUP(E19,Detalle!A:AA,$S$6,0),VLOOKUP(E19,Detalle!A:AA,$S$7,0)),0)</f>
        <v/>
      </c>
      <c r="X19" s="311">
        <f>INDEX($A$27:$B$246,MATCH(IFERROR(IF(P19*(1+$Y$5)&lt;H19,H19,IF(P19*(1+$Y$5)&gt;L19,L19,P19*(1+$Y$5))),0),$A$27:$A$246,1),2)</f>
        <v/>
      </c>
      <c r="Y19" s="311">
        <f>INDEX($A$27:$B$246,MATCH(IFERROR(IF(Q19*(1+$Y$5)&lt;I19,I19,IF(Q19*(1+$Y$5)&gt;M19,M19,Q19*(1+$Y$5))),0),$A$27:$A$246,1),2)</f>
        <v/>
      </c>
      <c r="Z19" s="311">
        <f>INDEX($A$27:$B$246,MATCH(IFERROR(IF(R19*(1+$Y$5)&lt;J19,J19,IF(R19*(1+$Y$5)&gt;N19,N19,R19*(1+$Y$5))),0),$A$27:$A$246,1),2)</f>
        <v/>
      </c>
      <c r="AA19" s="311">
        <f>INDEX($A$27:$B$246,MATCH(IFERROR(IF(S19*(1+$Y$5)&lt;K19,K19,IF(S19*(1+$Y$5)&gt;O19,O19,S19*(1+$Y$5))),0),$A$27:$A$246,1),2)</f>
        <v/>
      </c>
      <c r="AB19" s="311">
        <f>INDEX($A$27:$B$246,MATCH(IFERROR(IF(P19-$AC$5&lt;H19,H19,IF(P19-$AC$5&gt;L19,L19,P19-$AC$5)),0),$A$27:$A$246,1),2)</f>
        <v/>
      </c>
      <c r="AC19" s="311">
        <f>INDEX($A$27:$B$246,MATCH(IFERROR(IF(Q19-$AC$5&lt;I19,I19,IF(Q19-$AC$5&gt;M19,M19,Q19-$AC$5)),0),$A$27:$A$246,1),2)</f>
        <v/>
      </c>
      <c r="AD19" s="311">
        <f>INDEX($A$27:$B$246,MATCH(IFERROR(IF(R19-$AC$5&lt;J19,J19,IF(R19-$AC$5&gt;N19,N19,R19-$AC$5)),0),$A$27:$A$246,1),2)</f>
        <v/>
      </c>
      <c r="AE19" s="311">
        <f>INDEX($A$27:$B$246,MATCH(IFERROR(IF(S19-$AC$5&lt;K19,K19,IF(S19-$AC$5&gt;O19,O19,S19-$AC$5)),0),$A$27:$A$246,1),2)</f>
        <v/>
      </c>
      <c r="AF19" s="311" t="s">
        <v>8</v>
      </c>
      <c r="AG19" s="311" t="s">
        <v>8</v>
      </c>
      <c r="AH19" s="311" t="s">
        <v>8</v>
      </c>
      <c r="AI19" s="311" t="s">
        <v>8</v>
      </c>
      <c r="AJ19" s="311">
        <f>INDEX($A$27:$B$246,MATCH(IFERROR(IF(T19&lt;H19,H19,IF(T19&gt;L19,L19,T19)),0),$A$27:$A$246,1),2)</f>
        <v/>
      </c>
      <c r="AK19" s="311">
        <f>INDEX($A$27:$B$246,MATCH(IFERROR(IF(U19&lt;I19,I19,IF(U19&gt;M19,M19,U19)),0),$A$27:$A$246,1),2)</f>
        <v/>
      </c>
      <c r="AL19" s="311">
        <f>INDEX($A$27:$B$246,MATCH(IFERROR(IF(V19&lt;J19,J19,IF(V19&gt;N19,N19,V19)),0),$A$27:$A$246,1),2)</f>
        <v/>
      </c>
      <c r="AM19" s="311">
        <f>INDEX($A$27:$B$246,MATCH(IFERROR(IF(W19&lt;K19,K19,IF(W19&gt;O19,O19,W19)),0),$A$27:$A$246,1),2)</f>
        <v/>
      </c>
      <c r="AN19" s="311">
        <f>INDEX($A$27:$B$246,MATCH(IFERROR(IF(T19&lt;H19,H19,IF(T19&gt;L19,L19,T19)),0),$A$27:$A$246,1),2)</f>
        <v/>
      </c>
      <c r="AO19" s="311">
        <f>INDEX($A$27:$B$246,MATCH(IFERROR(IF(U19&lt;I19,I19,IF(U19&gt;M19,M19,U19)),0),$A$27:$A$246,1),2)</f>
        <v/>
      </c>
      <c r="AP19" s="311">
        <f>INDEX($A$27:$B$246,MATCH(IFERROR(IF(V19&lt;J19,J19,IF(V19&gt;N19,N19,V19)),0),$A$27:$A$246,1),2)</f>
        <v/>
      </c>
      <c r="AQ19" s="311">
        <f>INDEX($A$27:$B$246,MATCH(IFERROR(IF(W19&lt;K19,K19,IF(W19&gt;O19,O19,W19)),0),$A$27:$A$246,1),2)</f>
        <v/>
      </c>
      <c r="AR19" s="311">
        <f>INDEX($A$27:$B$246,MATCH(IFERROR(IF(T19+$AS$5&lt;H19,H19,IF(T19+$AS$5&gt;L19,L19,T19+$AS$5)),0),$A$27:$A$246,1),2)</f>
        <v/>
      </c>
      <c r="AS19" s="311">
        <f>INDEX($A$27:$B$246,MATCH(IFERROR(IF(U19+$AS$5&lt;I19,I19,IF(U19+$AS$5&gt;M19,M19,U19+$AS$5)),0),$A$27:$A$246,1),2)</f>
        <v/>
      </c>
      <c r="AT19" s="311">
        <f>INDEX($A$27:$B$246,MATCH(IFERROR(IF(V19+$AS$5&lt;J19,J19,IF(V19+$AS$5&gt;N19,N19,V19+$AS$5)),0),$A$27:$A$246,1),2)</f>
        <v/>
      </c>
      <c r="AU19" s="311">
        <f>INDEX($A$27:$B$246,MATCH(IFERROR(IF(W19+$AS$5&lt;K19,K19,IF(W19+$AS$5&gt;O19,O19,W19+$AS$5)),0),$A$27:$A$246,1),2)</f>
        <v/>
      </c>
      <c r="AV19" s="311">
        <f>INDEX($A$27:$B$246,MATCH(IFERROR(IF(T19+$AW$5&lt;H19,H19,IF(T19+$AW$5&gt;L19,L19,T19+$AW$5)),0),$A$27:$A$246,1),2)</f>
        <v/>
      </c>
      <c r="AW19" s="311">
        <f>INDEX($A$27:$B$246,MATCH(IFERROR(IF(U19+$AW$5&lt;I19,I19,IF(U19+$AW$5&gt;M19,M19,U19+$AW$5)),0),$A$27:$A$246,1),2)</f>
        <v/>
      </c>
      <c r="AX19" s="311">
        <f>INDEX($A$27:$B$246,MATCH(IFERROR(IF(V19+$AW$5&lt;J19,J19,IF(V19+$AW$5&gt;N19,N19,V19+$AW$5)),0),$A$27:$A$246,1),2)</f>
        <v/>
      </c>
      <c r="AY19" s="311">
        <f>INDEX($A$27:$B$246,MATCH(IFERROR(IF(W19+$AW$5&lt;K19,K19,IF(W19+$AW$5&gt;O19,O19,W19+$AW$5)),0),$A$27:$A$246,1),2)</f>
        <v/>
      </c>
      <c r="AZ19" s="311">
        <f>INDEX($A$27:$B$246,MATCH(IFERROR(IF(T19+$BA$5&lt;H19,H19,IF(T19+$BA$5&gt;L19,L19,T19+$BA$5)),0),$A$27:$A$246,1),2)</f>
        <v/>
      </c>
      <c r="BA19" s="311">
        <f>INDEX($A$27:$B$246,MATCH(IFERROR(IF(U19+$BA$5&lt;I19,I19,IF(U19+$BA$5&gt;M19,M19,U19+$BA$5)),0),$A$27:$A$246,1),2)</f>
        <v/>
      </c>
      <c r="BB19" s="311">
        <f>INDEX($A$27:$B$246,MATCH(IFERROR(IF(V19+$BA$5&lt;J19,J19,IF(V19+$BA$5&gt;N19,N19,V19+$BA$5)),0),$A$27:$A$246,1),2)</f>
        <v/>
      </c>
      <c r="BC19" s="311">
        <f>INDEX($A$27:$B$246,MATCH(IFERROR(IF(W19+$BA$5&lt;K19,K19,IF(W19+$BA$5&gt;O19,O19,W19+$BA$5)),0),$A$27:$A$246,1),2)</f>
        <v/>
      </c>
      <c r="BD19" s="311" t="s">
        <v>8</v>
      </c>
      <c r="BE19" s="311" t="s">
        <v>8</v>
      </c>
      <c r="BF19" s="311" t="s">
        <v>8</v>
      </c>
      <c r="BG19" s="311" t="s">
        <v>8</v>
      </c>
      <c r="BI19" s="312" t="s">
        <v>156</v>
      </c>
      <c r="BJ19" s="108" t="s">
        <v>200</v>
      </c>
      <c r="BK19" s="108" t="s">
        <v>235</v>
      </c>
      <c r="BL19" s="108" t="n">
        <v>22</v>
      </c>
    </row>
    <row r="20" spans="1:64">
      <c r="D20" t="s">
        <v>70</v>
      </c>
      <c r="E20" s="34" t="s">
        <v>70</v>
      </c>
      <c r="F20" s="34" t="s">
        <v>227</v>
      </c>
      <c r="G20" s="34" t="n">
        <v>291</v>
      </c>
      <c r="H20" s="310" t="n">
        <v>1</v>
      </c>
      <c r="I20" s="310" t="n">
        <v>1</v>
      </c>
      <c r="J20" s="310" t="n">
        <v>1</v>
      </c>
      <c r="K20" s="310" t="n">
        <v>1</v>
      </c>
      <c r="L20" s="311">
        <f>H20*$B$1</f>
        <v/>
      </c>
      <c r="M20" s="311">
        <f>I20*$B$1</f>
        <v/>
      </c>
      <c r="N20" s="311">
        <f>J20*$B$1</f>
        <v/>
      </c>
      <c r="O20" s="311">
        <f>K20*$B$1</f>
        <v/>
      </c>
      <c r="P20" s="311">
        <f>IFERROR(MIN(VLOOKUP(E20,Detalle!A:AA,$P$6,0),VLOOKUP(E20,Detalle!A:AA,$P$7,0),VLOOKUP(E20,Detalle!A:AA,$P$4,0)),0)</f>
        <v/>
      </c>
      <c r="Q20" s="311">
        <f>IFERROR(MIN(VLOOKUP(E20,Detalle!A:AA,$Q$6,0),VLOOKUP(E20,Detalle!A:AA,$Q$7,0)),0)</f>
        <v/>
      </c>
      <c r="R20" s="311">
        <f>IFERROR(MIN(VLOOKUP(E20,Detalle!A:AA,$R$6,0),VLOOKUP(E20,Detalle!A:AA,$R$7,0)),0)</f>
        <v/>
      </c>
      <c r="S20" s="311">
        <f>IFERROR(MIN(VLOOKUP(E20,Detalle!A:AA,$S$6,0),VLOOKUP(E20,Detalle!A:AA,$S$7,0)),0)</f>
        <v/>
      </c>
      <c r="T20" s="311">
        <f>IFERROR(MAX(VLOOKUP(E20,Detalle!A:AA,$P$6,0),VLOOKUP(E20,Detalle!A:AA,$P$7,0),VLOOKUP(E20,Detalle!A:AA,$P$4,0)),0)</f>
        <v/>
      </c>
      <c r="U20" s="311">
        <f>IFERROR(MAX(VLOOKUP(E20,Detalle!A:AA,$Q$6,0),VLOOKUP(E20,Detalle!A:AA,$Q$7,0)),0)</f>
        <v/>
      </c>
      <c r="V20" s="311">
        <f>IFERROR(MAX(VLOOKUP(E20,Detalle!A:AA,$R$6,0),VLOOKUP(E20,Detalle!A:AA,$R$7,0)),0)</f>
        <v/>
      </c>
      <c r="W20" s="311">
        <f>IFERROR(MAX(VLOOKUP(E20,Detalle!A:AA,$S$6,0),VLOOKUP(E20,Detalle!A:AA,$S$7,0)),0)</f>
        <v/>
      </c>
      <c r="X20" s="311">
        <f>INDEX($A$27:$B$246,MATCH(IFERROR(IF(P20*(1+$Y$5)&lt;H20,H20,IF(P20*(1+$Y$5)&gt;L20,L20,P20*(1+$Y$5))),0),$A$27:$A$246,1),2)</f>
        <v/>
      </c>
      <c r="Y20" s="311">
        <f>INDEX($A$27:$B$246,MATCH(IFERROR(IF(Q20*(1+$Y$5)&lt;I20,I20,IF(Q20*(1+$Y$5)&gt;M20,M20,Q20*(1+$Y$5))),0),$A$27:$A$246,1),2)</f>
        <v/>
      </c>
      <c r="Z20" s="311">
        <f>INDEX($A$27:$B$246,MATCH(IFERROR(IF(R20*(1+$Y$5)&lt;J20,J20,IF(R20*(1+$Y$5)&gt;N20,N20,R20*(1+$Y$5))),0),$A$27:$A$246,1),2)</f>
        <v/>
      </c>
      <c r="AA20" s="311">
        <f>INDEX($A$27:$B$246,MATCH(IFERROR(IF(S20*(1+$Y$5)&lt;K20,K20,IF(S20*(1+$Y$5)&gt;O20,O20,S20*(1+$Y$5))),0),$A$27:$A$246,1),2)</f>
        <v/>
      </c>
      <c r="AB20" s="311">
        <f>INDEX($A$27:$B$246,MATCH(IFERROR(IF(P20-$AC$5&lt;H20,H20,IF(P20-$AC$5&gt;L20,L20,P20-$AC$5)),0),$A$27:$A$246,1),2)</f>
        <v/>
      </c>
      <c r="AC20" s="311">
        <f>INDEX($A$27:$B$246,MATCH(IFERROR(IF(Q20-$AC$5&lt;I20,I20,IF(Q20-$AC$5&gt;M20,M20,Q20-$AC$5)),0),$A$27:$A$246,1),2)</f>
        <v/>
      </c>
      <c r="AD20" s="311">
        <f>INDEX($A$27:$B$246,MATCH(IFERROR(IF(R20-$AC$5&lt;J20,J20,IF(R20-$AC$5&gt;N20,N20,R20-$AC$5)),0),$A$27:$A$246,1),2)</f>
        <v/>
      </c>
      <c r="AE20" s="311">
        <f>INDEX($A$27:$B$246,MATCH(IFERROR(IF(S20-$AC$5&lt;K20,K20,IF(S20-$AC$5&gt;O20,O20,S20-$AC$5)),0),$A$27:$A$246,1),2)</f>
        <v/>
      </c>
      <c r="AF20" s="311" t="s">
        <v>8</v>
      </c>
      <c r="AG20" s="311" t="s">
        <v>8</v>
      </c>
      <c r="AH20" s="311" t="s">
        <v>8</v>
      </c>
      <c r="AI20" s="311" t="s">
        <v>8</v>
      </c>
      <c r="AJ20" s="311">
        <f>INDEX($A$27:$B$246,MATCH(IFERROR(IF(T20&lt;H20,H20,IF(T20&gt;L20,L20,T20)),0),$A$27:$A$246,1),2)</f>
        <v/>
      </c>
      <c r="AK20" s="311">
        <f>INDEX($A$27:$B$246,MATCH(IFERROR(IF(U20&lt;I20,I20,IF(U20&gt;M20,M20,U20)),0),$A$27:$A$246,1),2)</f>
        <v/>
      </c>
      <c r="AL20" s="311">
        <f>INDEX($A$27:$B$246,MATCH(IFERROR(IF(V20&lt;J20,J20,IF(V20&gt;N20,N20,V20)),0),$A$27:$A$246,1),2)</f>
        <v/>
      </c>
      <c r="AM20" s="311">
        <f>INDEX($A$27:$B$246,MATCH(IFERROR(IF(W20&lt;K20,K20,IF(W20&gt;O20,O20,W20)),0),$A$27:$A$246,1),2)</f>
        <v/>
      </c>
      <c r="AN20" s="311">
        <f>INDEX($A$27:$B$246,MATCH(IFERROR(IF(T20&lt;H20,H20,IF(T20&gt;L20,L20,T20)),0),$A$27:$A$246,1),2)</f>
        <v/>
      </c>
      <c r="AO20" s="311">
        <f>INDEX($A$27:$B$246,MATCH(IFERROR(IF(U20&lt;I20,I20,IF(U20&gt;M20,M20,U20)),0),$A$27:$A$246,1),2)</f>
        <v/>
      </c>
      <c r="AP20" s="311">
        <f>INDEX($A$27:$B$246,MATCH(IFERROR(IF(V20&lt;J20,J20,IF(V20&gt;N20,N20,V20)),0),$A$27:$A$246,1),2)</f>
        <v/>
      </c>
      <c r="AQ20" s="311">
        <f>INDEX($A$27:$B$246,MATCH(IFERROR(IF(W20&lt;K20,K20,IF(W20&gt;O20,O20,W20)),0),$A$27:$A$246,1),2)</f>
        <v/>
      </c>
      <c r="AR20" s="311">
        <f>INDEX($A$27:$B$246,MATCH(IFERROR(IF(T20+$AS$5&lt;H20,H20,IF(T20+$AS$5&gt;L20,L20,T20+$AS$5)),0),$A$27:$A$246,1),2)</f>
        <v/>
      </c>
      <c r="AS20" s="311">
        <f>INDEX($A$27:$B$246,MATCH(IFERROR(IF(U20+$AS$5&lt;I20,I20,IF(U20+$AS$5&gt;M20,M20,U20+$AS$5)),0),$A$27:$A$246,1),2)</f>
        <v/>
      </c>
      <c r="AT20" s="311">
        <f>INDEX($A$27:$B$246,MATCH(IFERROR(IF(V20+$AS$5&lt;J20,J20,IF(V20+$AS$5&gt;N20,N20,V20+$AS$5)),0),$A$27:$A$246,1),2)</f>
        <v/>
      </c>
      <c r="AU20" s="311">
        <f>INDEX($A$27:$B$246,MATCH(IFERROR(IF(W20+$AS$5&lt;K20,K20,IF(W20+$AS$5&gt;O20,O20,W20+$AS$5)),0),$A$27:$A$246,1),2)</f>
        <v/>
      </c>
      <c r="AV20" s="311">
        <f>INDEX($A$27:$B$246,MATCH(IFERROR(IF(T20+$AW$5&lt;H20,H20,IF(T20+$AW$5&gt;L20,L20,T20+$AW$5)),0),$A$27:$A$246,1),2)</f>
        <v/>
      </c>
      <c r="AW20" s="311">
        <f>INDEX($A$27:$B$246,MATCH(IFERROR(IF(U20+$AW$5&lt;I20,I20,IF(U20+$AW$5&gt;M20,M20,U20+$AW$5)),0),$A$27:$A$246,1),2)</f>
        <v/>
      </c>
      <c r="AX20" s="311">
        <f>INDEX($A$27:$B$246,MATCH(IFERROR(IF(V20+$AW$5&lt;J20,J20,IF(V20+$AW$5&gt;N20,N20,V20+$AW$5)),0),$A$27:$A$246,1),2)</f>
        <v/>
      </c>
      <c r="AY20" s="311">
        <f>INDEX($A$27:$B$246,MATCH(IFERROR(IF(W20+$AW$5&lt;K20,K20,IF(W20+$AW$5&gt;O20,O20,W20+$AW$5)),0),$A$27:$A$246,1),2)</f>
        <v/>
      </c>
      <c r="AZ20" s="311">
        <f>INDEX($A$27:$B$246,MATCH(IFERROR(IF(T20+$BA$5&lt;H20,H20,IF(T20+$BA$5&gt;L20,L20,T20+$BA$5)),0),$A$27:$A$246,1),2)</f>
        <v/>
      </c>
      <c r="BA20" s="311">
        <f>INDEX($A$27:$B$246,MATCH(IFERROR(IF(U20+$BA$5&lt;I20,I20,IF(U20+$BA$5&gt;M20,M20,U20+$BA$5)),0),$A$27:$A$246,1),2)</f>
        <v/>
      </c>
      <c r="BB20" s="311">
        <f>INDEX($A$27:$B$246,MATCH(IFERROR(IF(V20+$BA$5&lt;J20,J20,IF(V20+$BA$5&gt;N20,N20,V20+$BA$5)),0),$A$27:$A$246,1),2)</f>
        <v/>
      </c>
      <c r="BC20" s="311">
        <f>INDEX($A$27:$B$246,MATCH(IFERROR(IF(W20+$BA$5&lt;K20,K20,IF(W20+$BA$5&gt;O20,O20,W20+$BA$5)),0),$A$27:$A$246,1),2)</f>
        <v/>
      </c>
      <c r="BD20" s="311" t="s">
        <v>8</v>
      </c>
      <c r="BE20" s="311" t="s">
        <v>8</v>
      </c>
      <c r="BF20" s="311" t="s">
        <v>8</v>
      </c>
      <c r="BG20" s="311" t="s">
        <v>8</v>
      </c>
      <c r="BI20" s="312" t="s">
        <v>156</v>
      </c>
      <c r="BJ20" s="108" t="s">
        <v>201</v>
      </c>
      <c r="BK20" s="108" t="s">
        <v>236</v>
      </c>
      <c r="BL20" s="108" t="n">
        <v>26</v>
      </c>
    </row>
    <row r="21" spans="1:64">
      <c r="D21" t="s">
        <v>72</v>
      </c>
      <c r="E21" s="34" t="s">
        <v>72</v>
      </c>
      <c r="F21" s="34" t="s">
        <v>227</v>
      </c>
      <c r="G21" s="34" t="n">
        <v>310</v>
      </c>
      <c r="H21" s="310" t="n">
        <v>1</v>
      </c>
      <c r="I21" s="310" t="n">
        <v>1</v>
      </c>
      <c r="J21" s="310" t="n">
        <v>1</v>
      </c>
      <c r="K21" s="310" t="n">
        <v>1</v>
      </c>
      <c r="L21" s="311">
        <f>H21*$B$1</f>
        <v/>
      </c>
      <c r="M21" s="311">
        <f>I21*$B$1</f>
        <v/>
      </c>
      <c r="N21" s="311">
        <f>J21*$B$1</f>
        <v/>
      </c>
      <c r="O21" s="311">
        <f>K21*$B$1</f>
        <v/>
      </c>
      <c r="P21" s="311">
        <f>IFERROR(MIN(VLOOKUP(E21,Detalle!A:AA,$P$6,0),VLOOKUP(E21,Detalle!A:AA,$P$7,0),VLOOKUP(E21,Detalle!A:AA,$P$4,0)),0)</f>
        <v/>
      </c>
      <c r="Q21" s="311">
        <f>IFERROR(MIN(VLOOKUP(E21,Detalle!A:AA,$Q$6,0),VLOOKUP(E21,Detalle!A:AA,$Q$7,0)),0)</f>
        <v/>
      </c>
      <c r="R21" s="311">
        <f>IFERROR(MIN(VLOOKUP(E21,Detalle!A:AA,$R$6,0),VLOOKUP(E21,Detalle!A:AA,$R$7,0)),0)</f>
        <v/>
      </c>
      <c r="S21" s="311">
        <f>IFERROR(MIN(VLOOKUP(E21,Detalle!A:AA,$S$6,0),VLOOKUP(E21,Detalle!A:AA,$S$7,0)),0)</f>
        <v/>
      </c>
      <c r="T21" s="311">
        <f>IFERROR(MAX(VLOOKUP(E21,Detalle!A:AA,$P$6,0),VLOOKUP(E21,Detalle!A:AA,$P$7,0),VLOOKUP(E21,Detalle!A:AA,$P$4,0)),0)</f>
        <v/>
      </c>
      <c r="U21" s="311">
        <f>IFERROR(MAX(VLOOKUP(E21,Detalle!A:AA,$Q$6,0),VLOOKUP(E21,Detalle!A:AA,$Q$7,0)),0)</f>
        <v/>
      </c>
      <c r="V21" s="311">
        <f>IFERROR(MAX(VLOOKUP(E21,Detalle!A:AA,$R$6,0),VLOOKUP(E21,Detalle!A:AA,$R$7,0)),0)</f>
        <v/>
      </c>
      <c r="W21" s="311">
        <f>IFERROR(MAX(VLOOKUP(E21,Detalle!A:AA,$S$6,0),VLOOKUP(E21,Detalle!A:AA,$S$7,0)),0)</f>
        <v/>
      </c>
      <c r="X21" s="311">
        <f>INDEX($A$27:$B$246,MATCH(IFERROR(IF(P21*(1+$Y$5)&lt;H21,H21,IF(P21*(1+$Y$5)&gt;L21,L21,P21*(1+$Y$5))),0),$A$27:$A$246,1),2)</f>
        <v/>
      </c>
      <c r="Y21" s="311">
        <f>INDEX($A$27:$B$246,MATCH(IFERROR(IF(Q21*(1+$Y$5)&lt;I21,I21,IF(Q21*(1+$Y$5)&gt;M21,M21,Q21*(1+$Y$5))),0),$A$27:$A$246,1),2)</f>
        <v/>
      </c>
      <c r="Z21" s="311">
        <f>INDEX($A$27:$B$246,MATCH(IFERROR(IF(R21*(1+$Y$5)&lt;J21,J21,IF(R21*(1+$Y$5)&gt;N21,N21,R21*(1+$Y$5))),0),$A$27:$A$246,1),2)</f>
        <v/>
      </c>
      <c r="AA21" s="311">
        <f>INDEX($A$27:$B$246,MATCH(IFERROR(IF(S21*(1+$Y$5)&lt;K21,K21,IF(S21*(1+$Y$5)&gt;O21,O21,S21*(1+$Y$5))),0),$A$27:$A$246,1),2)</f>
        <v/>
      </c>
      <c r="AB21" s="311">
        <f>INDEX($A$27:$B$246,MATCH(IFERROR(IF(P21-$AC$5&lt;H21,H21,IF(P21-$AC$5&gt;L21,L21,P21-$AC$5)),0),$A$27:$A$246,1),2)</f>
        <v/>
      </c>
      <c r="AC21" s="311">
        <f>INDEX($A$27:$B$246,MATCH(IFERROR(IF(Q21-$AC$5&lt;I21,I21,IF(Q21-$AC$5&gt;M21,M21,Q21-$AC$5)),0),$A$27:$A$246,1),2)</f>
        <v/>
      </c>
      <c r="AD21" s="311">
        <f>INDEX($A$27:$B$246,MATCH(IFERROR(IF(R21-$AC$5&lt;J21,J21,IF(R21-$AC$5&gt;N21,N21,R21-$AC$5)),0),$A$27:$A$246,1),2)</f>
        <v/>
      </c>
      <c r="AE21" s="311">
        <f>INDEX($A$27:$B$246,MATCH(IFERROR(IF(S21-$AC$5&lt;K21,K21,IF(S21-$AC$5&gt;O21,O21,S21-$AC$5)),0),$A$27:$A$246,1),2)</f>
        <v/>
      </c>
      <c r="AF21" s="311" t="s">
        <v>8</v>
      </c>
      <c r="AG21" s="311" t="s">
        <v>8</v>
      </c>
      <c r="AH21" s="311" t="s">
        <v>8</v>
      </c>
      <c r="AI21" s="311" t="s">
        <v>8</v>
      </c>
      <c r="AJ21" s="311">
        <f>INDEX($A$27:$B$246,MATCH(IFERROR(IF(T21&lt;H21,H21,IF(T21&gt;L21,L21,T21)),0),$A$27:$A$246,1),2)</f>
        <v/>
      </c>
      <c r="AK21" s="311">
        <f>INDEX($A$27:$B$246,MATCH(IFERROR(IF(U21&lt;I21,I21,IF(U21&gt;M21,M21,U21)),0),$A$27:$A$246,1),2)</f>
        <v/>
      </c>
      <c r="AL21" s="311">
        <f>INDEX($A$27:$B$246,MATCH(IFERROR(IF(V21&lt;J21,J21,IF(V21&gt;N21,N21,V21)),0),$A$27:$A$246,1),2)</f>
        <v/>
      </c>
      <c r="AM21" s="311">
        <f>INDEX($A$27:$B$246,MATCH(IFERROR(IF(W21&lt;K21,K21,IF(W21&gt;O21,O21,W21)),0),$A$27:$A$246,1),2)</f>
        <v/>
      </c>
      <c r="AN21" s="311">
        <f>INDEX($A$27:$B$246,MATCH(IFERROR(IF(T21&lt;H21,H21,IF(T21&gt;L21,L21,T21)),0),$A$27:$A$246,1),2)</f>
        <v/>
      </c>
      <c r="AO21" s="311">
        <f>INDEX($A$27:$B$246,MATCH(IFERROR(IF(U21&lt;I21,I21,IF(U21&gt;M21,M21,U21)),0),$A$27:$A$246,1),2)</f>
        <v/>
      </c>
      <c r="AP21" s="311">
        <f>INDEX($A$27:$B$246,MATCH(IFERROR(IF(V21&lt;J21,J21,IF(V21&gt;N21,N21,V21)),0),$A$27:$A$246,1),2)</f>
        <v/>
      </c>
      <c r="AQ21" s="311">
        <f>INDEX($A$27:$B$246,MATCH(IFERROR(IF(W21&lt;K21,K21,IF(W21&gt;O21,O21,W21)),0),$A$27:$A$246,1),2)</f>
        <v/>
      </c>
      <c r="AR21" s="311">
        <f>INDEX($A$27:$B$246,MATCH(IFERROR(IF(T21+$AS$5&lt;H21,H21,IF(T21+$AS$5&gt;L21,L21,T21+$AS$5)),0),$A$27:$A$246,1),2)</f>
        <v/>
      </c>
      <c r="AS21" s="311">
        <f>INDEX($A$27:$B$246,MATCH(IFERROR(IF(U21+$AS$5&lt;I21,I21,IF(U21+$AS$5&gt;M21,M21,U21+$AS$5)),0),$A$27:$A$246,1),2)</f>
        <v/>
      </c>
      <c r="AT21" s="311">
        <f>INDEX($A$27:$B$246,MATCH(IFERROR(IF(V21+$AS$5&lt;J21,J21,IF(V21+$AS$5&gt;N21,N21,V21+$AS$5)),0),$A$27:$A$246,1),2)</f>
        <v/>
      </c>
      <c r="AU21" s="311">
        <f>INDEX($A$27:$B$246,MATCH(IFERROR(IF(W21+$AS$5&lt;K21,K21,IF(W21+$AS$5&gt;O21,O21,W21+$AS$5)),0),$A$27:$A$246,1),2)</f>
        <v/>
      </c>
      <c r="AV21" s="311">
        <f>INDEX($A$27:$B$246,MATCH(IFERROR(IF(T21+$AW$5&lt;H21,H21,IF(T21+$AW$5&gt;L21,L21,T21+$AW$5)),0),$A$27:$A$246,1),2)</f>
        <v/>
      </c>
      <c r="AW21" s="311">
        <f>INDEX($A$27:$B$246,MATCH(IFERROR(IF(U21+$AW$5&lt;I21,I21,IF(U21+$AW$5&gt;M21,M21,U21+$AW$5)),0),$A$27:$A$246,1),2)</f>
        <v/>
      </c>
      <c r="AX21" s="311">
        <f>INDEX($A$27:$B$246,MATCH(IFERROR(IF(V21+$AW$5&lt;J21,J21,IF(V21+$AW$5&gt;N21,N21,V21+$AW$5)),0),$A$27:$A$246,1),2)</f>
        <v/>
      </c>
      <c r="AY21" s="311">
        <f>INDEX($A$27:$B$246,MATCH(IFERROR(IF(W21+$AW$5&lt;K21,K21,IF(W21+$AW$5&gt;O21,O21,W21+$AW$5)),0),$A$27:$A$246,1),2)</f>
        <v/>
      </c>
      <c r="AZ21" s="311">
        <f>INDEX($A$27:$B$246,MATCH(IFERROR(IF(T21+$BA$5&lt;H21,H21,IF(T21+$BA$5&gt;L21,L21,T21+$BA$5)),0),$A$27:$A$246,1),2)</f>
        <v/>
      </c>
      <c r="BA21" s="311">
        <f>INDEX($A$27:$B$246,MATCH(IFERROR(IF(U21+$BA$5&lt;I21,I21,IF(U21+$BA$5&gt;M21,M21,U21+$BA$5)),0),$A$27:$A$246,1),2)</f>
        <v/>
      </c>
      <c r="BB21" s="311">
        <f>INDEX($A$27:$B$246,MATCH(IFERROR(IF(V21+$BA$5&lt;J21,J21,IF(V21+$BA$5&gt;N21,N21,V21+$BA$5)),0),$A$27:$A$246,1),2)</f>
        <v/>
      </c>
      <c r="BC21" s="311">
        <f>INDEX($A$27:$B$246,MATCH(IFERROR(IF(W21+$BA$5&lt;K21,K21,IF(W21+$BA$5&gt;O21,O21,W21+$BA$5)),0),$A$27:$A$246,1),2)</f>
        <v/>
      </c>
      <c r="BD21" s="311" t="s">
        <v>8</v>
      </c>
      <c r="BE21" s="311" t="s">
        <v>8</v>
      </c>
      <c r="BF21" s="311" t="s">
        <v>8</v>
      </c>
      <c r="BG21" s="311" t="s">
        <v>8</v>
      </c>
      <c r="BI21" s="312" t="s">
        <v>156</v>
      </c>
      <c r="BJ21" s="108" t="s">
        <v>202</v>
      </c>
      <c r="BK21" s="108" t="s">
        <v>237</v>
      </c>
      <c r="BL21" s="108" t="n">
        <v>30</v>
      </c>
    </row>
    <row r="22" spans="1:64">
      <c r="D22" t="s">
        <v>74</v>
      </c>
      <c r="E22" s="34" t="s">
        <v>74</v>
      </c>
      <c r="F22" s="34" t="s">
        <v>219</v>
      </c>
      <c r="G22" s="34" t="n">
        <v>6</v>
      </c>
      <c r="H22" s="310" t="n">
        <v>1</v>
      </c>
      <c r="I22" s="310" t="n">
        <v>1</v>
      </c>
      <c r="J22" s="310" t="n">
        <v>1</v>
      </c>
      <c r="K22" s="310" t="n">
        <v>1</v>
      </c>
      <c r="L22" s="311">
        <f>H22*$B$1</f>
        <v/>
      </c>
      <c r="M22" s="311">
        <f>I22*$B$1</f>
        <v/>
      </c>
      <c r="N22" s="311">
        <f>J22*$B$1</f>
        <v/>
      </c>
      <c r="O22" s="311">
        <f>K22*$B$1</f>
        <v/>
      </c>
      <c r="P22" s="311">
        <f>IFERROR(MIN(VLOOKUP(E22,Detalle!A:AA,$P$6,0),VLOOKUP(E22,Detalle!A:AA,$P$7,0),VLOOKUP(E22,Detalle!A:AA,$P$4,0)),0)</f>
        <v/>
      </c>
      <c r="Q22" s="311">
        <f>IFERROR(MIN(VLOOKUP(E22,Detalle!A:AA,$Q$6,0),VLOOKUP(E22,Detalle!A:AA,$Q$7,0)),0)</f>
        <v/>
      </c>
      <c r="R22" s="311">
        <f>IFERROR(MIN(VLOOKUP(E22,Detalle!A:AA,$R$6,0),VLOOKUP(E22,Detalle!A:AA,$R$7,0)),0)</f>
        <v/>
      </c>
      <c r="S22" s="311">
        <f>IFERROR(MIN(VLOOKUP(E22,Detalle!A:AA,$S$6,0),VLOOKUP(E22,Detalle!A:AA,$S$7,0)),0)</f>
        <v/>
      </c>
      <c r="T22" s="311">
        <f>IFERROR(MAX(VLOOKUP(E22,Detalle!A:AA,$P$6,0),VLOOKUP(E22,Detalle!A:AA,$P$7,0),VLOOKUP(E22,Detalle!A:AA,$P$4,0)),0)</f>
        <v/>
      </c>
      <c r="U22" s="311">
        <f>IFERROR(MAX(VLOOKUP(E22,Detalle!A:AA,$Q$6,0),VLOOKUP(E22,Detalle!A:AA,$Q$7,0)),0)</f>
        <v/>
      </c>
      <c r="V22" s="311">
        <f>IFERROR(MAX(VLOOKUP(E22,Detalle!A:AA,$R$6,0),VLOOKUP(E22,Detalle!A:AA,$R$7,0)),0)</f>
        <v/>
      </c>
      <c r="W22" s="311">
        <f>IFERROR(MAX(VLOOKUP(E22,Detalle!A:AA,$S$6,0),VLOOKUP(E22,Detalle!A:AA,$S$7,0)),0)</f>
        <v/>
      </c>
      <c r="X22" s="311">
        <f>INDEX($A$27:$B$246,MATCH(IFERROR(IF(P22*(1+$Y$5)&lt;H22,H22,IF(P22*(1+$Y$5)&gt;L22,L22,P22*(1+$Y$5))),0),$A$27:$A$246,1),2)</f>
        <v/>
      </c>
      <c r="Y22" s="311">
        <f>INDEX($A$27:$B$246,MATCH(IFERROR(IF(Q22*(1+$Y$5)&lt;I22,I22,IF(Q22*(1+$Y$5)&gt;M22,M22,Q22*(1+$Y$5))),0),$A$27:$A$246,1),2)</f>
        <v/>
      </c>
      <c r="Z22" s="311">
        <f>INDEX($A$27:$B$246,MATCH(IFERROR(IF(R22*(1+$Y$5)&lt;J22,J22,IF(R22*(1+$Y$5)&gt;N22,N22,R22*(1+$Y$5))),0),$A$27:$A$246,1),2)</f>
        <v/>
      </c>
      <c r="AA22" s="311">
        <f>INDEX($A$27:$B$246,MATCH(IFERROR(IF(S22*(1+$Y$5)&lt;K22,K22,IF(S22*(1+$Y$5)&gt;O22,O22,S22*(1+$Y$5))),0),$A$27:$A$246,1),2)</f>
        <v/>
      </c>
      <c r="AB22" s="311">
        <f>INDEX($A$27:$B$246,MATCH(IFERROR(IF(P22-$AC$5&lt;H22,H22,IF(P22-$AC$5&gt;L22,L22,P22-$AC$5)),0),$A$27:$A$246,1),2)</f>
        <v/>
      </c>
      <c r="AC22" s="311">
        <f>INDEX($A$27:$B$246,MATCH(IFERROR(IF(Q22-$AC$5&lt;I22,I22,IF(Q22-$AC$5&gt;M22,M22,Q22-$AC$5)),0),$A$27:$A$246,1),2)</f>
        <v/>
      </c>
      <c r="AD22" s="311">
        <f>INDEX($A$27:$B$246,MATCH(IFERROR(IF(R22-$AC$5&lt;J22,J22,IF(R22-$AC$5&gt;N22,N22,R22-$AC$5)),0),$A$27:$A$246,1),2)</f>
        <v/>
      </c>
      <c r="AE22" s="311">
        <f>INDEX($A$27:$B$246,MATCH(IFERROR(IF(S22-$AC$5&lt;K22,K22,IF(S22-$AC$5&gt;O22,O22,S22-$AC$5)),0),$A$27:$A$246,1),2)</f>
        <v/>
      </c>
      <c r="AF22" s="311" t="s">
        <v>8</v>
      </c>
      <c r="AG22" s="311" t="s">
        <v>8</v>
      </c>
      <c r="AH22" s="311" t="s">
        <v>8</v>
      </c>
      <c r="AI22" s="311" t="s">
        <v>8</v>
      </c>
      <c r="AJ22" s="311">
        <f>INDEX($A$27:$B$246,MATCH(IFERROR(IF(T22&lt;H22,H22,IF(T22&gt;L22,L22,T22)),0),$A$27:$A$246,1),2)</f>
        <v/>
      </c>
      <c r="AK22" s="311">
        <f>INDEX($A$27:$B$246,MATCH(IFERROR(IF(U22&lt;I22,I22,IF(U22&gt;M22,M22,U22)),0),$A$27:$A$246,1),2)</f>
        <v/>
      </c>
      <c r="AL22" s="311">
        <f>INDEX($A$27:$B$246,MATCH(IFERROR(IF(V22&lt;J22,J22,IF(V22&gt;N22,N22,V22)),0),$A$27:$A$246,1),2)</f>
        <v/>
      </c>
      <c r="AM22" s="311">
        <f>INDEX($A$27:$B$246,MATCH(IFERROR(IF(W22&lt;K22,K22,IF(W22&gt;O22,O22,W22)),0),$A$27:$A$246,1),2)</f>
        <v/>
      </c>
      <c r="AN22" s="311">
        <f>INDEX($A$27:$B$246,MATCH(IFERROR(IF(T22&lt;H22,H22,IF(T22&gt;L22,L22,T22)),0),$A$27:$A$246,1),2)</f>
        <v/>
      </c>
      <c r="AO22" s="311">
        <f>INDEX($A$27:$B$246,MATCH(IFERROR(IF(U22&lt;I22,I22,IF(U22&gt;M22,M22,U22)),0),$A$27:$A$246,1),2)</f>
        <v/>
      </c>
      <c r="AP22" s="311">
        <f>INDEX($A$27:$B$246,MATCH(IFERROR(IF(V22&lt;J22,J22,IF(V22&gt;N22,N22,V22)),0),$A$27:$A$246,1),2)</f>
        <v/>
      </c>
      <c r="AQ22" s="311">
        <f>INDEX($A$27:$B$246,MATCH(IFERROR(IF(W22&lt;K22,K22,IF(W22&gt;O22,O22,W22)),0),$A$27:$A$246,1),2)</f>
        <v/>
      </c>
      <c r="AR22" s="311">
        <f>INDEX($A$27:$B$246,MATCH(IFERROR(IF(T22+$AS$5&lt;H22,H22,IF(T22+$AS$5&gt;L22,L22,T22+$AS$5)),0),$A$27:$A$246,1),2)</f>
        <v/>
      </c>
      <c r="AS22" s="311">
        <f>INDEX($A$27:$B$246,MATCH(IFERROR(IF(U22+$AS$5&lt;I22,I22,IF(U22+$AS$5&gt;M22,M22,U22+$AS$5)),0),$A$27:$A$246,1),2)</f>
        <v/>
      </c>
      <c r="AT22" s="311">
        <f>INDEX($A$27:$B$246,MATCH(IFERROR(IF(V22+$AS$5&lt;J22,J22,IF(V22+$AS$5&gt;N22,N22,V22+$AS$5)),0),$A$27:$A$246,1),2)</f>
        <v/>
      </c>
      <c r="AU22" s="311">
        <f>INDEX($A$27:$B$246,MATCH(IFERROR(IF(W22+$AS$5&lt;K22,K22,IF(W22+$AS$5&gt;O22,O22,W22+$AS$5)),0),$A$27:$A$246,1),2)</f>
        <v/>
      </c>
      <c r="AV22" s="311">
        <f>INDEX($A$27:$B$246,MATCH(IFERROR(IF(T22+$AW$5&lt;H22,H22,IF(T22+$AW$5&gt;L22,L22,T22+$AW$5)),0),$A$27:$A$246,1),2)</f>
        <v/>
      </c>
      <c r="AW22" s="311">
        <f>INDEX($A$27:$B$246,MATCH(IFERROR(IF(U22+$AW$5&lt;I22,I22,IF(U22+$AW$5&gt;M22,M22,U22+$AW$5)),0),$A$27:$A$246,1),2)</f>
        <v/>
      </c>
      <c r="AX22" s="311">
        <f>INDEX($A$27:$B$246,MATCH(IFERROR(IF(V22+$AW$5&lt;J22,J22,IF(V22+$AW$5&gt;N22,N22,V22+$AW$5)),0),$A$27:$A$246,1),2)</f>
        <v/>
      </c>
      <c r="AY22" s="311">
        <f>INDEX($A$27:$B$246,MATCH(IFERROR(IF(W22+$AW$5&lt;K22,K22,IF(W22+$AW$5&gt;O22,O22,W22+$AW$5)),0),$A$27:$A$246,1),2)</f>
        <v/>
      </c>
      <c r="AZ22" s="311">
        <f>INDEX($A$27:$B$246,MATCH(IFERROR(IF(T22+$BA$5&lt;H22,H22,IF(T22+$BA$5&gt;L22,L22,T22+$BA$5)),0),$A$27:$A$246,1),2)</f>
        <v/>
      </c>
      <c r="BA22" s="311">
        <f>INDEX($A$27:$B$246,MATCH(IFERROR(IF(U22+$BA$5&lt;I22,I22,IF(U22+$BA$5&gt;M22,M22,U22+$BA$5)),0),$A$27:$A$246,1),2)</f>
        <v/>
      </c>
      <c r="BB22" s="311">
        <f>INDEX($A$27:$B$246,MATCH(IFERROR(IF(V22+$BA$5&lt;J22,J22,IF(V22+$BA$5&gt;N22,N22,V22+$BA$5)),0),$A$27:$A$246,1),2)</f>
        <v/>
      </c>
      <c r="BC22" s="311">
        <f>INDEX($A$27:$B$246,MATCH(IFERROR(IF(W22+$BA$5&lt;K22,K22,IF(W22+$BA$5&gt;O22,O22,W22+$BA$5)),0),$A$27:$A$246,1),2)</f>
        <v/>
      </c>
      <c r="BD22" s="311" t="s">
        <v>8</v>
      </c>
      <c r="BE22" s="311" t="s">
        <v>8</v>
      </c>
      <c r="BF22" s="311" t="s">
        <v>8</v>
      </c>
      <c r="BG22" s="311" t="s">
        <v>8</v>
      </c>
      <c r="BI22" s="312" t="s">
        <v>156</v>
      </c>
      <c r="BJ22" s="108" t="s">
        <v>203</v>
      </c>
      <c r="BK22" s="108" t="s">
        <v>238</v>
      </c>
      <c r="BL22" s="108" t="n">
        <v>34</v>
      </c>
    </row>
    <row r="23" spans="1:64">
      <c r="D23" t="s">
        <v>80</v>
      </c>
      <c r="E23" s="34" t="s">
        <v>80</v>
      </c>
      <c r="F23" s="34" t="s">
        <v>239</v>
      </c>
      <c r="G23" s="34" t="n">
        <v>77</v>
      </c>
      <c r="H23" s="310" t="n">
        <v>1</v>
      </c>
      <c r="I23" s="310" t="n">
        <v>1</v>
      </c>
      <c r="J23" s="310" t="n">
        <v>1</v>
      </c>
      <c r="K23" s="310" t="n">
        <v>1</v>
      </c>
      <c r="L23" s="311">
        <f>H23*$B$1</f>
        <v/>
      </c>
      <c r="M23" s="311">
        <f>I23*$B$1</f>
        <v/>
      </c>
      <c r="N23" s="311">
        <f>J23*$B$1</f>
        <v/>
      </c>
      <c r="O23" s="311">
        <f>K23*$B$1</f>
        <v/>
      </c>
      <c r="P23" s="311">
        <f>IFERROR(MIN(VLOOKUP(E23,Detalle!A:AA,$P$6,0),VLOOKUP(E23,Detalle!A:AA,$P$7,0),VLOOKUP(E23,Detalle!A:AA,$P$4,0)),0)</f>
        <v/>
      </c>
      <c r="Q23" s="311">
        <f>IFERROR(MIN(VLOOKUP(E23,Detalle!A:AA,$Q$6,0),VLOOKUP(E23,Detalle!A:AA,$Q$7,0)),0)</f>
        <v/>
      </c>
      <c r="R23" s="311">
        <f>IFERROR(MIN(VLOOKUP(E23,Detalle!A:AA,$R$6,0),VLOOKUP(E23,Detalle!A:AA,$R$7,0)),0)</f>
        <v/>
      </c>
      <c r="S23" s="311">
        <f>IFERROR(MIN(VLOOKUP(E23,Detalle!A:AA,$S$6,0),VLOOKUP(E23,Detalle!A:AA,$S$7,0)),0)</f>
        <v/>
      </c>
      <c r="T23" s="311">
        <f>IFERROR(MAX(VLOOKUP(E23,Detalle!A:AA,$P$6,0),VLOOKUP(E23,Detalle!A:AA,$P$7,0),VLOOKUP(E23,Detalle!A:AA,$P$4,0)),0)</f>
        <v/>
      </c>
      <c r="U23" s="311">
        <f>IFERROR(MAX(VLOOKUP(E23,Detalle!A:AA,$Q$6,0),VLOOKUP(E23,Detalle!A:AA,$Q$7,0)),0)</f>
        <v/>
      </c>
      <c r="V23" s="311">
        <f>IFERROR(MAX(VLOOKUP(E23,Detalle!A:AA,$R$6,0),VLOOKUP(E23,Detalle!A:AA,$R$7,0)),0)</f>
        <v/>
      </c>
      <c r="W23" s="311">
        <f>IFERROR(MAX(VLOOKUP(E23,Detalle!A:AA,$S$6,0),VLOOKUP(E23,Detalle!A:AA,$S$7,0)),0)</f>
        <v/>
      </c>
      <c r="X23" s="311">
        <f>INDEX($A$27:$B$246,MATCH(IFERROR(IF(P23*(1+$Y$5)&lt;H23,H23,IF(P23*(1+$Y$5)&gt;L23,L23,P23*(1+$Y$5))),0),$A$27:$A$246,1),2)</f>
        <v/>
      </c>
      <c r="Y23" s="311">
        <f>INDEX($A$27:$B$246,MATCH(IFERROR(IF(Q23*(1+$Y$5)&lt;I23,I23,IF(Q23*(1+$Y$5)&gt;M23,M23,Q23*(1+$Y$5))),0),$A$27:$A$246,1),2)</f>
        <v/>
      </c>
      <c r="Z23" s="311">
        <f>INDEX($A$27:$B$246,MATCH(IFERROR(IF(R23*(1+$Y$5)&lt;J23,J23,IF(R23*(1+$Y$5)&gt;N23,N23,R23*(1+$Y$5))),0),$A$27:$A$246,1),2)</f>
        <v/>
      </c>
      <c r="AA23" s="311">
        <f>INDEX($A$27:$B$246,MATCH(IFERROR(IF(S23*(1+$Y$5)&lt;K23,K23,IF(S23*(1+$Y$5)&gt;O23,O23,S23*(1+$Y$5))),0),$A$27:$A$246,1),2)</f>
        <v/>
      </c>
      <c r="AB23" s="311">
        <f>INDEX($A$27:$B$246,MATCH(IFERROR(IF(P23-$AC$5&lt;H23,H23,IF(P23-$AC$5&gt;L23,L23,P23-$AC$5)),0),$A$27:$A$246,1),2)</f>
        <v/>
      </c>
      <c r="AC23" s="311">
        <f>INDEX($A$27:$B$246,MATCH(IFERROR(IF(Q23-$AC$5&lt;I23,I23,IF(Q23-$AC$5&gt;M23,M23,Q23-$AC$5)),0),$A$27:$A$246,1),2)</f>
        <v/>
      </c>
      <c r="AD23" s="311">
        <f>INDEX($A$27:$B$246,MATCH(IFERROR(IF(R23-$AC$5&lt;J23,J23,IF(R23-$AC$5&gt;N23,N23,R23-$AC$5)),0),$A$27:$A$246,1),2)</f>
        <v/>
      </c>
      <c r="AE23" s="311">
        <f>INDEX($A$27:$B$246,MATCH(IFERROR(IF(S23-$AC$5&lt;K23,K23,IF(S23-$AC$5&gt;O23,O23,S23-$AC$5)),0),$A$27:$A$246,1),2)</f>
        <v/>
      </c>
      <c r="AF23" s="311" t="s">
        <v>8</v>
      </c>
      <c r="AG23" s="311" t="s">
        <v>8</v>
      </c>
      <c r="AH23" s="311" t="s">
        <v>8</v>
      </c>
      <c r="AI23" s="311" t="s">
        <v>8</v>
      </c>
      <c r="AJ23" s="311">
        <f>INDEX($A$27:$B$246,MATCH(IFERROR(IF(T23&lt;H23,H23,IF(T23&gt;L23,L23,T23)),0),$A$27:$A$246,1),2)</f>
        <v/>
      </c>
      <c r="AK23" s="311">
        <f>INDEX($A$27:$B$246,MATCH(IFERROR(IF(U23&lt;I23,I23,IF(U23&gt;M23,M23,U23)),0),$A$27:$A$246,1),2)</f>
        <v/>
      </c>
      <c r="AL23" s="311">
        <f>INDEX($A$27:$B$246,MATCH(IFERROR(IF(V23&lt;J23,J23,IF(V23&gt;N23,N23,V23)),0),$A$27:$A$246,1),2)</f>
        <v/>
      </c>
      <c r="AM23" s="311">
        <f>INDEX($A$27:$B$246,MATCH(IFERROR(IF(W23&lt;K23,K23,IF(W23&gt;O23,O23,W23)),0),$A$27:$A$246,1),2)</f>
        <v/>
      </c>
      <c r="AN23" s="311">
        <f>INDEX($A$27:$B$246,MATCH(IFERROR(IF(T23&lt;H23,H23,IF(T23&gt;L23,L23,T23)),0),$A$27:$A$246,1),2)</f>
        <v/>
      </c>
      <c r="AO23" s="311">
        <f>INDEX($A$27:$B$246,MATCH(IFERROR(IF(U23&lt;I23,I23,IF(U23&gt;M23,M23,U23)),0),$A$27:$A$246,1),2)</f>
        <v/>
      </c>
      <c r="AP23" s="311">
        <f>INDEX($A$27:$B$246,MATCH(IFERROR(IF(V23&lt;J23,J23,IF(V23&gt;N23,N23,V23)),0),$A$27:$A$246,1),2)</f>
        <v/>
      </c>
      <c r="AQ23" s="311">
        <f>INDEX($A$27:$B$246,MATCH(IFERROR(IF(W23&lt;K23,K23,IF(W23&gt;O23,O23,W23)),0),$A$27:$A$246,1),2)</f>
        <v/>
      </c>
      <c r="AR23" s="311">
        <f>INDEX($A$27:$B$246,MATCH(IFERROR(IF(T23+$AS$5&lt;H23,H23,IF(T23+$AS$5&gt;L23,L23,T23+$AS$5)),0),$A$27:$A$246,1),2)</f>
        <v/>
      </c>
      <c r="AS23" s="311">
        <f>INDEX($A$27:$B$246,MATCH(IFERROR(IF(U23+$AS$5&lt;I23,I23,IF(U23+$AS$5&gt;M23,M23,U23+$AS$5)),0),$A$27:$A$246,1),2)</f>
        <v/>
      </c>
      <c r="AT23" s="311">
        <f>INDEX($A$27:$B$246,MATCH(IFERROR(IF(V23+$AS$5&lt;J23,J23,IF(V23+$AS$5&gt;N23,N23,V23+$AS$5)),0),$A$27:$A$246,1),2)</f>
        <v/>
      </c>
      <c r="AU23" s="311">
        <f>INDEX($A$27:$B$246,MATCH(IFERROR(IF(W23+$AS$5&lt;K23,K23,IF(W23+$AS$5&gt;O23,O23,W23+$AS$5)),0),$A$27:$A$246,1),2)</f>
        <v/>
      </c>
      <c r="AV23" s="311">
        <f>INDEX($A$27:$B$246,MATCH(IFERROR(IF(T23+$AW$5&lt;H23,H23,IF(T23+$AW$5&gt;L23,L23,T23+$AW$5)),0),$A$27:$A$246,1),2)</f>
        <v/>
      </c>
      <c r="AW23" s="311">
        <f>INDEX($A$27:$B$246,MATCH(IFERROR(IF(U23+$AW$5&lt;I23,I23,IF(U23+$AW$5&gt;M23,M23,U23+$AW$5)),0),$A$27:$A$246,1),2)</f>
        <v/>
      </c>
      <c r="AX23" s="311">
        <f>INDEX($A$27:$B$246,MATCH(IFERROR(IF(V23+$AW$5&lt;J23,J23,IF(V23+$AW$5&gt;N23,N23,V23+$AW$5)),0),$A$27:$A$246,1),2)</f>
        <v/>
      </c>
      <c r="AY23" s="311">
        <f>INDEX($A$27:$B$246,MATCH(IFERROR(IF(W23+$AW$5&lt;K23,K23,IF(W23+$AW$5&gt;O23,O23,W23+$AW$5)),0),$A$27:$A$246,1),2)</f>
        <v/>
      </c>
      <c r="AZ23" s="311">
        <f>INDEX($A$27:$B$246,MATCH(IFERROR(IF(T23+$BA$5&lt;H23,H23,IF(T23+$BA$5&gt;L23,L23,T23+$BA$5)),0),$A$27:$A$246,1),2)</f>
        <v/>
      </c>
      <c r="BA23" s="311">
        <f>INDEX($A$27:$B$246,MATCH(IFERROR(IF(U23+$BA$5&lt;I23,I23,IF(U23+$BA$5&gt;M23,M23,U23+$BA$5)),0),$A$27:$A$246,1),2)</f>
        <v/>
      </c>
      <c r="BB23" s="311">
        <f>INDEX($A$27:$B$246,MATCH(IFERROR(IF(V23+$BA$5&lt;J23,J23,IF(V23+$BA$5&gt;N23,N23,V23+$BA$5)),0),$A$27:$A$246,1),2)</f>
        <v/>
      </c>
      <c r="BC23" s="311">
        <f>INDEX($A$27:$B$246,MATCH(IFERROR(IF(W23+$BA$5&lt;K23,K23,IF(W23+$BA$5&gt;O23,O23,W23+$BA$5)),0),$A$27:$A$246,1),2)</f>
        <v/>
      </c>
      <c r="BD23" s="311" t="s">
        <v>8</v>
      </c>
      <c r="BE23" s="311" t="s">
        <v>8</v>
      </c>
      <c r="BF23" s="311" t="s">
        <v>8</v>
      </c>
      <c r="BG23" s="311" t="s">
        <v>8</v>
      </c>
      <c r="BI23" s="312" t="s">
        <v>156</v>
      </c>
      <c r="BJ23" s="108" t="s">
        <v>204</v>
      </c>
      <c r="BK23" s="108" t="s">
        <v>240</v>
      </c>
      <c r="BL23" s="108" t="n">
        <v>38</v>
      </c>
    </row>
    <row r="24" spans="1:64">
      <c r="A24" s="13" t="s">
        <v>241</v>
      </c>
      <c r="B24" s="13" t="n">
        <v>500</v>
      </c>
      <c r="D24" t="s">
        <v>82</v>
      </c>
      <c r="E24" s="34" t="s">
        <v>82</v>
      </c>
      <c r="F24" s="34" t="s">
        <v>239</v>
      </c>
      <c r="G24" s="34" t="n">
        <v>83</v>
      </c>
      <c r="H24" s="310" t="n">
        <v>1</v>
      </c>
      <c r="I24" s="310" t="n">
        <v>1</v>
      </c>
      <c r="J24" s="310" t="n">
        <v>1</v>
      </c>
      <c r="K24" s="310" t="n">
        <v>1</v>
      </c>
      <c r="L24" s="311">
        <f>H24*$B$1</f>
        <v/>
      </c>
      <c r="M24" s="311">
        <f>I24*$B$1</f>
        <v/>
      </c>
      <c r="N24" s="311">
        <f>J24*$B$1</f>
        <v/>
      </c>
      <c r="O24" s="311">
        <f>K24*$B$1</f>
        <v/>
      </c>
      <c r="P24" s="311">
        <f>IFERROR(MIN(VLOOKUP(E24,Detalle!A:AA,$P$6,0),VLOOKUP(E24,Detalle!A:AA,$P$7,0),VLOOKUP(E24,Detalle!A:AA,$P$4,0)),0)</f>
        <v/>
      </c>
      <c r="Q24" s="311">
        <f>IFERROR(MIN(VLOOKUP(E24,Detalle!A:AA,$Q$6,0),VLOOKUP(E24,Detalle!A:AA,$Q$7,0)),0)</f>
        <v/>
      </c>
      <c r="R24" s="311">
        <f>IFERROR(MIN(VLOOKUP(E24,Detalle!A:AA,$R$6,0),VLOOKUP(E24,Detalle!A:AA,$R$7,0)),0)</f>
        <v/>
      </c>
      <c r="S24" s="311">
        <f>IFERROR(MIN(VLOOKUP(E24,Detalle!A:AA,$S$6,0),VLOOKUP(E24,Detalle!A:AA,$S$7,0)),0)</f>
        <v/>
      </c>
      <c r="T24" s="311">
        <f>IFERROR(MAX(VLOOKUP(E24,Detalle!A:AA,$P$6,0),VLOOKUP(E24,Detalle!A:AA,$P$7,0),VLOOKUP(E24,Detalle!A:AA,$P$4,0)),0)</f>
        <v/>
      </c>
      <c r="U24" s="311">
        <f>IFERROR(MAX(VLOOKUP(E24,Detalle!A:AA,$Q$6,0),VLOOKUP(E24,Detalle!A:AA,$Q$7,0)),0)</f>
        <v/>
      </c>
      <c r="V24" s="311">
        <f>IFERROR(MAX(VLOOKUP(E24,Detalle!A:AA,$R$6,0),VLOOKUP(E24,Detalle!A:AA,$R$7,0)),0)</f>
        <v/>
      </c>
      <c r="W24" s="311">
        <f>IFERROR(MAX(VLOOKUP(E24,Detalle!A:AA,$S$6,0),VLOOKUP(E24,Detalle!A:AA,$S$7,0)),0)</f>
        <v/>
      </c>
      <c r="X24" s="311">
        <f>INDEX($A$27:$B$246,MATCH(IFERROR(IF(P24*(1+$Y$5)&lt;H24,H24,IF(P24*(1+$Y$5)&gt;L24,L24,P24*(1+$Y$5))),0),$A$27:$A$246,1),2)</f>
        <v/>
      </c>
      <c r="Y24" s="311">
        <f>INDEX($A$27:$B$246,MATCH(IFERROR(IF(Q24*(1+$Y$5)&lt;I24,I24,IF(Q24*(1+$Y$5)&gt;M24,M24,Q24*(1+$Y$5))),0),$A$27:$A$246,1),2)</f>
        <v/>
      </c>
      <c r="Z24" s="311">
        <f>INDEX($A$27:$B$246,MATCH(IFERROR(IF(R24*(1+$Y$5)&lt;J24,J24,IF(R24*(1+$Y$5)&gt;N24,N24,R24*(1+$Y$5))),0),$A$27:$A$246,1),2)</f>
        <v/>
      </c>
      <c r="AA24" s="311">
        <f>INDEX($A$27:$B$246,MATCH(IFERROR(IF(S24*(1+$Y$5)&lt;K24,K24,IF(S24*(1+$Y$5)&gt;O24,O24,S24*(1+$Y$5))),0),$A$27:$A$246,1),2)</f>
        <v/>
      </c>
      <c r="AB24" s="311">
        <f>INDEX($A$27:$B$246,MATCH(IFERROR(IF(P24-$AC$5&lt;H24,H24,IF(P24-$AC$5&gt;L24,L24,P24-$AC$5)),0),$A$27:$A$246,1),2)</f>
        <v/>
      </c>
      <c r="AC24" s="311">
        <f>INDEX($A$27:$B$246,MATCH(IFERROR(IF(Q24-$AC$5&lt;I24,I24,IF(Q24-$AC$5&gt;M24,M24,Q24-$AC$5)),0),$A$27:$A$246,1),2)</f>
        <v/>
      </c>
      <c r="AD24" s="311">
        <f>INDEX($A$27:$B$246,MATCH(IFERROR(IF(R24-$AC$5&lt;J24,J24,IF(R24-$AC$5&gt;N24,N24,R24-$AC$5)),0),$A$27:$A$246,1),2)</f>
        <v/>
      </c>
      <c r="AE24" s="311">
        <f>INDEX($A$27:$B$246,MATCH(IFERROR(IF(S24-$AC$5&lt;K24,K24,IF(S24-$AC$5&gt;O24,O24,S24-$AC$5)),0),$A$27:$A$246,1),2)</f>
        <v/>
      </c>
      <c r="AF24" s="311" t="s">
        <v>8</v>
      </c>
      <c r="AG24" s="311" t="s">
        <v>8</v>
      </c>
      <c r="AH24" s="311" t="s">
        <v>8</v>
      </c>
      <c r="AI24" s="311" t="s">
        <v>8</v>
      </c>
      <c r="AJ24" s="311">
        <f>INDEX($A$27:$B$246,MATCH(IFERROR(IF(T24&lt;H24,H24,IF(T24&gt;L24,L24,T24)),0),$A$27:$A$246,1),2)</f>
        <v/>
      </c>
      <c r="AK24" s="311">
        <f>INDEX($A$27:$B$246,MATCH(IFERROR(IF(U24&lt;I24,I24,IF(U24&gt;M24,M24,U24)),0),$A$27:$A$246,1),2)</f>
        <v/>
      </c>
      <c r="AL24" s="311">
        <f>INDEX($A$27:$B$246,MATCH(IFERROR(IF(V24&lt;J24,J24,IF(V24&gt;N24,N24,V24)),0),$A$27:$A$246,1),2)</f>
        <v/>
      </c>
      <c r="AM24" s="311">
        <f>INDEX($A$27:$B$246,MATCH(IFERROR(IF(W24&lt;K24,K24,IF(W24&gt;O24,O24,W24)),0),$A$27:$A$246,1),2)</f>
        <v/>
      </c>
      <c r="AN24" s="311">
        <f>INDEX($A$27:$B$246,MATCH(IFERROR(IF(T24&lt;H24,H24,IF(T24&gt;L24,L24,T24)),0),$A$27:$A$246,1),2)</f>
        <v/>
      </c>
      <c r="AO24" s="311">
        <f>INDEX($A$27:$B$246,MATCH(IFERROR(IF(U24&lt;I24,I24,IF(U24&gt;M24,M24,U24)),0),$A$27:$A$246,1),2)</f>
        <v/>
      </c>
      <c r="AP24" s="311">
        <f>INDEX($A$27:$B$246,MATCH(IFERROR(IF(V24&lt;J24,J24,IF(V24&gt;N24,N24,V24)),0),$A$27:$A$246,1),2)</f>
        <v/>
      </c>
      <c r="AQ24" s="311">
        <f>INDEX($A$27:$B$246,MATCH(IFERROR(IF(W24&lt;K24,K24,IF(W24&gt;O24,O24,W24)),0),$A$27:$A$246,1),2)</f>
        <v/>
      </c>
      <c r="AR24" s="311">
        <f>INDEX($A$27:$B$246,MATCH(IFERROR(IF(T24+$AS$5&lt;H24,H24,IF(T24+$AS$5&gt;L24,L24,T24+$AS$5)),0),$A$27:$A$246,1),2)</f>
        <v/>
      </c>
      <c r="AS24" s="311">
        <f>INDEX($A$27:$B$246,MATCH(IFERROR(IF(U24+$AS$5&lt;I24,I24,IF(U24+$AS$5&gt;M24,M24,U24+$AS$5)),0),$A$27:$A$246,1),2)</f>
        <v/>
      </c>
      <c r="AT24" s="311">
        <f>INDEX($A$27:$B$246,MATCH(IFERROR(IF(V24+$AS$5&lt;J24,J24,IF(V24+$AS$5&gt;N24,N24,V24+$AS$5)),0),$A$27:$A$246,1),2)</f>
        <v/>
      </c>
      <c r="AU24" s="311">
        <f>INDEX($A$27:$B$246,MATCH(IFERROR(IF(W24+$AS$5&lt;K24,K24,IF(W24+$AS$5&gt;O24,O24,W24+$AS$5)),0),$A$27:$A$246,1),2)</f>
        <v/>
      </c>
      <c r="AV24" s="311">
        <f>INDEX($A$27:$B$246,MATCH(IFERROR(IF(T24+$AW$5&lt;H24,H24,IF(T24+$AW$5&gt;L24,L24,T24+$AW$5)),0),$A$27:$A$246,1),2)</f>
        <v/>
      </c>
      <c r="AW24" s="311">
        <f>INDEX($A$27:$B$246,MATCH(IFERROR(IF(U24+$AW$5&lt;I24,I24,IF(U24+$AW$5&gt;M24,M24,U24+$AW$5)),0),$A$27:$A$246,1),2)</f>
        <v/>
      </c>
      <c r="AX24" s="311">
        <f>INDEX($A$27:$B$246,MATCH(IFERROR(IF(V24+$AW$5&lt;J24,J24,IF(V24+$AW$5&gt;N24,N24,V24+$AW$5)),0),$A$27:$A$246,1),2)</f>
        <v/>
      </c>
      <c r="AY24" s="311">
        <f>INDEX($A$27:$B$246,MATCH(IFERROR(IF(W24+$AW$5&lt;K24,K24,IF(W24+$AW$5&gt;O24,O24,W24+$AW$5)),0),$A$27:$A$246,1),2)</f>
        <v/>
      </c>
      <c r="AZ24" s="311">
        <f>INDEX($A$27:$B$246,MATCH(IFERROR(IF(T24+$BA$5&lt;H24,H24,IF(T24+$BA$5&gt;L24,L24,T24+$BA$5)),0),$A$27:$A$246,1),2)</f>
        <v/>
      </c>
      <c r="BA24" s="311">
        <f>INDEX($A$27:$B$246,MATCH(IFERROR(IF(U24+$BA$5&lt;I24,I24,IF(U24+$BA$5&gt;M24,M24,U24+$BA$5)),0),$A$27:$A$246,1),2)</f>
        <v/>
      </c>
      <c r="BB24" s="311">
        <f>INDEX($A$27:$B$246,MATCH(IFERROR(IF(V24+$BA$5&lt;J24,J24,IF(V24+$BA$5&gt;N24,N24,V24+$BA$5)),0),$A$27:$A$246,1),2)</f>
        <v/>
      </c>
      <c r="BC24" s="311">
        <f>INDEX($A$27:$B$246,MATCH(IFERROR(IF(W24+$BA$5&lt;K24,K24,IF(W24+$BA$5&gt;O24,O24,W24+$BA$5)),0),$A$27:$A$246,1),2)</f>
        <v/>
      </c>
      <c r="BD24" s="311" t="s">
        <v>8</v>
      </c>
      <c r="BE24" s="311" t="s">
        <v>8</v>
      </c>
      <c r="BF24" s="311" t="s">
        <v>8</v>
      </c>
      <c r="BG24" s="311" t="s">
        <v>8</v>
      </c>
      <c r="BI24" s="312" t="s">
        <v>156</v>
      </c>
      <c r="BJ24" s="108" t="s">
        <v>205</v>
      </c>
      <c r="BK24" s="108" t="s">
        <v>242</v>
      </c>
      <c r="BL24" s="108" t="n">
        <v>42</v>
      </c>
    </row>
    <row r="25" spans="1:64">
      <c r="A25" s="234" t="s">
        <v>243</v>
      </c>
      <c r="C25" s="196" t="n"/>
      <c r="D25" t="s">
        <v>83</v>
      </c>
      <c r="E25" s="34" t="s">
        <v>83</v>
      </c>
      <c r="F25" s="34" t="s">
        <v>239</v>
      </c>
      <c r="G25" s="34" t="n">
        <v>87</v>
      </c>
      <c r="H25" s="310" t="n">
        <v>1</v>
      </c>
      <c r="I25" s="310" t="n">
        <v>1</v>
      </c>
      <c r="J25" s="310" t="n">
        <v>1</v>
      </c>
      <c r="K25" s="310" t="n">
        <v>1</v>
      </c>
      <c r="L25" s="311">
        <f>H25*$B$1</f>
        <v/>
      </c>
      <c r="M25" s="311">
        <f>I25*$B$1</f>
        <v/>
      </c>
      <c r="N25" s="311">
        <f>J25*$B$1</f>
        <v/>
      </c>
      <c r="O25" s="311">
        <f>K25*$B$1</f>
        <v/>
      </c>
      <c r="P25" s="311">
        <f>IFERROR(MIN(VLOOKUP(E25,Detalle!A:AA,$P$6,0),VLOOKUP(E25,Detalle!A:AA,$P$7,0),VLOOKUP(E25,Detalle!A:AA,$P$4,0)),0)</f>
        <v/>
      </c>
      <c r="Q25" s="311">
        <f>IFERROR(MIN(VLOOKUP(E25,Detalle!A:AA,$Q$6,0),VLOOKUP(E25,Detalle!A:AA,$Q$7,0)),0)</f>
        <v/>
      </c>
      <c r="R25" s="311">
        <f>IFERROR(MIN(VLOOKUP(E25,Detalle!A:AA,$R$6,0),VLOOKUP(E25,Detalle!A:AA,$R$7,0)),0)</f>
        <v/>
      </c>
      <c r="S25" s="311">
        <f>IFERROR(MIN(VLOOKUP(E25,Detalle!A:AA,$S$6,0),VLOOKUP(E25,Detalle!A:AA,$S$7,0)),0)</f>
        <v/>
      </c>
      <c r="T25" s="311">
        <f>IFERROR(MAX(VLOOKUP(E25,Detalle!A:AA,$P$6,0),VLOOKUP(E25,Detalle!A:AA,$P$7,0),VLOOKUP(E25,Detalle!A:AA,$P$4,0)),0)</f>
        <v/>
      </c>
      <c r="U25" s="311">
        <f>IFERROR(MAX(VLOOKUP(E25,Detalle!A:AA,$Q$6,0),VLOOKUP(E25,Detalle!A:AA,$Q$7,0)),0)</f>
        <v/>
      </c>
      <c r="V25" s="311">
        <f>IFERROR(MAX(VLOOKUP(E25,Detalle!A:AA,$R$6,0),VLOOKUP(E25,Detalle!A:AA,$R$7,0)),0)</f>
        <v/>
      </c>
      <c r="W25" s="311">
        <f>IFERROR(MAX(VLOOKUP(E25,Detalle!A:AA,$S$6,0),VLOOKUP(E25,Detalle!A:AA,$S$7,0)),0)</f>
        <v/>
      </c>
      <c r="X25" s="311">
        <f>INDEX($A$27:$B$246,MATCH(IFERROR(IF(P25*(1+$Y$5)&lt;H25,H25,IF(P25*(1+$Y$5)&gt;L25,L25,P25*(1+$Y$5))),0),$A$27:$A$246,1),2)</f>
        <v/>
      </c>
      <c r="Y25" s="311">
        <f>INDEX($A$27:$B$246,MATCH(IFERROR(IF(Q25*(1+$Y$5)&lt;I25,I25,IF(Q25*(1+$Y$5)&gt;M25,M25,Q25*(1+$Y$5))),0),$A$27:$A$246,1),2)</f>
        <v/>
      </c>
      <c r="Z25" s="311">
        <f>INDEX($A$27:$B$246,MATCH(IFERROR(IF(R25*(1+$Y$5)&lt;J25,J25,IF(R25*(1+$Y$5)&gt;N25,N25,R25*(1+$Y$5))),0),$A$27:$A$246,1),2)</f>
        <v/>
      </c>
      <c r="AA25" s="311">
        <f>INDEX($A$27:$B$246,MATCH(IFERROR(IF(S25*(1+$Y$5)&lt;K25,K25,IF(S25*(1+$Y$5)&gt;O25,O25,S25*(1+$Y$5))),0),$A$27:$A$246,1),2)</f>
        <v/>
      </c>
      <c r="AB25" s="311">
        <f>INDEX($A$27:$B$246,MATCH(IFERROR(IF(P25-$AC$5&lt;H25,H25,IF(P25-$AC$5&gt;L25,L25,P25-$AC$5)),0),$A$27:$A$246,1),2)</f>
        <v/>
      </c>
      <c r="AC25" s="311">
        <f>INDEX($A$27:$B$246,MATCH(IFERROR(IF(Q25-$AC$5&lt;I25,I25,IF(Q25-$AC$5&gt;M25,M25,Q25-$AC$5)),0),$A$27:$A$246,1),2)</f>
        <v/>
      </c>
      <c r="AD25" s="311">
        <f>INDEX($A$27:$B$246,MATCH(IFERROR(IF(R25-$AC$5&lt;J25,J25,IF(R25-$AC$5&gt;N25,N25,R25-$AC$5)),0),$A$27:$A$246,1),2)</f>
        <v/>
      </c>
      <c r="AE25" s="311">
        <f>INDEX($A$27:$B$246,MATCH(IFERROR(IF(S25-$AC$5&lt;K25,K25,IF(S25-$AC$5&gt;O25,O25,S25-$AC$5)),0),$A$27:$A$246,1),2)</f>
        <v/>
      </c>
      <c r="AF25" s="311" t="s">
        <v>8</v>
      </c>
      <c r="AG25" s="311" t="s">
        <v>8</v>
      </c>
      <c r="AH25" s="311" t="s">
        <v>8</v>
      </c>
      <c r="AI25" s="311" t="s">
        <v>8</v>
      </c>
      <c r="AJ25" s="311">
        <f>INDEX($A$27:$B$246,MATCH(IFERROR(IF(T25&lt;H25,H25,IF(T25&gt;L25,L25,T25)),0),$A$27:$A$246,1),2)</f>
        <v/>
      </c>
      <c r="AK25" s="311">
        <f>INDEX($A$27:$B$246,MATCH(IFERROR(IF(U25&lt;I25,I25,IF(U25&gt;M25,M25,U25)),0),$A$27:$A$246,1),2)</f>
        <v/>
      </c>
      <c r="AL25" s="311">
        <f>INDEX($A$27:$B$246,MATCH(IFERROR(IF(V25&lt;J25,J25,IF(V25&gt;N25,N25,V25)),0),$A$27:$A$246,1),2)</f>
        <v/>
      </c>
      <c r="AM25" s="311">
        <f>INDEX($A$27:$B$246,MATCH(IFERROR(IF(W25&lt;K25,K25,IF(W25&gt;O25,O25,W25)),0),$A$27:$A$246,1),2)</f>
        <v/>
      </c>
      <c r="AN25" s="311">
        <f>INDEX($A$27:$B$246,MATCH(IFERROR(IF(T25&lt;H25,H25,IF(T25&gt;L25,L25,T25)),0),$A$27:$A$246,1),2)</f>
        <v/>
      </c>
      <c r="AO25" s="311">
        <f>INDEX($A$27:$B$246,MATCH(IFERROR(IF(U25&lt;I25,I25,IF(U25&gt;M25,M25,U25)),0),$A$27:$A$246,1),2)</f>
        <v/>
      </c>
      <c r="AP25" s="311">
        <f>INDEX($A$27:$B$246,MATCH(IFERROR(IF(V25&lt;J25,J25,IF(V25&gt;N25,N25,V25)),0),$A$27:$A$246,1),2)</f>
        <v/>
      </c>
      <c r="AQ25" s="311">
        <f>INDEX($A$27:$B$246,MATCH(IFERROR(IF(W25&lt;K25,K25,IF(W25&gt;O25,O25,W25)),0),$A$27:$A$246,1),2)</f>
        <v/>
      </c>
      <c r="AR25" s="311">
        <f>INDEX($A$27:$B$246,MATCH(IFERROR(IF(T25+$AS$5&lt;H25,H25,IF(T25+$AS$5&gt;L25,L25,T25+$AS$5)),0),$A$27:$A$246,1),2)</f>
        <v/>
      </c>
      <c r="AS25" s="311">
        <f>INDEX($A$27:$B$246,MATCH(IFERROR(IF(U25+$AS$5&lt;I25,I25,IF(U25+$AS$5&gt;M25,M25,U25+$AS$5)),0),$A$27:$A$246,1),2)</f>
        <v/>
      </c>
      <c r="AT25" s="311">
        <f>INDEX($A$27:$B$246,MATCH(IFERROR(IF(V25+$AS$5&lt;J25,J25,IF(V25+$AS$5&gt;N25,N25,V25+$AS$5)),0),$A$27:$A$246,1),2)</f>
        <v/>
      </c>
      <c r="AU25" s="311">
        <f>INDEX($A$27:$B$246,MATCH(IFERROR(IF(W25+$AS$5&lt;K25,K25,IF(W25+$AS$5&gt;O25,O25,W25+$AS$5)),0),$A$27:$A$246,1),2)</f>
        <v/>
      </c>
      <c r="AV25" s="311">
        <f>INDEX($A$27:$B$246,MATCH(IFERROR(IF(T25+$AW$5&lt;H25,H25,IF(T25+$AW$5&gt;L25,L25,T25+$AW$5)),0),$A$27:$A$246,1),2)</f>
        <v/>
      </c>
      <c r="AW25" s="311">
        <f>INDEX($A$27:$B$246,MATCH(IFERROR(IF(U25+$AW$5&lt;I25,I25,IF(U25+$AW$5&gt;M25,M25,U25+$AW$5)),0),$A$27:$A$246,1),2)</f>
        <v/>
      </c>
      <c r="AX25" s="311">
        <f>INDEX($A$27:$B$246,MATCH(IFERROR(IF(V25+$AW$5&lt;J25,J25,IF(V25+$AW$5&gt;N25,N25,V25+$AW$5)),0),$A$27:$A$246,1),2)</f>
        <v/>
      </c>
      <c r="AY25" s="311">
        <f>INDEX($A$27:$B$246,MATCH(IFERROR(IF(W25+$AW$5&lt;K25,K25,IF(W25+$AW$5&gt;O25,O25,W25+$AW$5)),0),$A$27:$A$246,1),2)</f>
        <v/>
      </c>
      <c r="AZ25" s="311">
        <f>INDEX($A$27:$B$246,MATCH(IFERROR(IF(T25+$BA$5&lt;H25,H25,IF(T25+$BA$5&gt;L25,L25,T25+$BA$5)),0),$A$27:$A$246,1),2)</f>
        <v/>
      </c>
      <c r="BA25" s="311">
        <f>INDEX($A$27:$B$246,MATCH(IFERROR(IF(U25+$BA$5&lt;I25,I25,IF(U25+$BA$5&gt;M25,M25,U25+$BA$5)),0),$A$27:$A$246,1),2)</f>
        <v/>
      </c>
      <c r="BB25" s="311">
        <f>INDEX($A$27:$B$246,MATCH(IFERROR(IF(V25+$BA$5&lt;J25,J25,IF(V25+$BA$5&gt;N25,N25,V25+$BA$5)),0),$A$27:$A$246,1),2)</f>
        <v/>
      </c>
      <c r="BC25" s="311">
        <f>INDEX($A$27:$B$246,MATCH(IFERROR(IF(W25+$BA$5&lt;K25,K25,IF(W25+$BA$5&gt;O25,O25,W25+$BA$5)),0),$A$27:$A$246,1),2)</f>
        <v/>
      </c>
      <c r="BD25" s="311" t="s">
        <v>8</v>
      </c>
      <c r="BE25" s="311" t="s">
        <v>8</v>
      </c>
      <c r="BF25" s="311" t="s">
        <v>8</v>
      </c>
      <c r="BG25" s="311" t="s">
        <v>8</v>
      </c>
      <c r="BI25" s="312" t="s">
        <v>156</v>
      </c>
      <c r="BJ25" s="108" t="s">
        <v>206</v>
      </c>
      <c r="BK25" s="108" t="s">
        <v>244</v>
      </c>
      <c r="BL25" s="108" t="n">
        <v>46</v>
      </c>
    </row>
    <row r="26" spans="1:64">
      <c r="A26" s="108" t="s">
        <v>245</v>
      </c>
      <c r="B26" s="108" t="s">
        <v>246</v>
      </c>
      <c r="D26" t="s">
        <v>84</v>
      </c>
      <c r="E26" s="34" t="s">
        <v>84</v>
      </c>
      <c r="F26" s="34" t="s">
        <v>239</v>
      </c>
      <c r="G26" s="34" t="n">
        <v>89</v>
      </c>
      <c r="H26" s="310" t="n">
        <v>1</v>
      </c>
      <c r="I26" s="310" t="n">
        <v>1</v>
      </c>
      <c r="J26" s="310" t="n">
        <v>1</v>
      </c>
      <c r="K26" s="310" t="n">
        <v>1</v>
      </c>
      <c r="L26" s="311">
        <f>H26*$B$1</f>
        <v/>
      </c>
      <c r="M26" s="311">
        <f>I26*$B$1</f>
        <v/>
      </c>
      <c r="N26" s="311">
        <f>J26*$B$1</f>
        <v/>
      </c>
      <c r="O26" s="311">
        <f>K26*$B$1</f>
        <v/>
      </c>
      <c r="P26" s="311">
        <f>IFERROR(MIN(VLOOKUP(E26,Detalle!A:AA,$P$6,0),VLOOKUP(E26,Detalle!A:AA,$P$7,0),VLOOKUP(E26,Detalle!A:AA,$P$4,0)),0)</f>
        <v/>
      </c>
      <c r="Q26" s="311">
        <f>IFERROR(MIN(VLOOKUP(E26,Detalle!A:AA,$Q$6,0),VLOOKUP(E26,Detalle!A:AA,$Q$7,0)),0)</f>
        <v/>
      </c>
      <c r="R26" s="311">
        <f>IFERROR(MIN(VLOOKUP(E26,Detalle!A:AA,$R$6,0),VLOOKUP(E26,Detalle!A:AA,$R$7,0)),0)</f>
        <v/>
      </c>
      <c r="S26" s="311">
        <f>IFERROR(MIN(VLOOKUP(E26,Detalle!A:AA,$S$6,0),VLOOKUP(E26,Detalle!A:AA,$S$7,0)),0)</f>
        <v/>
      </c>
      <c r="T26" s="311">
        <f>IFERROR(MAX(VLOOKUP(E26,Detalle!A:AA,$P$6,0),VLOOKUP(E26,Detalle!A:AA,$P$7,0),VLOOKUP(E26,Detalle!A:AA,$P$4,0)),0)</f>
        <v/>
      </c>
      <c r="U26" s="311">
        <f>IFERROR(MAX(VLOOKUP(E26,Detalle!A:AA,$Q$6,0),VLOOKUP(E26,Detalle!A:AA,$Q$7,0)),0)</f>
        <v/>
      </c>
      <c r="V26" s="311">
        <f>IFERROR(MAX(VLOOKUP(E26,Detalle!A:AA,$R$6,0),VLOOKUP(E26,Detalle!A:AA,$R$7,0)),0)</f>
        <v/>
      </c>
      <c r="W26" s="311">
        <f>IFERROR(MAX(VLOOKUP(E26,Detalle!A:AA,$S$6,0),VLOOKUP(E26,Detalle!A:AA,$S$7,0)),0)</f>
        <v/>
      </c>
      <c r="X26" s="311">
        <f>INDEX($A$27:$B$246,MATCH(IFERROR(IF(P26*(1+$Y$5)&lt;H26,H26,IF(P26*(1+$Y$5)&gt;L26,L26,P26*(1+$Y$5))),0),$A$27:$A$246,1),2)</f>
        <v/>
      </c>
      <c r="Y26" s="311">
        <f>INDEX($A$27:$B$246,MATCH(IFERROR(IF(Q26*(1+$Y$5)&lt;I26,I26,IF(Q26*(1+$Y$5)&gt;M26,M26,Q26*(1+$Y$5))),0),$A$27:$A$246,1),2)</f>
        <v/>
      </c>
      <c r="Z26" s="311">
        <f>INDEX($A$27:$B$246,MATCH(IFERROR(IF(R26*(1+$Y$5)&lt;J26,J26,IF(R26*(1+$Y$5)&gt;N26,N26,R26*(1+$Y$5))),0),$A$27:$A$246,1),2)</f>
        <v/>
      </c>
      <c r="AA26" s="311">
        <f>INDEX($A$27:$B$246,MATCH(IFERROR(IF(S26*(1+$Y$5)&lt;K26,K26,IF(S26*(1+$Y$5)&gt;O26,O26,S26*(1+$Y$5))),0),$A$27:$A$246,1),2)</f>
        <v/>
      </c>
      <c r="AB26" s="311">
        <f>INDEX($A$27:$B$246,MATCH(IFERROR(IF(P26-$AC$5&lt;H26,H26,IF(P26-$AC$5&gt;L26,L26,P26-$AC$5)),0),$A$27:$A$246,1),2)</f>
        <v/>
      </c>
      <c r="AC26" s="311">
        <f>INDEX($A$27:$B$246,MATCH(IFERROR(IF(Q26-$AC$5&lt;I26,I26,IF(Q26-$AC$5&gt;M26,M26,Q26-$AC$5)),0),$A$27:$A$246,1),2)</f>
        <v/>
      </c>
      <c r="AD26" s="311">
        <f>INDEX($A$27:$B$246,MATCH(IFERROR(IF(R26-$AC$5&lt;J26,J26,IF(R26-$AC$5&gt;N26,N26,R26-$AC$5)),0),$A$27:$A$246,1),2)</f>
        <v/>
      </c>
      <c r="AE26" s="311">
        <f>INDEX($A$27:$B$246,MATCH(IFERROR(IF(S26-$AC$5&lt;K26,K26,IF(S26-$AC$5&gt;O26,O26,S26-$AC$5)),0),$A$27:$A$246,1),2)</f>
        <v/>
      </c>
      <c r="AF26" s="311" t="s">
        <v>8</v>
      </c>
      <c r="AG26" s="311" t="s">
        <v>8</v>
      </c>
      <c r="AH26" s="311" t="s">
        <v>8</v>
      </c>
      <c r="AI26" s="311" t="s">
        <v>8</v>
      </c>
      <c r="AJ26" s="311">
        <f>INDEX($A$27:$B$246,MATCH(IFERROR(IF(T26&lt;H26,H26,IF(T26&gt;L26,L26,T26)),0),$A$27:$A$246,1),2)</f>
        <v/>
      </c>
      <c r="AK26" s="311">
        <f>INDEX($A$27:$B$246,MATCH(IFERROR(IF(U26&lt;I26,I26,IF(U26&gt;M26,M26,U26)),0),$A$27:$A$246,1),2)</f>
        <v/>
      </c>
      <c r="AL26" s="311">
        <f>INDEX($A$27:$B$246,MATCH(IFERROR(IF(V26&lt;J26,J26,IF(V26&gt;N26,N26,V26)),0),$A$27:$A$246,1),2)</f>
        <v/>
      </c>
      <c r="AM26" s="311">
        <f>INDEX($A$27:$B$246,MATCH(IFERROR(IF(W26&lt;K26,K26,IF(W26&gt;O26,O26,W26)),0),$A$27:$A$246,1),2)</f>
        <v/>
      </c>
      <c r="AN26" s="311">
        <f>INDEX($A$27:$B$246,MATCH(IFERROR(IF(T26&lt;H26,H26,IF(T26&gt;L26,L26,T26)),0),$A$27:$A$246,1),2)</f>
        <v/>
      </c>
      <c r="AO26" s="311">
        <f>INDEX($A$27:$B$246,MATCH(IFERROR(IF(U26&lt;I26,I26,IF(U26&gt;M26,M26,U26)),0),$A$27:$A$246,1),2)</f>
        <v/>
      </c>
      <c r="AP26" s="311">
        <f>INDEX($A$27:$B$246,MATCH(IFERROR(IF(V26&lt;J26,J26,IF(V26&gt;N26,N26,V26)),0),$A$27:$A$246,1),2)</f>
        <v/>
      </c>
      <c r="AQ26" s="311">
        <f>INDEX($A$27:$B$246,MATCH(IFERROR(IF(W26&lt;K26,K26,IF(W26&gt;O26,O26,W26)),0),$A$27:$A$246,1),2)</f>
        <v/>
      </c>
      <c r="AR26" s="311">
        <f>INDEX($A$27:$B$246,MATCH(IFERROR(IF(T26+$AS$5&lt;H26,H26,IF(T26+$AS$5&gt;L26,L26,T26+$AS$5)),0),$A$27:$A$246,1),2)</f>
        <v/>
      </c>
      <c r="AS26" s="311">
        <f>INDEX($A$27:$B$246,MATCH(IFERROR(IF(U26+$AS$5&lt;I26,I26,IF(U26+$AS$5&gt;M26,M26,U26+$AS$5)),0),$A$27:$A$246,1),2)</f>
        <v/>
      </c>
      <c r="AT26" s="311">
        <f>INDEX($A$27:$B$246,MATCH(IFERROR(IF(V26+$AS$5&lt;J26,J26,IF(V26+$AS$5&gt;N26,N26,V26+$AS$5)),0),$A$27:$A$246,1),2)</f>
        <v/>
      </c>
      <c r="AU26" s="311">
        <f>INDEX($A$27:$B$246,MATCH(IFERROR(IF(W26+$AS$5&lt;K26,K26,IF(W26+$AS$5&gt;O26,O26,W26+$AS$5)),0),$A$27:$A$246,1),2)</f>
        <v/>
      </c>
      <c r="AV26" s="311">
        <f>INDEX($A$27:$B$246,MATCH(IFERROR(IF(T26+$AW$5&lt;H26,H26,IF(T26+$AW$5&gt;L26,L26,T26+$AW$5)),0),$A$27:$A$246,1),2)</f>
        <v/>
      </c>
      <c r="AW26" s="311">
        <f>INDEX($A$27:$B$246,MATCH(IFERROR(IF(U26+$AW$5&lt;I26,I26,IF(U26+$AW$5&gt;M26,M26,U26+$AW$5)),0),$A$27:$A$246,1),2)</f>
        <v/>
      </c>
      <c r="AX26" s="311">
        <f>INDEX($A$27:$B$246,MATCH(IFERROR(IF(V26+$AW$5&lt;J26,J26,IF(V26+$AW$5&gt;N26,N26,V26+$AW$5)),0),$A$27:$A$246,1),2)</f>
        <v/>
      </c>
      <c r="AY26" s="311">
        <f>INDEX($A$27:$B$246,MATCH(IFERROR(IF(W26+$AW$5&lt;K26,K26,IF(W26+$AW$5&gt;O26,O26,W26+$AW$5)),0),$A$27:$A$246,1),2)</f>
        <v/>
      </c>
      <c r="AZ26" s="311">
        <f>INDEX($A$27:$B$246,MATCH(IFERROR(IF(T26+$BA$5&lt;H26,H26,IF(T26+$BA$5&gt;L26,L26,T26+$BA$5)),0),$A$27:$A$246,1),2)</f>
        <v/>
      </c>
      <c r="BA26" s="311">
        <f>INDEX($A$27:$B$246,MATCH(IFERROR(IF(U26+$BA$5&lt;I26,I26,IF(U26+$BA$5&gt;M26,M26,U26+$BA$5)),0),$A$27:$A$246,1),2)</f>
        <v/>
      </c>
      <c r="BB26" s="311">
        <f>INDEX($A$27:$B$246,MATCH(IFERROR(IF(V26+$BA$5&lt;J26,J26,IF(V26+$BA$5&gt;N26,N26,V26+$BA$5)),0),$A$27:$A$246,1),2)</f>
        <v/>
      </c>
      <c r="BC26" s="311">
        <f>INDEX($A$27:$B$246,MATCH(IFERROR(IF(W26+$BA$5&lt;K26,K26,IF(W26+$BA$5&gt;O26,O26,W26+$BA$5)),0),$A$27:$A$246,1),2)</f>
        <v/>
      </c>
      <c r="BD26" s="311" t="s">
        <v>8</v>
      </c>
      <c r="BE26" s="311" t="s">
        <v>8</v>
      </c>
      <c r="BF26" s="311" t="s">
        <v>8</v>
      </c>
      <c r="BG26" s="311" t="s">
        <v>8</v>
      </c>
      <c r="BI26" s="312" t="s">
        <v>156</v>
      </c>
      <c r="BJ26" s="108" t="s">
        <v>207</v>
      </c>
      <c r="BK26" s="108" t="s">
        <v>247</v>
      </c>
      <c r="BL26" s="108" t="n">
        <v>50</v>
      </c>
    </row>
    <row r="27" spans="1:64">
      <c r="A27" s="313" t="n">
        <v>0</v>
      </c>
      <c r="B27" s="313">
        <f>B30</f>
        <v/>
      </c>
      <c r="C27" s="314" t="n"/>
      <c r="D27" t="s">
        <v>85</v>
      </c>
      <c r="E27" s="34" t="s">
        <v>85</v>
      </c>
      <c r="F27" s="34" t="s">
        <v>239</v>
      </c>
      <c r="G27" s="34" t="n">
        <v>88</v>
      </c>
      <c r="H27" s="310" t="n">
        <v>1</v>
      </c>
      <c r="I27" s="310" t="n">
        <v>1</v>
      </c>
      <c r="J27" s="310" t="n">
        <v>1</v>
      </c>
      <c r="K27" s="310" t="n">
        <v>1</v>
      </c>
      <c r="L27" s="311">
        <f>H27*$B$1</f>
        <v/>
      </c>
      <c r="M27" s="311">
        <f>I27*$B$1</f>
        <v/>
      </c>
      <c r="N27" s="311">
        <f>J27*$B$1</f>
        <v/>
      </c>
      <c r="O27" s="311">
        <f>K27*$B$1</f>
        <v/>
      </c>
      <c r="P27" s="311">
        <f>IFERROR(MIN(VLOOKUP(E27,Detalle!A:AA,$P$6,0),VLOOKUP(E27,Detalle!A:AA,$P$7,0),VLOOKUP(E27,Detalle!A:AA,$P$4,0)),0)</f>
        <v/>
      </c>
      <c r="Q27" s="311">
        <f>IFERROR(MIN(VLOOKUP(E27,Detalle!A:AA,$Q$6,0),VLOOKUP(E27,Detalle!A:AA,$Q$7,0)),0)</f>
        <v/>
      </c>
      <c r="R27" s="311">
        <f>IFERROR(MIN(VLOOKUP(E27,Detalle!A:AA,$R$6,0),VLOOKUP(E27,Detalle!A:AA,$R$7,0)),0)</f>
        <v/>
      </c>
      <c r="S27" s="311">
        <f>IFERROR(MIN(VLOOKUP(E27,Detalle!A:AA,$S$6,0),VLOOKUP(E27,Detalle!A:AA,$S$7,0)),0)</f>
        <v/>
      </c>
      <c r="T27" s="311">
        <f>IFERROR(MAX(VLOOKUP(E27,Detalle!A:AA,$P$6,0),VLOOKUP(E27,Detalle!A:AA,$P$7,0),VLOOKUP(E27,Detalle!A:AA,$P$4,0)),0)</f>
        <v/>
      </c>
      <c r="U27" s="311">
        <f>IFERROR(MAX(VLOOKUP(E27,Detalle!A:AA,$Q$6,0),VLOOKUP(E27,Detalle!A:AA,$Q$7,0)),0)</f>
        <v/>
      </c>
      <c r="V27" s="311">
        <f>IFERROR(MAX(VLOOKUP(E27,Detalle!A:AA,$R$6,0),VLOOKUP(E27,Detalle!A:AA,$R$7,0)),0)</f>
        <v/>
      </c>
      <c r="W27" s="311">
        <f>IFERROR(MAX(VLOOKUP(E27,Detalle!A:AA,$S$6,0),VLOOKUP(E27,Detalle!A:AA,$S$7,0)),0)</f>
        <v/>
      </c>
      <c r="X27" s="311">
        <f>INDEX($A$27:$B$246,MATCH(IFERROR(IF(P27*(1+$Y$5)&lt;H27,H27,IF(P27*(1+$Y$5)&gt;L27,L27,P27*(1+$Y$5))),0),$A$27:$A$246,1),2)</f>
        <v/>
      </c>
      <c r="Y27" s="311">
        <f>INDEX($A$27:$B$246,MATCH(IFERROR(IF(Q27*(1+$Y$5)&lt;I27,I27,IF(Q27*(1+$Y$5)&gt;M27,M27,Q27*(1+$Y$5))),0),$A$27:$A$246,1),2)</f>
        <v/>
      </c>
      <c r="Z27" s="311">
        <f>INDEX($A$27:$B$246,MATCH(IFERROR(IF(R27*(1+$Y$5)&lt;J27,J27,IF(R27*(1+$Y$5)&gt;N27,N27,R27*(1+$Y$5))),0),$A$27:$A$246,1),2)</f>
        <v/>
      </c>
      <c r="AA27" s="311">
        <f>INDEX($A$27:$B$246,MATCH(IFERROR(IF(S27*(1+$Y$5)&lt;K27,K27,IF(S27*(1+$Y$5)&gt;O27,O27,S27*(1+$Y$5))),0),$A$27:$A$246,1),2)</f>
        <v/>
      </c>
      <c r="AB27" s="311">
        <f>INDEX($A$27:$B$246,MATCH(IFERROR(IF(P27-$AC$5&lt;H27,H27,IF(P27-$AC$5&gt;L27,L27,P27-$AC$5)),0),$A$27:$A$246,1),2)</f>
        <v/>
      </c>
      <c r="AC27" s="311">
        <f>INDEX($A$27:$B$246,MATCH(IFERROR(IF(Q27-$AC$5&lt;I27,I27,IF(Q27-$AC$5&gt;M27,M27,Q27-$AC$5)),0),$A$27:$A$246,1),2)</f>
        <v/>
      </c>
      <c r="AD27" s="311">
        <f>INDEX($A$27:$B$246,MATCH(IFERROR(IF(R27-$AC$5&lt;J27,J27,IF(R27-$AC$5&gt;N27,N27,R27-$AC$5)),0),$A$27:$A$246,1),2)</f>
        <v/>
      </c>
      <c r="AE27" s="311">
        <f>INDEX($A$27:$B$246,MATCH(IFERROR(IF(S27-$AC$5&lt;K27,K27,IF(S27-$AC$5&gt;O27,O27,S27-$AC$5)),0),$A$27:$A$246,1),2)</f>
        <v/>
      </c>
      <c r="AF27" s="311" t="s">
        <v>8</v>
      </c>
      <c r="AG27" s="311" t="s">
        <v>8</v>
      </c>
      <c r="AH27" s="311" t="s">
        <v>8</v>
      </c>
      <c r="AI27" s="311" t="s">
        <v>8</v>
      </c>
      <c r="AJ27" s="311">
        <f>INDEX($A$27:$B$246,MATCH(IFERROR(IF(T27&lt;H27,H27,IF(T27&gt;L27,L27,T27)),0),$A$27:$A$246,1),2)</f>
        <v/>
      </c>
      <c r="AK27" s="311">
        <f>INDEX($A$27:$B$246,MATCH(IFERROR(IF(U27&lt;I27,I27,IF(U27&gt;M27,M27,U27)),0),$A$27:$A$246,1),2)</f>
        <v/>
      </c>
      <c r="AL27" s="311">
        <f>INDEX($A$27:$B$246,MATCH(IFERROR(IF(V27&lt;J27,J27,IF(V27&gt;N27,N27,V27)),0),$A$27:$A$246,1),2)</f>
        <v/>
      </c>
      <c r="AM27" s="311">
        <f>INDEX($A$27:$B$246,MATCH(IFERROR(IF(W27&lt;K27,K27,IF(W27&gt;O27,O27,W27)),0),$A$27:$A$246,1),2)</f>
        <v/>
      </c>
      <c r="AN27" s="311">
        <f>INDEX($A$27:$B$246,MATCH(IFERROR(IF(T27&lt;H27,H27,IF(T27&gt;L27,L27,T27)),0),$A$27:$A$246,1),2)</f>
        <v/>
      </c>
      <c r="AO27" s="311">
        <f>INDEX($A$27:$B$246,MATCH(IFERROR(IF(U27&lt;I27,I27,IF(U27&gt;M27,M27,U27)),0),$A$27:$A$246,1),2)</f>
        <v/>
      </c>
      <c r="AP27" s="311">
        <f>INDEX($A$27:$B$246,MATCH(IFERROR(IF(V27&lt;J27,J27,IF(V27&gt;N27,N27,V27)),0),$A$27:$A$246,1),2)</f>
        <v/>
      </c>
      <c r="AQ27" s="311">
        <f>INDEX($A$27:$B$246,MATCH(IFERROR(IF(W27&lt;K27,K27,IF(W27&gt;O27,O27,W27)),0),$A$27:$A$246,1),2)</f>
        <v/>
      </c>
      <c r="AR27" s="311">
        <f>INDEX($A$27:$B$246,MATCH(IFERROR(IF(T27+$AS$5&lt;H27,H27,IF(T27+$AS$5&gt;L27,L27,T27+$AS$5)),0),$A$27:$A$246,1),2)</f>
        <v/>
      </c>
      <c r="AS27" s="311">
        <f>INDEX($A$27:$B$246,MATCH(IFERROR(IF(U27+$AS$5&lt;I27,I27,IF(U27+$AS$5&gt;M27,M27,U27+$AS$5)),0),$A$27:$A$246,1),2)</f>
        <v/>
      </c>
      <c r="AT27" s="311">
        <f>INDEX($A$27:$B$246,MATCH(IFERROR(IF(V27+$AS$5&lt;J27,J27,IF(V27+$AS$5&gt;N27,N27,V27+$AS$5)),0),$A$27:$A$246,1),2)</f>
        <v/>
      </c>
      <c r="AU27" s="311">
        <f>INDEX($A$27:$B$246,MATCH(IFERROR(IF(W27+$AS$5&lt;K27,K27,IF(W27+$AS$5&gt;O27,O27,W27+$AS$5)),0),$A$27:$A$246,1),2)</f>
        <v/>
      </c>
      <c r="AV27" s="311">
        <f>INDEX($A$27:$B$246,MATCH(IFERROR(IF(T27+$AW$5&lt;H27,H27,IF(T27+$AW$5&gt;L27,L27,T27+$AW$5)),0),$A$27:$A$246,1),2)</f>
        <v/>
      </c>
      <c r="AW27" s="311">
        <f>INDEX($A$27:$B$246,MATCH(IFERROR(IF(U27+$AW$5&lt;I27,I27,IF(U27+$AW$5&gt;M27,M27,U27+$AW$5)),0),$A$27:$A$246,1),2)</f>
        <v/>
      </c>
      <c r="AX27" s="311">
        <f>INDEX($A$27:$B$246,MATCH(IFERROR(IF(V27+$AW$5&lt;J27,J27,IF(V27+$AW$5&gt;N27,N27,V27+$AW$5)),0),$A$27:$A$246,1),2)</f>
        <v/>
      </c>
      <c r="AY27" s="311">
        <f>INDEX($A$27:$B$246,MATCH(IFERROR(IF(W27+$AW$5&lt;K27,K27,IF(W27+$AW$5&gt;O27,O27,W27+$AW$5)),0),$A$27:$A$246,1),2)</f>
        <v/>
      </c>
      <c r="AZ27" s="311">
        <f>INDEX($A$27:$B$246,MATCH(IFERROR(IF(T27+$BA$5&lt;H27,H27,IF(T27+$BA$5&gt;L27,L27,T27+$BA$5)),0),$A$27:$A$246,1),2)</f>
        <v/>
      </c>
      <c r="BA27" s="311">
        <f>INDEX($A$27:$B$246,MATCH(IFERROR(IF(U27+$BA$5&lt;I27,I27,IF(U27+$BA$5&gt;M27,M27,U27+$BA$5)),0),$A$27:$A$246,1),2)</f>
        <v/>
      </c>
      <c r="BB27" s="311">
        <f>INDEX($A$27:$B$246,MATCH(IFERROR(IF(V27+$BA$5&lt;J27,J27,IF(V27+$BA$5&gt;N27,N27,V27+$BA$5)),0),$A$27:$A$246,1),2)</f>
        <v/>
      </c>
      <c r="BC27" s="311">
        <f>INDEX($A$27:$B$246,MATCH(IFERROR(IF(W27+$BA$5&lt;K27,K27,IF(W27+$BA$5&gt;O27,O27,W27+$BA$5)),0),$A$27:$A$246,1),2)</f>
        <v/>
      </c>
      <c r="BD27" s="311" t="s">
        <v>8</v>
      </c>
      <c r="BE27" s="311" t="s">
        <v>8</v>
      </c>
      <c r="BF27" s="311" t="s">
        <v>8</v>
      </c>
      <c r="BG27" s="311" t="s">
        <v>8</v>
      </c>
      <c r="BI27" s="312" t="s">
        <v>156</v>
      </c>
      <c r="BJ27" s="108" t="s">
        <v>208</v>
      </c>
      <c r="BK27" s="108" t="s">
        <v>248</v>
      </c>
      <c r="BL27" s="108" t="n">
        <v>54</v>
      </c>
    </row>
    <row r="28" spans="1:64">
      <c r="A28" s="313">
        <f>B24+1</f>
        <v/>
      </c>
      <c r="B28" s="313">
        <f>B30</f>
        <v/>
      </c>
      <c r="C28" s="314" t="n"/>
      <c r="D28" t="s">
        <v>89</v>
      </c>
      <c r="E28" s="34" t="s">
        <v>231</v>
      </c>
      <c r="F28" s="34" t="s">
        <v>227</v>
      </c>
      <c r="G28" s="34" t="n">
        <v>167</v>
      </c>
      <c r="H28" s="310" t="n">
        <v>1</v>
      </c>
      <c r="I28" s="310" t="n">
        <v>1</v>
      </c>
      <c r="J28" s="310" t="n">
        <v>1</v>
      </c>
      <c r="K28" s="310" t="n">
        <v>1</v>
      </c>
      <c r="L28" s="311">
        <f>H28*$B$1</f>
        <v/>
      </c>
      <c r="M28" s="311">
        <f>I28*$B$1</f>
        <v/>
      </c>
      <c r="N28" s="311">
        <f>J28*$B$1</f>
        <v/>
      </c>
      <c r="O28" s="311">
        <f>K28*$B$1</f>
        <v/>
      </c>
      <c r="P28" s="311">
        <f>IFERROR(MIN(VLOOKUP(E28,Detalle!A:AA,$P$6,0),VLOOKUP(E28,Detalle!A:AA,$P$7,0),VLOOKUP(E28,Detalle!A:AA,$P$4,0)),0)</f>
        <v/>
      </c>
      <c r="Q28" s="311">
        <f>IFERROR(MIN(VLOOKUP(E28,Detalle!A:AA,$Q$6,0),VLOOKUP(E28,Detalle!A:AA,$Q$7,0)),0)</f>
        <v/>
      </c>
      <c r="R28" s="311">
        <f>IFERROR(MIN(VLOOKUP(E28,Detalle!A:AA,$R$6,0),VLOOKUP(E28,Detalle!A:AA,$R$7,0)),0)</f>
        <v/>
      </c>
      <c r="S28" s="311">
        <f>IFERROR(MIN(VLOOKUP(E28,Detalle!A:AA,$S$6,0),VLOOKUP(E28,Detalle!A:AA,$S$7,0)),0)</f>
        <v/>
      </c>
      <c r="T28" s="311">
        <f>IFERROR(MAX(VLOOKUP(E28,Detalle!A:AA,$P$6,0),VLOOKUP(E28,Detalle!A:AA,$P$7,0),VLOOKUP(E28,Detalle!A:AA,$P$4,0)),0)</f>
        <v/>
      </c>
      <c r="U28" s="311">
        <f>IFERROR(MAX(VLOOKUP(E28,Detalle!A:AA,$Q$6,0),VLOOKUP(E28,Detalle!A:AA,$Q$7,0)),0)</f>
        <v/>
      </c>
      <c r="V28" s="311">
        <f>IFERROR(MAX(VLOOKUP(E28,Detalle!A:AA,$R$6,0),VLOOKUP(E28,Detalle!A:AA,$R$7,0)),0)</f>
        <v/>
      </c>
      <c r="W28" s="311">
        <f>IFERROR(MAX(VLOOKUP(E28,Detalle!A:AA,$S$6,0),VLOOKUP(E28,Detalle!A:AA,$S$7,0)),0)</f>
        <v/>
      </c>
      <c r="X28" s="311">
        <f>INDEX($A$27:$B$246,MATCH(IFERROR(IF(P28*(1+$Y$5)&lt;H28,H28,IF(P28*(1+$Y$5)&gt;L28,L28,P28*(1+$Y$5))),0),$A$27:$A$246,1),2)</f>
        <v/>
      </c>
      <c r="Y28" s="311">
        <f>INDEX($A$27:$B$246,MATCH(IFERROR(IF(Q28*(1+$Y$5)&lt;I28,I28,IF(Q28*(1+$Y$5)&gt;M28,M28,Q28*(1+$Y$5))),0),$A$27:$A$246,1),2)</f>
        <v/>
      </c>
      <c r="Z28" s="311">
        <f>INDEX($A$27:$B$246,MATCH(IFERROR(IF(R28*(1+$Y$5)&lt;J28,J28,IF(R28*(1+$Y$5)&gt;N28,N28,R28*(1+$Y$5))),0),$A$27:$A$246,1),2)</f>
        <v/>
      </c>
      <c r="AA28" s="311">
        <f>INDEX($A$27:$B$246,MATCH(IFERROR(IF(S28*(1+$Y$5)&lt;K28,K28,IF(S28*(1+$Y$5)&gt;O28,O28,S28*(1+$Y$5))),0),$A$27:$A$246,1),2)</f>
        <v/>
      </c>
      <c r="AB28" s="311">
        <f>INDEX($A$27:$B$246,MATCH(IFERROR(IF(P28-$AC$5&lt;H28,H28,IF(P28-$AC$5&gt;L28,L28,P28-$AC$5)),0),$A$27:$A$246,1),2)</f>
        <v/>
      </c>
      <c r="AC28" s="311">
        <f>INDEX($A$27:$B$246,MATCH(IFERROR(IF(Q28-$AC$5&lt;I28,I28,IF(Q28-$AC$5&gt;M28,M28,Q28-$AC$5)),0),$A$27:$A$246,1),2)</f>
        <v/>
      </c>
      <c r="AD28" s="311">
        <f>INDEX($A$27:$B$246,MATCH(IFERROR(IF(R28-$AC$5&lt;J28,J28,IF(R28-$AC$5&gt;N28,N28,R28-$AC$5)),0),$A$27:$A$246,1),2)</f>
        <v/>
      </c>
      <c r="AE28" s="311">
        <f>INDEX($A$27:$B$246,MATCH(IFERROR(IF(S28-$AC$5&lt;K28,K28,IF(S28-$AC$5&gt;O28,O28,S28-$AC$5)),0),$A$27:$A$246,1),2)</f>
        <v/>
      </c>
      <c r="AF28" s="311" t="s">
        <v>8</v>
      </c>
      <c r="AG28" s="311" t="s">
        <v>8</v>
      </c>
      <c r="AH28" s="311" t="s">
        <v>8</v>
      </c>
      <c r="AI28" s="311" t="s">
        <v>8</v>
      </c>
      <c r="AJ28" s="311">
        <f>INDEX($A$27:$B$246,MATCH(IFERROR(IF(T28&lt;H28,H28,IF(T28&gt;L28,L28,T28)),0),$A$27:$A$246,1),2)</f>
        <v/>
      </c>
      <c r="AK28" s="311">
        <f>INDEX($A$27:$B$246,MATCH(IFERROR(IF(U28&lt;I28,I28,IF(U28&gt;M28,M28,U28)),0),$A$27:$A$246,1),2)</f>
        <v/>
      </c>
      <c r="AL28" s="311">
        <f>INDEX($A$27:$B$246,MATCH(IFERROR(IF(V28&lt;J28,J28,IF(V28&gt;N28,N28,V28)),0),$A$27:$A$246,1),2)</f>
        <v/>
      </c>
      <c r="AM28" s="311">
        <f>INDEX($A$27:$B$246,MATCH(IFERROR(IF(W28&lt;K28,K28,IF(W28&gt;O28,O28,W28)),0),$A$27:$A$246,1),2)</f>
        <v/>
      </c>
      <c r="AN28" s="311">
        <f>INDEX($A$27:$B$246,MATCH(IFERROR(IF(T28&lt;H28,H28,IF(T28&gt;L28,L28,T28)),0),$A$27:$A$246,1),2)</f>
        <v/>
      </c>
      <c r="AO28" s="311">
        <f>INDEX($A$27:$B$246,MATCH(IFERROR(IF(U28&lt;I28,I28,IF(U28&gt;M28,M28,U28)),0),$A$27:$A$246,1),2)</f>
        <v/>
      </c>
      <c r="AP28" s="311">
        <f>INDEX($A$27:$B$246,MATCH(IFERROR(IF(V28&lt;J28,J28,IF(V28&gt;N28,N28,V28)),0),$A$27:$A$246,1),2)</f>
        <v/>
      </c>
      <c r="AQ28" s="311">
        <f>INDEX($A$27:$B$246,MATCH(IFERROR(IF(W28&lt;K28,K28,IF(W28&gt;O28,O28,W28)),0),$A$27:$A$246,1),2)</f>
        <v/>
      </c>
      <c r="AR28" s="311">
        <f>INDEX($A$27:$B$246,MATCH(IFERROR(IF(T28+$AS$5&lt;H28,H28,IF(T28+$AS$5&gt;L28,L28,T28+$AS$5)),0),$A$27:$A$246,1),2)</f>
        <v/>
      </c>
      <c r="AS28" s="311">
        <f>INDEX($A$27:$B$246,MATCH(IFERROR(IF(U28+$AS$5&lt;I28,I28,IF(U28+$AS$5&gt;M28,M28,U28+$AS$5)),0),$A$27:$A$246,1),2)</f>
        <v/>
      </c>
      <c r="AT28" s="311">
        <f>INDEX($A$27:$B$246,MATCH(IFERROR(IF(V28+$AS$5&lt;J28,J28,IF(V28+$AS$5&gt;N28,N28,V28+$AS$5)),0),$A$27:$A$246,1),2)</f>
        <v/>
      </c>
      <c r="AU28" s="311">
        <f>INDEX($A$27:$B$246,MATCH(IFERROR(IF(W28+$AS$5&lt;K28,K28,IF(W28+$AS$5&gt;O28,O28,W28+$AS$5)),0),$A$27:$A$246,1),2)</f>
        <v/>
      </c>
      <c r="AV28" s="311">
        <f>INDEX($A$27:$B$246,MATCH(IFERROR(IF(T28+$AW$5&lt;H28,H28,IF(T28+$AW$5&gt;L28,L28,T28+$AW$5)),0),$A$27:$A$246,1),2)</f>
        <v/>
      </c>
      <c r="AW28" s="311">
        <f>INDEX($A$27:$B$246,MATCH(IFERROR(IF(U28+$AW$5&lt;I28,I28,IF(U28+$AW$5&gt;M28,M28,U28+$AW$5)),0),$A$27:$A$246,1),2)</f>
        <v/>
      </c>
      <c r="AX28" s="311">
        <f>INDEX($A$27:$B$246,MATCH(IFERROR(IF(V28+$AW$5&lt;J28,J28,IF(V28+$AW$5&gt;N28,N28,V28+$AW$5)),0),$A$27:$A$246,1),2)</f>
        <v/>
      </c>
      <c r="AY28" s="311">
        <f>INDEX($A$27:$B$246,MATCH(IFERROR(IF(W28+$AW$5&lt;K28,K28,IF(W28+$AW$5&gt;O28,O28,W28+$AW$5)),0),$A$27:$A$246,1),2)</f>
        <v/>
      </c>
      <c r="AZ28" s="311">
        <f>INDEX($A$27:$B$246,MATCH(IFERROR(IF(T28+$BA$5&lt;H28,H28,IF(T28+$BA$5&gt;L28,L28,T28+$BA$5)),0),$A$27:$A$246,1),2)</f>
        <v/>
      </c>
      <c r="BA28" s="311">
        <f>INDEX($A$27:$B$246,MATCH(IFERROR(IF(U28+$BA$5&lt;I28,I28,IF(U28+$BA$5&gt;M28,M28,U28+$BA$5)),0),$A$27:$A$246,1),2)</f>
        <v/>
      </c>
      <c r="BB28" s="311">
        <f>INDEX($A$27:$B$246,MATCH(IFERROR(IF(V28+$BA$5&lt;J28,J28,IF(V28+$BA$5&gt;N28,N28,V28+$BA$5)),0),$A$27:$A$246,1),2)</f>
        <v/>
      </c>
      <c r="BC28" s="311">
        <f>INDEX($A$27:$B$246,MATCH(IFERROR(IF(W28+$BA$5&lt;K28,K28,IF(W28+$BA$5&gt;O28,O28,W28+$BA$5)),0),$A$27:$A$246,1),2)</f>
        <v/>
      </c>
      <c r="BD28" s="311" t="s">
        <v>8</v>
      </c>
      <c r="BE28" s="311" t="s">
        <v>8</v>
      </c>
      <c r="BF28" s="311" t="s">
        <v>8</v>
      </c>
      <c r="BG28" s="311" t="s">
        <v>8</v>
      </c>
      <c r="BI28" s="312" t="s">
        <v>152</v>
      </c>
      <c r="BJ28" s="108" t="s">
        <v>200</v>
      </c>
      <c r="BK28" s="108" t="s">
        <v>173</v>
      </c>
      <c r="BL28" s="108" t="n">
        <v>21</v>
      </c>
    </row>
    <row r="29" spans="1:64">
      <c r="A29" s="313">
        <f>A28+$B$24</f>
        <v/>
      </c>
      <c r="B29" s="313">
        <f>B30</f>
        <v/>
      </c>
      <c r="C29" s="314" t="n"/>
      <c r="D29" t="s">
        <v>90</v>
      </c>
      <c r="E29" s="34" t="s">
        <v>222</v>
      </c>
      <c r="F29" s="34" t="s">
        <v>227</v>
      </c>
      <c r="G29" s="34" t="n">
        <v>171</v>
      </c>
      <c r="H29" s="310" t="n">
        <v>1</v>
      </c>
      <c r="I29" s="310" t="n">
        <v>1</v>
      </c>
      <c r="J29" s="310" t="n">
        <v>1</v>
      </c>
      <c r="K29" s="310" t="n">
        <v>1</v>
      </c>
      <c r="L29" s="311">
        <f>H29*$B$1</f>
        <v/>
      </c>
      <c r="M29" s="311">
        <f>I29*$B$1</f>
        <v/>
      </c>
      <c r="N29" s="311">
        <f>J29*$B$1</f>
        <v/>
      </c>
      <c r="O29" s="311">
        <f>K29*$B$1</f>
        <v/>
      </c>
      <c r="P29" s="311">
        <f>IFERROR(MIN(VLOOKUP(E29,Detalle!A:AA,$P$6,0),VLOOKUP(E29,Detalle!A:AA,$P$7,0),VLOOKUP(E29,Detalle!A:AA,$P$4,0)),0)</f>
        <v/>
      </c>
      <c r="Q29" s="311">
        <f>IFERROR(MIN(VLOOKUP(E29,Detalle!A:AA,$Q$6,0),VLOOKUP(E29,Detalle!A:AA,$Q$7,0)),0)</f>
        <v/>
      </c>
      <c r="R29" s="311">
        <f>IFERROR(MIN(VLOOKUP(E29,Detalle!A:AA,$R$6,0),VLOOKUP(E29,Detalle!A:AA,$R$7,0)),0)</f>
        <v/>
      </c>
      <c r="S29" s="311">
        <f>IFERROR(MIN(VLOOKUP(E29,Detalle!A:AA,$S$6,0),VLOOKUP(E29,Detalle!A:AA,$S$7,0)),0)</f>
        <v/>
      </c>
      <c r="T29" s="311">
        <f>IFERROR(MAX(VLOOKUP(E29,Detalle!A:AA,$P$6,0),VLOOKUP(E29,Detalle!A:AA,$P$7,0),VLOOKUP(E29,Detalle!A:AA,$P$4,0)),0)</f>
        <v/>
      </c>
      <c r="U29" s="311">
        <f>IFERROR(MAX(VLOOKUP(E29,Detalle!A:AA,$Q$6,0),VLOOKUP(E29,Detalle!A:AA,$Q$7,0)),0)</f>
        <v/>
      </c>
      <c r="V29" s="311">
        <f>IFERROR(MAX(VLOOKUP(E29,Detalle!A:AA,$R$6,0),VLOOKUP(E29,Detalle!A:AA,$R$7,0)),0)</f>
        <v/>
      </c>
      <c r="W29" s="311">
        <f>IFERROR(MAX(VLOOKUP(E29,Detalle!A:AA,$S$6,0),VLOOKUP(E29,Detalle!A:AA,$S$7,0)),0)</f>
        <v/>
      </c>
      <c r="X29" s="311">
        <f>INDEX($A$27:$B$246,MATCH(IFERROR(IF(P29*(1+$Y$5)&lt;H29,H29,IF(P29*(1+$Y$5)&gt;L29,L29,P29*(1+$Y$5))),0),$A$27:$A$246,1),2)</f>
        <v/>
      </c>
      <c r="Y29" s="311">
        <f>INDEX($A$27:$B$246,MATCH(IFERROR(IF(Q29*(1+$Y$5)&lt;I29,I29,IF(Q29*(1+$Y$5)&gt;M29,M29,Q29*(1+$Y$5))),0),$A$27:$A$246,1),2)</f>
        <v/>
      </c>
      <c r="Z29" s="311">
        <f>INDEX($A$27:$B$246,MATCH(IFERROR(IF(R29*(1+$Y$5)&lt;J29,J29,IF(R29*(1+$Y$5)&gt;N29,N29,R29*(1+$Y$5))),0),$A$27:$A$246,1),2)</f>
        <v/>
      </c>
      <c r="AA29" s="311">
        <f>INDEX($A$27:$B$246,MATCH(IFERROR(IF(S29*(1+$Y$5)&lt;K29,K29,IF(S29*(1+$Y$5)&gt;O29,O29,S29*(1+$Y$5))),0),$A$27:$A$246,1),2)</f>
        <v/>
      </c>
      <c r="AB29" s="311">
        <f>INDEX($A$27:$B$246,MATCH(IFERROR(IF(P29-$AC$5&lt;H29,H29,IF(P29-$AC$5&gt;L29,L29,P29-$AC$5)),0),$A$27:$A$246,1),2)</f>
        <v/>
      </c>
      <c r="AC29" s="311">
        <f>INDEX($A$27:$B$246,MATCH(IFERROR(IF(Q29-$AC$5&lt;I29,I29,IF(Q29-$AC$5&gt;M29,M29,Q29-$AC$5)),0),$A$27:$A$246,1),2)</f>
        <v/>
      </c>
      <c r="AD29" s="311">
        <f>INDEX($A$27:$B$246,MATCH(IFERROR(IF(R29-$AC$5&lt;J29,J29,IF(R29-$AC$5&gt;N29,N29,R29-$AC$5)),0),$A$27:$A$246,1),2)</f>
        <v/>
      </c>
      <c r="AE29" s="311">
        <f>INDEX($A$27:$B$246,MATCH(IFERROR(IF(S29-$AC$5&lt;K29,K29,IF(S29-$AC$5&gt;O29,O29,S29-$AC$5)),0),$A$27:$A$246,1),2)</f>
        <v/>
      </c>
      <c r="AF29" s="311" t="s">
        <v>8</v>
      </c>
      <c r="AG29" s="311" t="s">
        <v>8</v>
      </c>
      <c r="AH29" s="311" t="s">
        <v>8</v>
      </c>
      <c r="AI29" s="311" t="s">
        <v>8</v>
      </c>
      <c r="AJ29" s="311">
        <f>INDEX($A$27:$B$246,MATCH(IFERROR(IF(T29&lt;H29,H29,IF(T29&gt;L29,L29,T29)),0),$A$27:$A$246,1),2)</f>
        <v/>
      </c>
      <c r="AK29" s="311">
        <f>INDEX($A$27:$B$246,MATCH(IFERROR(IF(U29&lt;I29,I29,IF(U29&gt;M29,M29,U29)),0),$A$27:$A$246,1),2)</f>
        <v/>
      </c>
      <c r="AL29" s="311">
        <f>INDEX($A$27:$B$246,MATCH(IFERROR(IF(V29&lt;J29,J29,IF(V29&gt;N29,N29,V29)),0),$A$27:$A$246,1),2)</f>
        <v/>
      </c>
      <c r="AM29" s="311">
        <f>INDEX($A$27:$B$246,MATCH(IFERROR(IF(W29&lt;K29,K29,IF(W29&gt;O29,O29,W29)),0),$A$27:$A$246,1),2)</f>
        <v/>
      </c>
      <c r="AN29" s="311">
        <f>INDEX($A$27:$B$246,MATCH(IFERROR(IF(T29&lt;H29,H29,IF(T29&gt;L29,L29,T29)),0),$A$27:$A$246,1),2)</f>
        <v/>
      </c>
      <c r="AO29" s="311">
        <f>INDEX($A$27:$B$246,MATCH(IFERROR(IF(U29&lt;I29,I29,IF(U29&gt;M29,M29,U29)),0),$A$27:$A$246,1),2)</f>
        <v/>
      </c>
      <c r="AP29" s="311">
        <f>INDEX($A$27:$B$246,MATCH(IFERROR(IF(V29&lt;J29,J29,IF(V29&gt;N29,N29,V29)),0),$A$27:$A$246,1),2)</f>
        <v/>
      </c>
      <c r="AQ29" s="311">
        <f>INDEX($A$27:$B$246,MATCH(IFERROR(IF(W29&lt;K29,K29,IF(W29&gt;O29,O29,W29)),0),$A$27:$A$246,1),2)</f>
        <v/>
      </c>
      <c r="AR29" s="311">
        <f>INDEX($A$27:$B$246,MATCH(IFERROR(IF(T29+$AS$5&lt;H29,H29,IF(T29+$AS$5&gt;L29,L29,T29+$AS$5)),0),$A$27:$A$246,1),2)</f>
        <v/>
      </c>
      <c r="AS29" s="311">
        <f>INDEX($A$27:$B$246,MATCH(IFERROR(IF(U29+$AS$5&lt;I29,I29,IF(U29+$AS$5&gt;M29,M29,U29+$AS$5)),0),$A$27:$A$246,1),2)</f>
        <v/>
      </c>
      <c r="AT29" s="311">
        <f>INDEX($A$27:$B$246,MATCH(IFERROR(IF(V29+$AS$5&lt;J29,J29,IF(V29+$AS$5&gt;N29,N29,V29+$AS$5)),0),$A$27:$A$246,1),2)</f>
        <v/>
      </c>
      <c r="AU29" s="311">
        <f>INDEX($A$27:$B$246,MATCH(IFERROR(IF(W29+$AS$5&lt;K29,K29,IF(W29+$AS$5&gt;O29,O29,W29+$AS$5)),0),$A$27:$A$246,1),2)</f>
        <v/>
      </c>
      <c r="AV29" s="311">
        <f>INDEX($A$27:$B$246,MATCH(IFERROR(IF(T29+$AW$5&lt;H29,H29,IF(T29+$AW$5&gt;L29,L29,T29+$AW$5)),0),$A$27:$A$246,1),2)</f>
        <v/>
      </c>
      <c r="AW29" s="311">
        <f>INDEX($A$27:$B$246,MATCH(IFERROR(IF(U29+$AW$5&lt;I29,I29,IF(U29+$AW$5&gt;M29,M29,U29+$AW$5)),0),$A$27:$A$246,1),2)</f>
        <v/>
      </c>
      <c r="AX29" s="311">
        <f>INDEX($A$27:$B$246,MATCH(IFERROR(IF(V29+$AW$5&lt;J29,J29,IF(V29+$AW$5&gt;N29,N29,V29+$AW$5)),0),$A$27:$A$246,1),2)</f>
        <v/>
      </c>
      <c r="AY29" s="311">
        <f>INDEX($A$27:$B$246,MATCH(IFERROR(IF(W29+$AW$5&lt;K29,K29,IF(W29+$AW$5&gt;O29,O29,W29+$AW$5)),0),$A$27:$A$246,1),2)</f>
        <v/>
      </c>
      <c r="AZ29" s="311">
        <f>INDEX($A$27:$B$246,MATCH(IFERROR(IF(T29+$BA$5&lt;H29,H29,IF(T29+$BA$5&gt;L29,L29,T29+$BA$5)),0),$A$27:$A$246,1),2)</f>
        <v/>
      </c>
      <c r="BA29" s="311">
        <f>INDEX($A$27:$B$246,MATCH(IFERROR(IF(U29+$BA$5&lt;I29,I29,IF(U29+$BA$5&gt;M29,M29,U29+$BA$5)),0),$A$27:$A$246,1),2)</f>
        <v/>
      </c>
      <c r="BB29" s="311">
        <f>INDEX($A$27:$B$246,MATCH(IFERROR(IF(V29+$BA$5&lt;J29,J29,IF(V29+$BA$5&gt;N29,N29,V29+$BA$5)),0),$A$27:$A$246,1),2)</f>
        <v/>
      </c>
      <c r="BC29" s="311">
        <f>INDEX($A$27:$B$246,MATCH(IFERROR(IF(W29+$BA$5&lt;K29,K29,IF(W29+$BA$5&gt;O29,O29,W29+$BA$5)),0),$A$27:$A$246,1),2)</f>
        <v/>
      </c>
      <c r="BD29" s="311" t="s">
        <v>8</v>
      </c>
      <c r="BE29" s="311" t="s">
        <v>8</v>
      </c>
      <c r="BF29" s="311" t="s">
        <v>8</v>
      </c>
      <c r="BG29" s="311" t="s">
        <v>8</v>
      </c>
      <c r="BI29" s="312" t="s">
        <v>152</v>
      </c>
      <c r="BJ29" s="108" t="s">
        <v>201</v>
      </c>
      <c r="BK29" s="108" t="s">
        <v>249</v>
      </c>
      <c r="BL29" s="108" t="n">
        <v>25</v>
      </c>
    </row>
    <row r="30" spans="1:64">
      <c r="A30" s="313">
        <f>A29+$B$24</f>
        <v/>
      </c>
      <c r="B30" s="315" t="n">
        <v>1490</v>
      </c>
      <c r="C30" s="314" t="n"/>
      <c r="D30" t="s">
        <v>250</v>
      </c>
      <c r="E30" s="34" t="s">
        <v>250</v>
      </c>
      <c r="F30" s="34" t="s">
        <v>227</v>
      </c>
      <c r="G30" s="34" t="n">
        <v>183</v>
      </c>
      <c r="H30" s="310" t="n">
        <v>1</v>
      </c>
      <c r="I30" s="310" t="n">
        <v>1</v>
      </c>
      <c r="J30" s="310" t="n">
        <v>1</v>
      </c>
      <c r="K30" s="310" t="n">
        <v>1</v>
      </c>
      <c r="L30" s="311">
        <f>H30*$B$1</f>
        <v/>
      </c>
      <c r="M30" s="311">
        <f>I30*$B$1</f>
        <v/>
      </c>
      <c r="N30" s="311">
        <f>J30*$B$1</f>
        <v/>
      </c>
      <c r="O30" s="311">
        <f>K30*$B$1</f>
        <v/>
      </c>
      <c r="P30" s="311">
        <f>IFERROR(MIN(VLOOKUP(E30,Detalle!A:AA,$P$6,0),VLOOKUP(E30,Detalle!A:AA,$P$7,0),VLOOKUP(E30,Detalle!A:AA,$P$4,0)),0)</f>
        <v/>
      </c>
      <c r="Q30" s="311">
        <f>IFERROR(MIN(VLOOKUP(E30,Detalle!A:AA,$Q$6,0),VLOOKUP(E30,Detalle!A:AA,$Q$7,0)),0)</f>
        <v/>
      </c>
      <c r="R30" s="311">
        <f>IFERROR(MIN(VLOOKUP(E30,Detalle!A:AA,$R$6,0),VLOOKUP(E30,Detalle!A:AA,$R$7,0)),0)</f>
        <v/>
      </c>
      <c r="S30" s="311">
        <f>IFERROR(MIN(VLOOKUP(E30,Detalle!A:AA,$S$6,0),VLOOKUP(E30,Detalle!A:AA,$S$7,0)),0)</f>
        <v/>
      </c>
      <c r="T30" s="311">
        <f>IFERROR(MAX(VLOOKUP(E30,Detalle!A:AA,$P$6,0),VLOOKUP(E30,Detalle!A:AA,$P$7,0),VLOOKUP(E30,Detalle!A:AA,$P$4,0)),0)</f>
        <v/>
      </c>
      <c r="U30" s="311">
        <f>IFERROR(MAX(VLOOKUP(E30,Detalle!A:AA,$Q$6,0),VLOOKUP(E30,Detalle!A:AA,$Q$7,0)),0)</f>
        <v/>
      </c>
      <c r="V30" s="311">
        <f>IFERROR(MAX(VLOOKUP(E30,Detalle!A:AA,$R$6,0),VLOOKUP(E30,Detalle!A:AA,$R$7,0)),0)</f>
        <v/>
      </c>
      <c r="W30" s="311">
        <f>IFERROR(MAX(VLOOKUP(E30,Detalle!A:AA,$S$6,0),VLOOKUP(E30,Detalle!A:AA,$S$7,0)),0)</f>
        <v/>
      </c>
      <c r="X30" s="311">
        <f>INDEX($A$27:$B$246,MATCH(IFERROR(IF(P30*(1+$Y$5)&lt;H30,H30,IF(P30*(1+$Y$5)&gt;L30,L30,P30*(1+$Y$5))),0),$A$27:$A$246,1),2)</f>
        <v/>
      </c>
      <c r="Y30" s="311">
        <f>INDEX($A$27:$B$246,MATCH(IFERROR(IF(Q30*(1+$Y$5)&lt;I30,I30,IF(Q30*(1+$Y$5)&gt;M30,M30,Q30*(1+$Y$5))),0),$A$27:$A$246,1),2)</f>
        <v/>
      </c>
      <c r="Z30" s="311">
        <f>INDEX($A$27:$B$246,MATCH(IFERROR(IF(R30*(1+$Y$5)&lt;J30,J30,IF(R30*(1+$Y$5)&gt;N30,N30,R30*(1+$Y$5))),0),$A$27:$A$246,1),2)</f>
        <v/>
      </c>
      <c r="AA30" s="311">
        <f>INDEX($A$27:$B$246,MATCH(IFERROR(IF(S30*(1+$Y$5)&lt;K30,K30,IF(S30*(1+$Y$5)&gt;O30,O30,S30*(1+$Y$5))),0),$A$27:$A$246,1),2)</f>
        <v/>
      </c>
      <c r="AB30" s="311">
        <f>INDEX($A$27:$B$246,MATCH(IFERROR(IF(P30-$AC$5&lt;H30,H30,IF(P30-$AC$5&gt;L30,L30,P30-$AC$5)),0),$A$27:$A$246,1),2)</f>
        <v/>
      </c>
      <c r="AC30" s="311">
        <f>INDEX($A$27:$B$246,MATCH(IFERROR(IF(Q30-$AC$5&lt;I30,I30,IF(Q30-$AC$5&gt;M30,M30,Q30-$AC$5)),0),$A$27:$A$246,1),2)</f>
        <v/>
      </c>
      <c r="AD30" s="311">
        <f>INDEX($A$27:$B$246,MATCH(IFERROR(IF(R30-$AC$5&lt;J30,J30,IF(R30-$AC$5&gt;N30,N30,R30-$AC$5)),0),$A$27:$A$246,1),2)</f>
        <v/>
      </c>
      <c r="AE30" s="311">
        <f>INDEX($A$27:$B$246,MATCH(IFERROR(IF(S30-$AC$5&lt;K30,K30,IF(S30-$AC$5&gt;O30,O30,S30-$AC$5)),0),$A$27:$A$246,1),2)</f>
        <v/>
      </c>
      <c r="AF30" s="311" t="s">
        <v>8</v>
      </c>
      <c r="AG30" s="311" t="s">
        <v>8</v>
      </c>
      <c r="AH30" s="311" t="s">
        <v>8</v>
      </c>
      <c r="AI30" s="311" t="s">
        <v>8</v>
      </c>
      <c r="AJ30" s="311">
        <f>INDEX($A$27:$B$246,MATCH(IFERROR(IF(T30&lt;H30,H30,IF(T30&gt;L30,L30,T30)),0),$A$27:$A$246,1),2)</f>
        <v/>
      </c>
      <c r="AK30" s="311">
        <f>INDEX($A$27:$B$246,MATCH(IFERROR(IF(U30&lt;I30,I30,IF(U30&gt;M30,M30,U30)),0),$A$27:$A$246,1),2)</f>
        <v/>
      </c>
      <c r="AL30" s="311">
        <f>INDEX($A$27:$B$246,MATCH(IFERROR(IF(V30&lt;J30,J30,IF(V30&gt;N30,N30,V30)),0),$A$27:$A$246,1),2)</f>
        <v/>
      </c>
      <c r="AM30" s="311">
        <f>INDEX($A$27:$B$246,MATCH(IFERROR(IF(W30&lt;K30,K30,IF(W30&gt;O30,O30,W30)),0),$A$27:$A$246,1),2)</f>
        <v/>
      </c>
      <c r="AN30" s="311">
        <f>INDEX($A$27:$B$246,MATCH(IFERROR(IF(T30&lt;H30,H30,IF(T30&gt;L30,L30,T30)),0),$A$27:$A$246,1),2)</f>
        <v/>
      </c>
      <c r="AO30" s="311">
        <f>INDEX($A$27:$B$246,MATCH(IFERROR(IF(U30&lt;I30,I30,IF(U30&gt;M30,M30,U30)),0),$A$27:$A$246,1),2)</f>
        <v/>
      </c>
      <c r="AP30" s="311">
        <f>INDEX($A$27:$B$246,MATCH(IFERROR(IF(V30&lt;J30,J30,IF(V30&gt;N30,N30,V30)),0),$A$27:$A$246,1),2)</f>
        <v/>
      </c>
      <c r="AQ30" s="311">
        <f>INDEX($A$27:$B$246,MATCH(IFERROR(IF(W30&lt;K30,K30,IF(W30&gt;O30,O30,W30)),0),$A$27:$A$246,1),2)</f>
        <v/>
      </c>
      <c r="AR30" s="311">
        <f>INDEX($A$27:$B$246,MATCH(IFERROR(IF(T30+$AS$5&lt;H30,H30,IF(T30+$AS$5&gt;L30,L30,T30+$AS$5)),0),$A$27:$A$246,1),2)</f>
        <v/>
      </c>
      <c r="AS30" s="311">
        <f>INDEX($A$27:$B$246,MATCH(IFERROR(IF(U30+$AS$5&lt;I30,I30,IF(U30+$AS$5&gt;M30,M30,U30+$AS$5)),0),$A$27:$A$246,1),2)</f>
        <v/>
      </c>
      <c r="AT30" s="311">
        <f>INDEX($A$27:$B$246,MATCH(IFERROR(IF(V30+$AS$5&lt;J30,J30,IF(V30+$AS$5&gt;N30,N30,V30+$AS$5)),0),$A$27:$A$246,1),2)</f>
        <v/>
      </c>
      <c r="AU30" s="311">
        <f>INDEX($A$27:$B$246,MATCH(IFERROR(IF(W30+$AS$5&lt;K30,K30,IF(W30+$AS$5&gt;O30,O30,W30+$AS$5)),0),$A$27:$A$246,1),2)</f>
        <v/>
      </c>
      <c r="AV30" s="311">
        <f>INDEX($A$27:$B$246,MATCH(IFERROR(IF(T30+$AW$5&lt;H30,H30,IF(T30+$AW$5&gt;L30,L30,T30+$AW$5)),0),$A$27:$A$246,1),2)</f>
        <v/>
      </c>
      <c r="AW30" s="311">
        <f>INDEX($A$27:$B$246,MATCH(IFERROR(IF(U30+$AW$5&lt;I30,I30,IF(U30+$AW$5&gt;M30,M30,U30+$AW$5)),0),$A$27:$A$246,1),2)</f>
        <v/>
      </c>
      <c r="AX30" s="311">
        <f>INDEX($A$27:$B$246,MATCH(IFERROR(IF(V30+$AW$5&lt;J30,J30,IF(V30+$AW$5&gt;N30,N30,V30+$AW$5)),0),$A$27:$A$246,1),2)</f>
        <v/>
      </c>
      <c r="AY30" s="311">
        <f>INDEX($A$27:$B$246,MATCH(IFERROR(IF(W30+$AW$5&lt;K30,K30,IF(W30+$AW$5&gt;O30,O30,W30+$AW$5)),0),$A$27:$A$246,1),2)</f>
        <v/>
      </c>
      <c r="AZ30" s="311">
        <f>INDEX($A$27:$B$246,MATCH(IFERROR(IF(T30+$BA$5&lt;H30,H30,IF(T30+$BA$5&gt;L30,L30,T30+$BA$5)),0),$A$27:$A$246,1),2)</f>
        <v/>
      </c>
      <c r="BA30" s="311">
        <f>INDEX($A$27:$B$246,MATCH(IFERROR(IF(U30+$BA$5&lt;I30,I30,IF(U30+$BA$5&gt;M30,M30,U30+$BA$5)),0),$A$27:$A$246,1),2)</f>
        <v/>
      </c>
      <c r="BB30" s="311">
        <f>INDEX($A$27:$B$246,MATCH(IFERROR(IF(V30+$BA$5&lt;J30,J30,IF(V30+$BA$5&gt;N30,N30,V30+$BA$5)),0),$A$27:$A$246,1),2)</f>
        <v/>
      </c>
      <c r="BC30" s="311">
        <f>INDEX($A$27:$B$246,MATCH(IFERROR(IF(W30+$BA$5&lt;K30,K30,IF(W30+$BA$5&gt;O30,O30,W30+$BA$5)),0),$A$27:$A$246,1),2)</f>
        <v/>
      </c>
      <c r="BD30" s="311" t="s">
        <v>8</v>
      </c>
      <c r="BE30" s="311" t="s">
        <v>8</v>
      </c>
      <c r="BF30" s="311" t="s">
        <v>8</v>
      </c>
      <c r="BG30" s="311" t="s">
        <v>8</v>
      </c>
      <c r="BI30" s="312" t="s">
        <v>152</v>
      </c>
      <c r="BJ30" s="108" t="s">
        <v>202</v>
      </c>
      <c r="BK30" s="108" t="s">
        <v>251</v>
      </c>
      <c r="BL30" s="108" t="n">
        <v>29</v>
      </c>
    </row>
    <row r="31" spans="1:64">
      <c r="A31" s="313">
        <f>A30+$B$24</f>
        <v/>
      </c>
      <c r="B31" s="313">
        <f>A31+(B24-11)</f>
        <v/>
      </c>
      <c r="C31" s="314" t="n"/>
      <c r="D31" t="s">
        <v>94</v>
      </c>
      <c r="E31" s="34" t="s">
        <v>94</v>
      </c>
      <c r="F31" s="34" t="s">
        <v>227</v>
      </c>
      <c r="G31" s="34" t="n">
        <v>393</v>
      </c>
      <c r="H31" s="310" t="n">
        <v>1</v>
      </c>
      <c r="I31" s="310" t="n">
        <v>1</v>
      </c>
      <c r="J31" s="310" t="n">
        <v>1</v>
      </c>
      <c r="K31" s="310" t="n">
        <v>1</v>
      </c>
      <c r="L31" s="311">
        <f>H31*$B$1</f>
        <v/>
      </c>
      <c r="M31" s="311">
        <f>I31*$B$1</f>
        <v/>
      </c>
      <c r="N31" s="311">
        <f>J31*$B$1</f>
        <v/>
      </c>
      <c r="O31" s="311">
        <f>K31*$B$1</f>
        <v/>
      </c>
      <c r="P31" s="311">
        <f>IFERROR(MIN(VLOOKUP(E31,Detalle!A:AA,$P$6,0),VLOOKUP(E31,Detalle!A:AA,$P$7,0),VLOOKUP(E31,Detalle!A:AA,$P$4,0)),0)</f>
        <v/>
      </c>
      <c r="Q31" s="311">
        <f>IFERROR(MIN(VLOOKUP(E31,Detalle!A:AA,$Q$6,0),VLOOKUP(E31,Detalle!A:AA,$Q$7,0)),0)</f>
        <v/>
      </c>
      <c r="R31" s="311">
        <f>IFERROR(MIN(VLOOKUP(E31,Detalle!A:AA,$R$6,0),VLOOKUP(E31,Detalle!A:AA,$R$7,0)),0)</f>
        <v/>
      </c>
      <c r="S31" s="311">
        <f>IFERROR(MIN(VLOOKUP(E31,Detalle!A:AA,$S$6,0),VLOOKUP(E31,Detalle!A:AA,$S$7,0)),0)</f>
        <v/>
      </c>
      <c r="T31" s="311">
        <f>IFERROR(MAX(VLOOKUP(E31,Detalle!A:AA,$P$6,0),VLOOKUP(E31,Detalle!A:AA,$P$7,0),VLOOKUP(E31,Detalle!A:AA,$P$4,0)),0)</f>
        <v/>
      </c>
      <c r="U31" s="311">
        <f>IFERROR(MAX(VLOOKUP(E31,Detalle!A:AA,$Q$6,0),VLOOKUP(E31,Detalle!A:AA,$Q$7,0)),0)</f>
        <v/>
      </c>
      <c r="V31" s="311">
        <f>IFERROR(MAX(VLOOKUP(E31,Detalle!A:AA,$R$6,0),VLOOKUP(E31,Detalle!A:AA,$R$7,0)),0)</f>
        <v/>
      </c>
      <c r="W31" s="311">
        <f>IFERROR(MAX(VLOOKUP(E31,Detalle!A:AA,$S$6,0),VLOOKUP(E31,Detalle!A:AA,$S$7,0)),0)</f>
        <v/>
      </c>
      <c r="X31" s="311">
        <f>INDEX($A$27:$B$246,MATCH(IFERROR(IF(P31*(1+$Y$5)&lt;H31,H31,IF(P31*(1+$Y$5)&gt;L31,L31,P31*(1+$Y$5))),0),$A$27:$A$246,1),2)</f>
        <v/>
      </c>
      <c r="Y31" s="311">
        <f>INDEX($A$27:$B$246,MATCH(IFERROR(IF(Q31*(1+$Y$5)&lt;I31,I31,IF(Q31*(1+$Y$5)&gt;M31,M31,Q31*(1+$Y$5))),0),$A$27:$A$246,1),2)</f>
        <v/>
      </c>
      <c r="Z31" s="311">
        <f>INDEX($A$27:$B$246,MATCH(IFERROR(IF(R31*(1+$Y$5)&lt;J31,J31,IF(R31*(1+$Y$5)&gt;N31,N31,R31*(1+$Y$5))),0),$A$27:$A$246,1),2)</f>
        <v/>
      </c>
      <c r="AA31" s="311">
        <f>INDEX($A$27:$B$246,MATCH(IFERROR(IF(S31*(1+$Y$5)&lt;K31,K31,IF(S31*(1+$Y$5)&gt;O31,O31,S31*(1+$Y$5))),0),$A$27:$A$246,1),2)</f>
        <v/>
      </c>
      <c r="AB31" s="311">
        <f>INDEX($A$27:$B$246,MATCH(IFERROR(IF(P31-$AC$5&lt;H31,H31,IF(P31-$AC$5&gt;L31,L31,P31-$AC$5)),0),$A$27:$A$246,1),2)</f>
        <v/>
      </c>
      <c r="AC31" s="311">
        <f>INDEX($A$27:$B$246,MATCH(IFERROR(IF(Q31-$AC$5&lt;I31,I31,IF(Q31-$AC$5&gt;M31,M31,Q31-$AC$5)),0),$A$27:$A$246,1),2)</f>
        <v/>
      </c>
      <c r="AD31" s="311">
        <f>INDEX($A$27:$B$246,MATCH(IFERROR(IF(R31-$AC$5&lt;J31,J31,IF(R31-$AC$5&gt;N31,N31,R31-$AC$5)),0),$A$27:$A$246,1),2)</f>
        <v/>
      </c>
      <c r="AE31" s="311">
        <f>INDEX($A$27:$B$246,MATCH(IFERROR(IF(S31-$AC$5&lt;K31,K31,IF(S31-$AC$5&gt;O31,O31,S31-$AC$5)),0),$A$27:$A$246,1),2)</f>
        <v/>
      </c>
      <c r="AF31" s="311" t="s">
        <v>8</v>
      </c>
      <c r="AG31" s="311" t="s">
        <v>8</v>
      </c>
      <c r="AH31" s="311" t="s">
        <v>8</v>
      </c>
      <c r="AI31" s="311" t="s">
        <v>8</v>
      </c>
      <c r="AJ31" s="311">
        <f>INDEX($A$27:$B$246,MATCH(IFERROR(IF(T31&lt;H31,H31,IF(T31&gt;L31,L31,T31)),0),$A$27:$A$246,1),2)</f>
        <v/>
      </c>
      <c r="AK31" s="311">
        <f>INDEX($A$27:$B$246,MATCH(IFERROR(IF(U31&lt;I31,I31,IF(U31&gt;M31,M31,U31)),0),$A$27:$A$246,1),2)</f>
        <v/>
      </c>
      <c r="AL31" s="311">
        <f>INDEX($A$27:$B$246,MATCH(IFERROR(IF(V31&lt;J31,J31,IF(V31&gt;N31,N31,V31)),0),$A$27:$A$246,1),2)</f>
        <v/>
      </c>
      <c r="AM31" s="311">
        <f>INDEX($A$27:$B$246,MATCH(IFERROR(IF(W31&lt;K31,K31,IF(W31&gt;O31,O31,W31)),0),$A$27:$A$246,1),2)</f>
        <v/>
      </c>
      <c r="AN31" s="311">
        <f>INDEX($A$27:$B$246,MATCH(IFERROR(IF(T31&lt;H31,H31,IF(T31&gt;L31,L31,T31)),0),$A$27:$A$246,1),2)</f>
        <v/>
      </c>
      <c r="AO31" s="311">
        <f>INDEX($A$27:$B$246,MATCH(IFERROR(IF(U31&lt;I31,I31,IF(U31&gt;M31,M31,U31)),0),$A$27:$A$246,1),2)</f>
        <v/>
      </c>
      <c r="AP31" s="311">
        <f>INDEX($A$27:$B$246,MATCH(IFERROR(IF(V31&lt;J31,J31,IF(V31&gt;N31,N31,V31)),0),$A$27:$A$246,1),2)</f>
        <v/>
      </c>
      <c r="AQ31" s="311">
        <f>INDEX($A$27:$B$246,MATCH(IFERROR(IF(W31&lt;K31,K31,IF(W31&gt;O31,O31,W31)),0),$A$27:$A$246,1),2)</f>
        <v/>
      </c>
      <c r="AR31" s="311">
        <f>INDEX($A$27:$B$246,MATCH(IFERROR(IF(T31+$AS$5&lt;H31,H31,IF(T31+$AS$5&gt;L31,L31,T31+$AS$5)),0),$A$27:$A$246,1),2)</f>
        <v/>
      </c>
      <c r="AS31" s="311">
        <f>INDEX($A$27:$B$246,MATCH(IFERROR(IF(U31+$AS$5&lt;I31,I31,IF(U31+$AS$5&gt;M31,M31,U31+$AS$5)),0),$A$27:$A$246,1),2)</f>
        <v/>
      </c>
      <c r="AT31" s="311">
        <f>INDEX($A$27:$B$246,MATCH(IFERROR(IF(V31+$AS$5&lt;J31,J31,IF(V31+$AS$5&gt;N31,N31,V31+$AS$5)),0),$A$27:$A$246,1),2)</f>
        <v/>
      </c>
      <c r="AU31" s="311">
        <f>INDEX($A$27:$B$246,MATCH(IFERROR(IF(W31+$AS$5&lt;K31,K31,IF(W31+$AS$5&gt;O31,O31,W31+$AS$5)),0),$A$27:$A$246,1),2)</f>
        <v/>
      </c>
      <c r="AV31" s="311">
        <f>INDEX($A$27:$B$246,MATCH(IFERROR(IF(T31+$AW$5&lt;H31,H31,IF(T31+$AW$5&gt;L31,L31,T31+$AW$5)),0),$A$27:$A$246,1),2)</f>
        <v/>
      </c>
      <c r="AW31" s="311">
        <f>INDEX($A$27:$B$246,MATCH(IFERROR(IF(U31+$AW$5&lt;I31,I31,IF(U31+$AW$5&gt;M31,M31,U31+$AW$5)),0),$A$27:$A$246,1),2)</f>
        <v/>
      </c>
      <c r="AX31" s="311">
        <f>INDEX($A$27:$B$246,MATCH(IFERROR(IF(V31+$AW$5&lt;J31,J31,IF(V31+$AW$5&gt;N31,N31,V31+$AW$5)),0),$A$27:$A$246,1),2)</f>
        <v/>
      </c>
      <c r="AY31" s="311">
        <f>INDEX($A$27:$B$246,MATCH(IFERROR(IF(W31+$AW$5&lt;K31,K31,IF(W31+$AW$5&gt;O31,O31,W31+$AW$5)),0),$A$27:$A$246,1),2)</f>
        <v/>
      </c>
      <c r="AZ31" s="311">
        <f>INDEX($A$27:$B$246,MATCH(IFERROR(IF(T31+$BA$5&lt;H31,H31,IF(T31+$BA$5&gt;L31,L31,T31+$BA$5)),0),$A$27:$A$246,1),2)</f>
        <v/>
      </c>
      <c r="BA31" s="311">
        <f>INDEX($A$27:$B$246,MATCH(IFERROR(IF(U31+$BA$5&lt;I31,I31,IF(U31+$BA$5&gt;M31,M31,U31+$BA$5)),0),$A$27:$A$246,1),2)</f>
        <v/>
      </c>
      <c r="BB31" s="311">
        <f>INDEX($A$27:$B$246,MATCH(IFERROR(IF(V31+$BA$5&lt;J31,J31,IF(V31+$BA$5&gt;N31,N31,V31+$BA$5)),0),$A$27:$A$246,1),2)</f>
        <v/>
      </c>
      <c r="BC31" s="311">
        <f>INDEX($A$27:$B$246,MATCH(IFERROR(IF(W31+$BA$5&lt;K31,K31,IF(W31+$BA$5&gt;O31,O31,W31+$BA$5)),0),$A$27:$A$246,1),2)</f>
        <v/>
      </c>
      <c r="BD31" s="311" t="s">
        <v>8</v>
      </c>
      <c r="BE31" s="311" t="s">
        <v>8</v>
      </c>
      <c r="BF31" s="311" t="s">
        <v>8</v>
      </c>
      <c r="BG31" s="311" t="s">
        <v>8</v>
      </c>
      <c r="BI31" s="312" t="s">
        <v>152</v>
      </c>
      <c r="BJ31" s="108" t="s">
        <v>203</v>
      </c>
      <c r="BK31" s="108" t="s">
        <v>252</v>
      </c>
      <c r="BL31" s="108" t="n">
        <v>33</v>
      </c>
    </row>
    <row r="32" spans="1:64">
      <c r="A32" s="313">
        <f>A31+$B$24</f>
        <v/>
      </c>
      <c r="B32" s="313">
        <f>B31+$B$24</f>
        <v/>
      </c>
      <c r="C32" s="314" t="n"/>
      <c r="D32" t="s">
        <v>95</v>
      </c>
      <c r="E32" s="34" t="s">
        <v>95</v>
      </c>
      <c r="F32" s="34" t="s">
        <v>227</v>
      </c>
      <c r="G32" s="34" t="n">
        <v>209</v>
      </c>
      <c r="H32" s="310" t="n">
        <v>1</v>
      </c>
      <c r="I32" s="310" t="n">
        <v>1</v>
      </c>
      <c r="J32" s="310" t="n">
        <v>1</v>
      </c>
      <c r="K32" s="310" t="n">
        <v>1</v>
      </c>
      <c r="L32" s="311">
        <f>H32*$B$1</f>
        <v/>
      </c>
      <c r="M32" s="311">
        <f>I32*$B$1</f>
        <v/>
      </c>
      <c r="N32" s="311">
        <f>J32*$B$1</f>
        <v/>
      </c>
      <c r="O32" s="311">
        <f>K32*$B$1</f>
        <v/>
      </c>
      <c r="P32" s="311">
        <f>IFERROR(MIN(VLOOKUP(E32,Detalle!A:AA,$P$6,0),VLOOKUP(E32,Detalle!A:AA,$P$7,0),VLOOKUP(E32,Detalle!A:AA,$P$4,0)),0)</f>
        <v/>
      </c>
      <c r="Q32" s="311">
        <f>IFERROR(MIN(VLOOKUP(E32,Detalle!A:AA,$Q$6,0),VLOOKUP(E32,Detalle!A:AA,$Q$7,0)),0)</f>
        <v/>
      </c>
      <c r="R32" s="311">
        <f>IFERROR(MIN(VLOOKUP(E32,Detalle!A:AA,$R$6,0),VLOOKUP(E32,Detalle!A:AA,$R$7,0)),0)</f>
        <v/>
      </c>
      <c r="S32" s="311">
        <f>IFERROR(MIN(VLOOKUP(E32,Detalle!A:AA,$S$6,0),VLOOKUP(E32,Detalle!A:AA,$S$7,0)),0)</f>
        <v/>
      </c>
      <c r="T32" s="311">
        <f>IFERROR(MAX(VLOOKUP(E32,Detalle!A:AA,$P$6,0),VLOOKUP(E32,Detalle!A:AA,$P$7,0),VLOOKUP(E32,Detalle!A:AA,$P$4,0)),0)</f>
        <v/>
      </c>
      <c r="U32" s="311">
        <f>IFERROR(MAX(VLOOKUP(E32,Detalle!A:AA,$Q$6,0),VLOOKUP(E32,Detalle!A:AA,$Q$7,0)),0)</f>
        <v/>
      </c>
      <c r="V32" s="311">
        <f>IFERROR(MAX(VLOOKUP(E32,Detalle!A:AA,$R$6,0),VLOOKUP(E32,Detalle!A:AA,$R$7,0)),0)</f>
        <v/>
      </c>
      <c r="W32" s="311">
        <f>IFERROR(MAX(VLOOKUP(E32,Detalle!A:AA,$S$6,0),VLOOKUP(E32,Detalle!A:AA,$S$7,0)),0)</f>
        <v/>
      </c>
      <c r="X32" s="311">
        <f>INDEX($A$27:$B$246,MATCH(IFERROR(IF(P32*(1+$Y$5)&lt;H32,H32,IF(P32*(1+$Y$5)&gt;L32,L32,P32*(1+$Y$5))),0),$A$27:$A$246,1),2)</f>
        <v/>
      </c>
      <c r="Y32" s="311">
        <f>INDEX($A$27:$B$246,MATCH(IFERROR(IF(Q32*(1+$Y$5)&lt;I32,I32,IF(Q32*(1+$Y$5)&gt;M32,M32,Q32*(1+$Y$5))),0),$A$27:$A$246,1),2)</f>
        <v/>
      </c>
      <c r="Z32" s="311">
        <f>INDEX($A$27:$B$246,MATCH(IFERROR(IF(R32*(1+$Y$5)&lt;J32,J32,IF(R32*(1+$Y$5)&gt;N32,N32,R32*(1+$Y$5))),0),$A$27:$A$246,1),2)</f>
        <v/>
      </c>
      <c r="AA32" s="311">
        <f>INDEX($A$27:$B$246,MATCH(IFERROR(IF(S32*(1+$Y$5)&lt;K32,K32,IF(S32*(1+$Y$5)&gt;O32,O32,S32*(1+$Y$5))),0),$A$27:$A$246,1),2)</f>
        <v/>
      </c>
      <c r="AB32" s="311">
        <f>INDEX($A$27:$B$246,MATCH(IFERROR(IF(P32-$AC$5&lt;H32,H32,IF(P32-$AC$5&gt;L32,L32,P32-$AC$5)),0),$A$27:$A$246,1),2)</f>
        <v/>
      </c>
      <c r="AC32" s="311">
        <f>INDEX($A$27:$B$246,MATCH(IFERROR(IF(Q32-$AC$5&lt;I32,I32,IF(Q32-$AC$5&gt;M32,M32,Q32-$AC$5)),0),$A$27:$A$246,1),2)</f>
        <v/>
      </c>
      <c r="AD32" s="311">
        <f>INDEX($A$27:$B$246,MATCH(IFERROR(IF(R32-$AC$5&lt;J32,J32,IF(R32-$AC$5&gt;N32,N32,R32-$AC$5)),0),$A$27:$A$246,1),2)</f>
        <v/>
      </c>
      <c r="AE32" s="311">
        <f>INDEX($A$27:$B$246,MATCH(IFERROR(IF(S32-$AC$5&lt;K32,K32,IF(S32-$AC$5&gt;O32,O32,S32-$AC$5)),0),$A$27:$A$246,1),2)</f>
        <v/>
      </c>
      <c r="AF32" s="311" t="s">
        <v>8</v>
      </c>
      <c r="AG32" s="311" t="s">
        <v>8</v>
      </c>
      <c r="AH32" s="311" t="s">
        <v>8</v>
      </c>
      <c r="AI32" s="311" t="s">
        <v>8</v>
      </c>
      <c r="AJ32" s="311">
        <f>INDEX($A$27:$B$246,MATCH(IFERROR(IF(T32&lt;H32,H32,IF(T32&gt;L32,L32,T32)),0),$A$27:$A$246,1),2)</f>
        <v/>
      </c>
      <c r="AK32" s="311">
        <f>INDEX($A$27:$B$246,MATCH(IFERROR(IF(U32&lt;I32,I32,IF(U32&gt;M32,M32,U32)),0),$A$27:$A$246,1),2)</f>
        <v/>
      </c>
      <c r="AL32" s="311">
        <f>INDEX($A$27:$B$246,MATCH(IFERROR(IF(V32&lt;J32,J32,IF(V32&gt;N32,N32,V32)),0),$A$27:$A$246,1),2)</f>
        <v/>
      </c>
      <c r="AM32" s="311">
        <f>INDEX($A$27:$B$246,MATCH(IFERROR(IF(W32&lt;K32,K32,IF(W32&gt;O32,O32,W32)),0),$A$27:$A$246,1),2)</f>
        <v/>
      </c>
      <c r="AN32" s="311">
        <f>INDEX($A$27:$B$246,MATCH(IFERROR(IF(T32&lt;H32,H32,IF(T32&gt;L32,L32,T32)),0),$A$27:$A$246,1),2)</f>
        <v/>
      </c>
      <c r="AO32" s="311">
        <f>INDEX($A$27:$B$246,MATCH(IFERROR(IF(U32&lt;I32,I32,IF(U32&gt;M32,M32,U32)),0),$A$27:$A$246,1),2)</f>
        <v/>
      </c>
      <c r="AP32" s="311">
        <f>INDEX($A$27:$B$246,MATCH(IFERROR(IF(V32&lt;J32,J32,IF(V32&gt;N32,N32,V32)),0),$A$27:$A$246,1),2)</f>
        <v/>
      </c>
      <c r="AQ32" s="311">
        <f>INDEX($A$27:$B$246,MATCH(IFERROR(IF(W32&lt;K32,K32,IF(W32&gt;O32,O32,W32)),0),$A$27:$A$246,1),2)</f>
        <v/>
      </c>
      <c r="AR32" s="311">
        <f>INDEX($A$27:$B$246,MATCH(IFERROR(IF(T32+$AS$5&lt;H32,H32,IF(T32+$AS$5&gt;L32,L32,T32+$AS$5)),0),$A$27:$A$246,1),2)</f>
        <v/>
      </c>
      <c r="AS32" s="311">
        <f>INDEX($A$27:$B$246,MATCH(IFERROR(IF(U32+$AS$5&lt;I32,I32,IF(U32+$AS$5&gt;M32,M32,U32+$AS$5)),0),$A$27:$A$246,1),2)</f>
        <v/>
      </c>
      <c r="AT32" s="311">
        <f>INDEX($A$27:$B$246,MATCH(IFERROR(IF(V32+$AS$5&lt;J32,J32,IF(V32+$AS$5&gt;N32,N32,V32+$AS$5)),0),$A$27:$A$246,1),2)</f>
        <v/>
      </c>
      <c r="AU32" s="311">
        <f>INDEX($A$27:$B$246,MATCH(IFERROR(IF(W32+$AS$5&lt;K32,K32,IF(W32+$AS$5&gt;O32,O32,W32+$AS$5)),0),$A$27:$A$246,1),2)</f>
        <v/>
      </c>
      <c r="AV32" s="311">
        <f>INDEX($A$27:$B$246,MATCH(IFERROR(IF(T32+$AW$5&lt;H32,H32,IF(T32+$AW$5&gt;L32,L32,T32+$AW$5)),0),$A$27:$A$246,1),2)</f>
        <v/>
      </c>
      <c r="AW32" s="311">
        <f>INDEX($A$27:$B$246,MATCH(IFERROR(IF(U32+$AW$5&lt;I32,I32,IF(U32+$AW$5&gt;M32,M32,U32+$AW$5)),0),$A$27:$A$246,1),2)</f>
        <v/>
      </c>
      <c r="AX32" s="311">
        <f>INDEX($A$27:$B$246,MATCH(IFERROR(IF(V32+$AW$5&lt;J32,J32,IF(V32+$AW$5&gt;N32,N32,V32+$AW$5)),0),$A$27:$A$246,1),2)</f>
        <v/>
      </c>
      <c r="AY32" s="311">
        <f>INDEX($A$27:$B$246,MATCH(IFERROR(IF(W32+$AW$5&lt;K32,K32,IF(W32+$AW$5&gt;O32,O32,W32+$AW$5)),0),$A$27:$A$246,1),2)</f>
        <v/>
      </c>
      <c r="AZ32" s="311">
        <f>INDEX($A$27:$B$246,MATCH(IFERROR(IF(T32+$BA$5&lt;H32,H32,IF(T32+$BA$5&gt;L32,L32,T32+$BA$5)),0),$A$27:$A$246,1),2)</f>
        <v/>
      </c>
      <c r="BA32" s="311">
        <f>INDEX($A$27:$B$246,MATCH(IFERROR(IF(U32+$BA$5&lt;I32,I32,IF(U32+$BA$5&gt;M32,M32,U32+$BA$5)),0),$A$27:$A$246,1),2)</f>
        <v/>
      </c>
      <c r="BB32" s="311">
        <f>INDEX($A$27:$B$246,MATCH(IFERROR(IF(V32+$BA$5&lt;J32,J32,IF(V32+$BA$5&gt;N32,N32,V32+$BA$5)),0),$A$27:$A$246,1),2)</f>
        <v/>
      </c>
      <c r="BC32" s="311">
        <f>INDEX($A$27:$B$246,MATCH(IFERROR(IF(W32+$BA$5&lt;K32,K32,IF(W32+$BA$5&gt;O32,O32,W32+$BA$5)),0),$A$27:$A$246,1),2)</f>
        <v/>
      </c>
      <c r="BD32" s="311" t="s">
        <v>8</v>
      </c>
      <c r="BE32" s="311" t="s">
        <v>8</v>
      </c>
      <c r="BF32" s="311" t="s">
        <v>8</v>
      </c>
      <c r="BG32" s="311" t="s">
        <v>8</v>
      </c>
      <c r="BI32" s="312" t="s">
        <v>152</v>
      </c>
      <c r="BJ32" s="108" t="s">
        <v>204</v>
      </c>
      <c r="BK32" s="108" t="s">
        <v>253</v>
      </c>
      <c r="BL32" s="108" t="n">
        <v>37</v>
      </c>
    </row>
    <row r="33" spans="1:64">
      <c r="A33" s="313">
        <f>A32+$B$24</f>
        <v/>
      </c>
      <c r="B33" s="313">
        <f>B32+$B$24</f>
        <v/>
      </c>
      <c r="C33" s="314" t="n"/>
      <c r="D33" t="s">
        <v>98</v>
      </c>
      <c r="E33" s="34" t="s">
        <v>98</v>
      </c>
      <c r="F33" s="34" t="s">
        <v>239</v>
      </c>
      <c r="G33" s="34" t="n">
        <v>121</v>
      </c>
      <c r="H33" s="310" t="n">
        <v>1</v>
      </c>
      <c r="I33" s="310" t="n">
        <v>1</v>
      </c>
      <c r="J33" s="310" t="n">
        <v>1</v>
      </c>
      <c r="K33" s="310" t="n">
        <v>1</v>
      </c>
      <c r="L33" s="311">
        <f>H33*$B$1</f>
        <v/>
      </c>
      <c r="M33" s="311">
        <f>I33*$B$1</f>
        <v/>
      </c>
      <c r="N33" s="311">
        <f>J33*$B$1</f>
        <v/>
      </c>
      <c r="O33" s="311">
        <f>K33*$B$1</f>
        <v/>
      </c>
      <c r="P33" s="311">
        <f>IFERROR(MIN(VLOOKUP(E33,Detalle!A:AA,$P$6,0),VLOOKUP(E33,Detalle!A:AA,$P$7,0),VLOOKUP(E33,Detalle!A:AA,$P$4,0)),0)</f>
        <v/>
      </c>
      <c r="Q33" s="311">
        <f>IFERROR(MIN(VLOOKUP(E33,Detalle!A:AA,$Q$6,0),VLOOKUP(E33,Detalle!A:AA,$Q$7,0)),0)</f>
        <v/>
      </c>
      <c r="R33" s="311">
        <f>IFERROR(MIN(VLOOKUP(E33,Detalle!A:AA,$R$6,0),VLOOKUP(E33,Detalle!A:AA,$R$7,0)),0)</f>
        <v/>
      </c>
      <c r="S33" s="311">
        <f>IFERROR(MIN(VLOOKUP(E33,Detalle!A:AA,$S$6,0),VLOOKUP(E33,Detalle!A:AA,$S$7,0)),0)</f>
        <v/>
      </c>
      <c r="T33" s="311">
        <f>IFERROR(MAX(VLOOKUP(E33,Detalle!A:AA,$P$6,0),VLOOKUP(E33,Detalle!A:AA,$P$7,0),VLOOKUP(E33,Detalle!A:AA,$P$4,0)),0)</f>
        <v/>
      </c>
      <c r="U33" s="311">
        <f>IFERROR(MAX(VLOOKUP(E33,Detalle!A:AA,$Q$6,0),VLOOKUP(E33,Detalle!A:AA,$Q$7,0)),0)</f>
        <v/>
      </c>
      <c r="V33" s="311">
        <f>IFERROR(MAX(VLOOKUP(E33,Detalle!A:AA,$R$6,0),VLOOKUP(E33,Detalle!A:AA,$R$7,0)),0)</f>
        <v/>
      </c>
      <c r="W33" s="311">
        <f>IFERROR(MAX(VLOOKUP(E33,Detalle!A:AA,$S$6,0),VLOOKUP(E33,Detalle!A:AA,$S$7,0)),0)</f>
        <v/>
      </c>
      <c r="X33" s="311">
        <f>INDEX($A$27:$B$246,MATCH(IFERROR(IF(P33*(1+$Y$5)&lt;H33,H33,IF(P33*(1+$Y$5)&gt;L33,L33,P33*(1+$Y$5))),0),$A$27:$A$246,1),2)</f>
        <v/>
      </c>
      <c r="Y33" s="311">
        <f>INDEX($A$27:$B$246,MATCH(IFERROR(IF(Q33*(1+$Y$5)&lt;I33,I33,IF(Q33*(1+$Y$5)&gt;M33,M33,Q33*(1+$Y$5))),0),$A$27:$A$246,1),2)</f>
        <v/>
      </c>
      <c r="Z33" s="311">
        <f>INDEX($A$27:$B$246,MATCH(IFERROR(IF(R33*(1+$Y$5)&lt;J33,J33,IF(R33*(1+$Y$5)&gt;N33,N33,R33*(1+$Y$5))),0),$A$27:$A$246,1),2)</f>
        <v/>
      </c>
      <c r="AA33" s="311">
        <f>INDEX($A$27:$B$246,MATCH(IFERROR(IF(S33*(1+$Y$5)&lt;K33,K33,IF(S33*(1+$Y$5)&gt;O33,O33,S33*(1+$Y$5))),0),$A$27:$A$246,1),2)</f>
        <v/>
      </c>
      <c r="AB33" s="311">
        <f>INDEX($A$27:$B$246,MATCH(IFERROR(IF(P33-$AC$5&lt;H33,H33,IF(P33-$AC$5&gt;L33,L33,P33-$AC$5)),0),$A$27:$A$246,1),2)</f>
        <v/>
      </c>
      <c r="AC33" s="311">
        <f>INDEX($A$27:$B$246,MATCH(IFERROR(IF(Q33-$AC$5&lt;I33,I33,IF(Q33-$AC$5&gt;M33,M33,Q33-$AC$5)),0),$A$27:$A$246,1),2)</f>
        <v/>
      </c>
      <c r="AD33" s="311">
        <f>INDEX($A$27:$B$246,MATCH(IFERROR(IF(R33-$AC$5&lt;J33,J33,IF(R33-$AC$5&gt;N33,N33,R33-$AC$5)),0),$A$27:$A$246,1),2)</f>
        <v/>
      </c>
      <c r="AE33" s="311">
        <f>INDEX($A$27:$B$246,MATCH(IFERROR(IF(S33-$AC$5&lt;K33,K33,IF(S33-$AC$5&gt;O33,O33,S33-$AC$5)),0),$A$27:$A$246,1),2)</f>
        <v/>
      </c>
      <c r="AF33" s="311" t="s">
        <v>8</v>
      </c>
      <c r="AG33" s="311" t="s">
        <v>8</v>
      </c>
      <c r="AH33" s="311" t="s">
        <v>8</v>
      </c>
      <c r="AI33" s="311" t="s">
        <v>8</v>
      </c>
      <c r="AJ33" s="311">
        <f>INDEX($A$27:$B$246,MATCH(IFERROR(IF(T33&lt;H33,H33,IF(T33&gt;L33,L33,T33)),0),$A$27:$A$246,1),2)</f>
        <v/>
      </c>
      <c r="AK33" s="311">
        <f>INDEX($A$27:$B$246,MATCH(IFERROR(IF(U33&lt;I33,I33,IF(U33&gt;M33,M33,U33)),0),$A$27:$A$246,1),2)</f>
        <v/>
      </c>
      <c r="AL33" s="311">
        <f>INDEX($A$27:$B$246,MATCH(IFERROR(IF(V33&lt;J33,J33,IF(V33&gt;N33,N33,V33)),0),$A$27:$A$246,1),2)</f>
        <v/>
      </c>
      <c r="AM33" s="311">
        <f>INDEX($A$27:$B$246,MATCH(IFERROR(IF(W33&lt;K33,K33,IF(W33&gt;O33,O33,W33)),0),$A$27:$A$246,1),2)</f>
        <v/>
      </c>
      <c r="AN33" s="311">
        <f>INDEX($A$27:$B$246,MATCH(IFERROR(IF(T33&lt;H33,H33,IF(T33&gt;L33,L33,T33)),0),$A$27:$A$246,1),2)</f>
        <v/>
      </c>
      <c r="AO33" s="311">
        <f>INDEX($A$27:$B$246,MATCH(IFERROR(IF(U33&lt;I33,I33,IF(U33&gt;M33,M33,U33)),0),$A$27:$A$246,1),2)</f>
        <v/>
      </c>
      <c r="AP33" s="311">
        <f>INDEX($A$27:$B$246,MATCH(IFERROR(IF(V33&lt;J33,J33,IF(V33&gt;N33,N33,V33)),0),$A$27:$A$246,1),2)</f>
        <v/>
      </c>
      <c r="AQ33" s="311">
        <f>INDEX($A$27:$B$246,MATCH(IFERROR(IF(W33&lt;K33,K33,IF(W33&gt;O33,O33,W33)),0),$A$27:$A$246,1),2)</f>
        <v/>
      </c>
      <c r="AR33" s="311">
        <f>INDEX($A$27:$B$246,MATCH(IFERROR(IF(T33+$AS$5&lt;H33,H33,IF(T33+$AS$5&gt;L33,L33,T33+$AS$5)),0),$A$27:$A$246,1),2)</f>
        <v/>
      </c>
      <c r="AS33" s="311">
        <f>INDEX($A$27:$B$246,MATCH(IFERROR(IF(U33+$AS$5&lt;I33,I33,IF(U33+$AS$5&gt;M33,M33,U33+$AS$5)),0),$A$27:$A$246,1),2)</f>
        <v/>
      </c>
      <c r="AT33" s="311">
        <f>INDEX($A$27:$B$246,MATCH(IFERROR(IF(V33+$AS$5&lt;J33,J33,IF(V33+$AS$5&gt;N33,N33,V33+$AS$5)),0),$A$27:$A$246,1),2)</f>
        <v/>
      </c>
      <c r="AU33" s="311">
        <f>INDEX($A$27:$B$246,MATCH(IFERROR(IF(W33+$AS$5&lt;K33,K33,IF(W33+$AS$5&gt;O33,O33,W33+$AS$5)),0),$A$27:$A$246,1),2)</f>
        <v/>
      </c>
      <c r="AV33" s="311">
        <f>INDEX($A$27:$B$246,MATCH(IFERROR(IF(T33+$AW$5&lt;H33,H33,IF(T33+$AW$5&gt;L33,L33,T33+$AW$5)),0),$A$27:$A$246,1),2)</f>
        <v/>
      </c>
      <c r="AW33" s="311">
        <f>INDEX($A$27:$B$246,MATCH(IFERROR(IF(U33+$AW$5&lt;I33,I33,IF(U33+$AW$5&gt;M33,M33,U33+$AW$5)),0),$A$27:$A$246,1),2)</f>
        <v/>
      </c>
      <c r="AX33" s="311">
        <f>INDEX($A$27:$B$246,MATCH(IFERROR(IF(V33+$AW$5&lt;J33,J33,IF(V33+$AW$5&gt;N33,N33,V33+$AW$5)),0),$A$27:$A$246,1),2)</f>
        <v/>
      </c>
      <c r="AY33" s="311">
        <f>INDEX($A$27:$B$246,MATCH(IFERROR(IF(W33+$AW$5&lt;K33,K33,IF(W33+$AW$5&gt;O33,O33,W33+$AW$5)),0),$A$27:$A$246,1),2)</f>
        <v/>
      </c>
      <c r="AZ33" s="311">
        <f>INDEX($A$27:$B$246,MATCH(IFERROR(IF(T33+$BA$5&lt;H33,H33,IF(T33+$BA$5&gt;L33,L33,T33+$BA$5)),0),$A$27:$A$246,1),2)</f>
        <v/>
      </c>
      <c r="BA33" s="311">
        <f>INDEX($A$27:$B$246,MATCH(IFERROR(IF(U33+$BA$5&lt;I33,I33,IF(U33+$BA$5&gt;M33,M33,U33+$BA$5)),0),$A$27:$A$246,1),2)</f>
        <v/>
      </c>
      <c r="BB33" s="311">
        <f>INDEX($A$27:$B$246,MATCH(IFERROR(IF(V33+$BA$5&lt;J33,J33,IF(V33+$BA$5&gt;N33,N33,V33+$BA$5)),0),$A$27:$A$246,1),2)</f>
        <v/>
      </c>
      <c r="BC33" s="311">
        <f>INDEX($A$27:$B$246,MATCH(IFERROR(IF(W33+$BA$5&lt;K33,K33,IF(W33+$BA$5&gt;O33,O33,W33+$BA$5)),0),$A$27:$A$246,1),2)</f>
        <v/>
      </c>
      <c r="BD33" s="311" t="s">
        <v>8</v>
      </c>
      <c r="BE33" s="311" t="s">
        <v>8</v>
      </c>
      <c r="BF33" s="311" t="s">
        <v>8</v>
      </c>
      <c r="BG33" s="311" t="s">
        <v>8</v>
      </c>
      <c r="BI33" s="312" t="s">
        <v>152</v>
      </c>
      <c r="BJ33" s="108" t="s">
        <v>205</v>
      </c>
      <c r="BK33" s="108" t="s">
        <v>254</v>
      </c>
      <c r="BL33" s="108" t="n">
        <v>41</v>
      </c>
    </row>
    <row r="34" spans="1:64">
      <c r="A34" s="313">
        <f>A33+$B$24</f>
        <v/>
      </c>
      <c r="B34" s="313">
        <f>B33+$B$24</f>
        <v/>
      </c>
      <c r="C34" s="314" t="n"/>
      <c r="D34" t="s">
        <v>100</v>
      </c>
      <c r="E34" s="34" t="s">
        <v>100</v>
      </c>
      <c r="F34" s="34" t="s">
        <v>239</v>
      </c>
      <c r="G34" s="34" t="n">
        <v>126</v>
      </c>
      <c r="H34" s="310" t="n">
        <v>1</v>
      </c>
      <c r="I34" s="310" t="n">
        <v>1</v>
      </c>
      <c r="J34" s="310" t="n">
        <v>1</v>
      </c>
      <c r="K34" s="310" t="n">
        <v>1</v>
      </c>
      <c r="L34" s="311">
        <f>H34*$B$1</f>
        <v/>
      </c>
      <c r="M34" s="311">
        <f>I34*$B$1</f>
        <v/>
      </c>
      <c r="N34" s="311">
        <f>J34*$B$1</f>
        <v/>
      </c>
      <c r="O34" s="311">
        <f>K34*$B$1</f>
        <v/>
      </c>
      <c r="P34" s="311">
        <f>IFERROR(MIN(VLOOKUP(E34,Detalle!A:AA,$P$6,0),VLOOKUP(E34,Detalle!A:AA,$P$7,0),VLOOKUP(E34,Detalle!A:AA,$P$4,0)),0)</f>
        <v/>
      </c>
      <c r="Q34" s="311">
        <f>IFERROR(MIN(VLOOKUP(E34,Detalle!A:AA,$Q$6,0),VLOOKUP(E34,Detalle!A:AA,$Q$7,0)),0)</f>
        <v/>
      </c>
      <c r="R34" s="311">
        <f>IFERROR(MIN(VLOOKUP(E34,Detalle!A:AA,$R$6,0),VLOOKUP(E34,Detalle!A:AA,$R$7,0)),0)</f>
        <v/>
      </c>
      <c r="S34" s="311">
        <f>IFERROR(MIN(VLOOKUP(E34,Detalle!A:AA,$S$6,0),VLOOKUP(E34,Detalle!A:AA,$S$7,0)),0)</f>
        <v/>
      </c>
      <c r="T34" s="311">
        <f>IFERROR(MAX(VLOOKUP(E34,Detalle!A:AA,$P$6,0),VLOOKUP(E34,Detalle!A:AA,$P$7,0),VLOOKUP(E34,Detalle!A:AA,$P$4,0)),0)</f>
        <v/>
      </c>
      <c r="U34" s="311">
        <f>IFERROR(MAX(VLOOKUP(E34,Detalle!A:AA,$Q$6,0),VLOOKUP(E34,Detalle!A:AA,$Q$7,0)),0)</f>
        <v/>
      </c>
      <c r="V34" s="311">
        <f>IFERROR(MAX(VLOOKUP(E34,Detalle!A:AA,$R$6,0),VLOOKUP(E34,Detalle!A:AA,$R$7,0)),0)</f>
        <v/>
      </c>
      <c r="W34" s="311">
        <f>IFERROR(MAX(VLOOKUP(E34,Detalle!A:AA,$S$6,0),VLOOKUP(E34,Detalle!A:AA,$S$7,0)),0)</f>
        <v/>
      </c>
      <c r="X34" s="311">
        <f>INDEX($A$27:$B$246,MATCH(IFERROR(IF(P34*(1+$Y$5)&lt;H34,H34,IF(P34*(1+$Y$5)&gt;L34,L34,P34*(1+$Y$5))),0),$A$27:$A$246,1),2)</f>
        <v/>
      </c>
      <c r="Y34" s="311">
        <f>INDEX($A$27:$B$246,MATCH(IFERROR(IF(Q34*(1+$Y$5)&lt;I34,I34,IF(Q34*(1+$Y$5)&gt;M34,M34,Q34*(1+$Y$5))),0),$A$27:$A$246,1),2)</f>
        <v/>
      </c>
      <c r="Z34" s="311">
        <f>INDEX($A$27:$B$246,MATCH(IFERROR(IF(R34*(1+$Y$5)&lt;J34,J34,IF(R34*(1+$Y$5)&gt;N34,N34,R34*(1+$Y$5))),0),$A$27:$A$246,1),2)</f>
        <v/>
      </c>
      <c r="AA34" s="311">
        <f>INDEX($A$27:$B$246,MATCH(IFERROR(IF(S34*(1+$Y$5)&lt;K34,K34,IF(S34*(1+$Y$5)&gt;O34,O34,S34*(1+$Y$5))),0),$A$27:$A$246,1),2)</f>
        <v/>
      </c>
      <c r="AB34" s="311">
        <f>INDEX($A$27:$B$246,MATCH(IFERROR(IF(P34-$AC$5&lt;H34,H34,IF(P34-$AC$5&gt;L34,L34,P34-$AC$5)),0),$A$27:$A$246,1),2)</f>
        <v/>
      </c>
      <c r="AC34" s="311">
        <f>INDEX($A$27:$B$246,MATCH(IFERROR(IF(Q34-$AC$5&lt;I34,I34,IF(Q34-$AC$5&gt;M34,M34,Q34-$AC$5)),0),$A$27:$A$246,1),2)</f>
        <v/>
      </c>
      <c r="AD34" s="311">
        <f>INDEX($A$27:$B$246,MATCH(IFERROR(IF(R34-$AC$5&lt;J34,J34,IF(R34-$AC$5&gt;N34,N34,R34-$AC$5)),0),$A$27:$A$246,1),2)</f>
        <v/>
      </c>
      <c r="AE34" s="311">
        <f>INDEX($A$27:$B$246,MATCH(IFERROR(IF(S34-$AC$5&lt;K34,K34,IF(S34-$AC$5&gt;O34,O34,S34-$AC$5)),0),$A$27:$A$246,1),2)</f>
        <v/>
      </c>
      <c r="AF34" s="311" t="s">
        <v>8</v>
      </c>
      <c r="AG34" s="311" t="s">
        <v>8</v>
      </c>
      <c r="AH34" s="311" t="s">
        <v>8</v>
      </c>
      <c r="AI34" s="311" t="s">
        <v>8</v>
      </c>
      <c r="AJ34" s="311">
        <f>INDEX($A$27:$B$246,MATCH(IFERROR(IF(T34&lt;H34,H34,IF(T34&gt;L34,L34,T34)),0),$A$27:$A$246,1),2)</f>
        <v/>
      </c>
      <c r="AK34" s="311">
        <f>INDEX($A$27:$B$246,MATCH(IFERROR(IF(U34&lt;I34,I34,IF(U34&gt;M34,M34,U34)),0),$A$27:$A$246,1),2)</f>
        <v/>
      </c>
      <c r="AL34" s="311">
        <f>INDEX($A$27:$B$246,MATCH(IFERROR(IF(V34&lt;J34,J34,IF(V34&gt;N34,N34,V34)),0),$A$27:$A$246,1),2)</f>
        <v/>
      </c>
      <c r="AM34" s="311">
        <f>INDEX($A$27:$B$246,MATCH(IFERROR(IF(W34&lt;K34,K34,IF(W34&gt;O34,O34,W34)),0),$A$27:$A$246,1),2)</f>
        <v/>
      </c>
      <c r="AN34" s="311">
        <f>INDEX($A$27:$B$246,MATCH(IFERROR(IF(T34&lt;H34,H34,IF(T34&gt;L34,L34,T34)),0),$A$27:$A$246,1),2)</f>
        <v/>
      </c>
      <c r="AO34" s="311">
        <f>INDEX($A$27:$B$246,MATCH(IFERROR(IF(U34&lt;I34,I34,IF(U34&gt;M34,M34,U34)),0),$A$27:$A$246,1),2)</f>
        <v/>
      </c>
      <c r="AP34" s="311">
        <f>INDEX($A$27:$B$246,MATCH(IFERROR(IF(V34&lt;J34,J34,IF(V34&gt;N34,N34,V34)),0),$A$27:$A$246,1),2)</f>
        <v/>
      </c>
      <c r="AQ34" s="311">
        <f>INDEX($A$27:$B$246,MATCH(IFERROR(IF(W34&lt;K34,K34,IF(W34&gt;O34,O34,W34)),0),$A$27:$A$246,1),2)</f>
        <v/>
      </c>
      <c r="AR34" s="311">
        <f>INDEX($A$27:$B$246,MATCH(IFERROR(IF(T34+$AS$5&lt;H34,H34,IF(T34+$AS$5&gt;L34,L34,T34+$AS$5)),0),$A$27:$A$246,1),2)</f>
        <v/>
      </c>
      <c r="AS34" s="311">
        <f>INDEX($A$27:$B$246,MATCH(IFERROR(IF(U34+$AS$5&lt;I34,I34,IF(U34+$AS$5&gt;M34,M34,U34+$AS$5)),0),$A$27:$A$246,1),2)</f>
        <v/>
      </c>
      <c r="AT34" s="311">
        <f>INDEX($A$27:$B$246,MATCH(IFERROR(IF(V34+$AS$5&lt;J34,J34,IF(V34+$AS$5&gt;N34,N34,V34+$AS$5)),0),$A$27:$A$246,1),2)</f>
        <v/>
      </c>
      <c r="AU34" s="311">
        <f>INDEX($A$27:$B$246,MATCH(IFERROR(IF(W34+$AS$5&lt;K34,K34,IF(W34+$AS$5&gt;O34,O34,W34+$AS$5)),0),$A$27:$A$246,1),2)</f>
        <v/>
      </c>
      <c r="AV34" s="311">
        <f>INDEX($A$27:$B$246,MATCH(IFERROR(IF(T34+$AW$5&lt;H34,H34,IF(T34+$AW$5&gt;L34,L34,T34+$AW$5)),0),$A$27:$A$246,1),2)</f>
        <v/>
      </c>
      <c r="AW34" s="311">
        <f>INDEX($A$27:$B$246,MATCH(IFERROR(IF(U34+$AW$5&lt;I34,I34,IF(U34+$AW$5&gt;M34,M34,U34+$AW$5)),0),$A$27:$A$246,1),2)</f>
        <v/>
      </c>
      <c r="AX34" s="311">
        <f>INDEX($A$27:$B$246,MATCH(IFERROR(IF(V34+$AW$5&lt;J34,J34,IF(V34+$AW$5&gt;N34,N34,V34+$AW$5)),0),$A$27:$A$246,1),2)</f>
        <v/>
      </c>
      <c r="AY34" s="311">
        <f>INDEX($A$27:$B$246,MATCH(IFERROR(IF(W34+$AW$5&lt;K34,K34,IF(W34+$AW$5&gt;O34,O34,W34+$AW$5)),0),$A$27:$A$246,1),2)</f>
        <v/>
      </c>
      <c r="AZ34" s="311">
        <f>INDEX($A$27:$B$246,MATCH(IFERROR(IF(T34+$BA$5&lt;H34,H34,IF(T34+$BA$5&gt;L34,L34,T34+$BA$5)),0),$A$27:$A$246,1),2)</f>
        <v/>
      </c>
      <c r="BA34" s="311">
        <f>INDEX($A$27:$B$246,MATCH(IFERROR(IF(U34+$BA$5&lt;I34,I34,IF(U34+$BA$5&gt;M34,M34,U34+$BA$5)),0),$A$27:$A$246,1),2)</f>
        <v/>
      </c>
      <c r="BB34" s="311">
        <f>INDEX($A$27:$B$246,MATCH(IFERROR(IF(V34+$BA$5&lt;J34,J34,IF(V34+$BA$5&gt;N34,N34,V34+$BA$5)),0),$A$27:$A$246,1),2)</f>
        <v/>
      </c>
      <c r="BC34" s="311">
        <f>INDEX($A$27:$B$246,MATCH(IFERROR(IF(W34+$BA$5&lt;K34,K34,IF(W34+$BA$5&gt;O34,O34,W34+$BA$5)),0),$A$27:$A$246,1),2)</f>
        <v/>
      </c>
      <c r="BD34" s="311" t="s">
        <v>8</v>
      </c>
      <c r="BE34" s="311" t="s">
        <v>8</v>
      </c>
      <c r="BF34" s="311" t="s">
        <v>8</v>
      </c>
      <c r="BG34" s="311" t="s">
        <v>8</v>
      </c>
      <c r="BI34" s="312" t="s">
        <v>152</v>
      </c>
      <c r="BJ34" s="108" t="s">
        <v>206</v>
      </c>
      <c r="BK34" s="108" t="s">
        <v>255</v>
      </c>
      <c r="BL34" s="108" t="n">
        <v>45</v>
      </c>
    </row>
    <row r="35" spans="1:64">
      <c r="A35" s="313">
        <f>A34+$B$24</f>
        <v/>
      </c>
      <c r="B35" s="313">
        <f>B34+$B$24</f>
        <v/>
      </c>
      <c r="C35" s="314" t="n"/>
      <c r="D35" t="s">
        <v>102</v>
      </c>
      <c r="E35" s="34" t="s">
        <v>256</v>
      </c>
      <c r="F35" s="34" t="s">
        <v>239</v>
      </c>
      <c r="G35" s="34" t="n">
        <v>135</v>
      </c>
      <c r="H35" s="310" t="n">
        <v>1</v>
      </c>
      <c r="I35" s="310" t="n">
        <v>1</v>
      </c>
      <c r="J35" s="310" t="n">
        <v>1</v>
      </c>
      <c r="K35" s="310" t="n">
        <v>1</v>
      </c>
      <c r="L35" s="311">
        <f>H35*$B$1</f>
        <v/>
      </c>
      <c r="M35" s="311">
        <f>I35*$B$1</f>
        <v/>
      </c>
      <c r="N35" s="311">
        <f>J35*$B$1</f>
        <v/>
      </c>
      <c r="O35" s="311">
        <f>K35*$B$1</f>
        <v/>
      </c>
      <c r="P35" s="311">
        <f>IFERROR(MIN(VLOOKUP(E35,Detalle!A:AA,$P$6,0),VLOOKUP(E35,Detalle!A:AA,$P$7,0),VLOOKUP(E35,Detalle!A:AA,$P$4,0)),0)</f>
        <v/>
      </c>
      <c r="Q35" s="311">
        <f>IFERROR(MIN(VLOOKUP(E35,Detalle!A:AA,$Q$6,0),VLOOKUP(E35,Detalle!A:AA,$Q$7,0)),0)</f>
        <v/>
      </c>
      <c r="R35" s="311">
        <f>IFERROR(MIN(VLOOKUP(E35,Detalle!A:AA,$R$6,0),VLOOKUP(E35,Detalle!A:AA,$R$7,0)),0)</f>
        <v/>
      </c>
      <c r="S35" s="311">
        <f>IFERROR(MIN(VLOOKUP(E35,Detalle!A:AA,$S$6,0),VLOOKUP(E35,Detalle!A:AA,$S$7,0)),0)</f>
        <v/>
      </c>
      <c r="T35" s="311">
        <f>IFERROR(MAX(VLOOKUP(E35,Detalle!A:AA,$P$6,0),VLOOKUP(E35,Detalle!A:AA,$P$7,0),VLOOKUP(E35,Detalle!A:AA,$P$4,0)),0)</f>
        <v/>
      </c>
      <c r="U35" s="311">
        <f>IFERROR(MAX(VLOOKUP(E35,Detalle!A:AA,$Q$6,0),VLOOKUP(E35,Detalle!A:AA,$Q$7,0)),0)</f>
        <v/>
      </c>
      <c r="V35" s="311">
        <f>IFERROR(MAX(VLOOKUP(E35,Detalle!A:AA,$R$6,0),VLOOKUP(E35,Detalle!A:AA,$R$7,0)),0)</f>
        <v/>
      </c>
      <c r="W35" s="311">
        <f>IFERROR(MAX(VLOOKUP(E35,Detalle!A:AA,$S$6,0),VLOOKUP(E35,Detalle!A:AA,$S$7,0)),0)</f>
        <v/>
      </c>
      <c r="X35" s="311">
        <f>INDEX($A$27:$B$246,MATCH(IFERROR(IF(P35*(1+$Y$5)&lt;H35,H35,IF(P35*(1+$Y$5)&gt;L35,L35,P35*(1+$Y$5))),0),$A$27:$A$246,1),2)</f>
        <v/>
      </c>
      <c r="Y35" s="311">
        <f>INDEX($A$27:$B$246,MATCH(IFERROR(IF(Q35*(1+$Y$5)&lt;I35,I35,IF(Q35*(1+$Y$5)&gt;M35,M35,Q35*(1+$Y$5))),0),$A$27:$A$246,1),2)</f>
        <v/>
      </c>
      <c r="Z35" s="311">
        <f>INDEX($A$27:$B$246,MATCH(IFERROR(IF(R35*(1+$Y$5)&lt;J35,J35,IF(R35*(1+$Y$5)&gt;N35,N35,R35*(1+$Y$5))),0),$A$27:$A$246,1),2)</f>
        <v/>
      </c>
      <c r="AA35" s="311">
        <f>INDEX($A$27:$B$246,MATCH(IFERROR(IF(S35*(1+$Y$5)&lt;K35,K35,IF(S35*(1+$Y$5)&gt;O35,O35,S35*(1+$Y$5))),0),$A$27:$A$246,1),2)</f>
        <v/>
      </c>
      <c r="AB35" s="311">
        <f>INDEX($A$27:$B$246,MATCH(IFERROR(IF(P35-$AC$5&lt;H35,H35,IF(P35-$AC$5&gt;L35,L35,P35-$AC$5)),0),$A$27:$A$246,1),2)</f>
        <v/>
      </c>
      <c r="AC35" s="311">
        <f>INDEX($A$27:$B$246,MATCH(IFERROR(IF(Q35-$AC$5&lt;I35,I35,IF(Q35-$AC$5&gt;M35,M35,Q35-$AC$5)),0),$A$27:$A$246,1),2)</f>
        <v/>
      </c>
      <c r="AD35" s="311">
        <f>INDEX($A$27:$B$246,MATCH(IFERROR(IF(R35-$AC$5&lt;J35,J35,IF(R35-$AC$5&gt;N35,N35,R35-$AC$5)),0),$A$27:$A$246,1),2)</f>
        <v/>
      </c>
      <c r="AE35" s="311">
        <f>INDEX($A$27:$B$246,MATCH(IFERROR(IF(S35-$AC$5&lt;K35,K35,IF(S35-$AC$5&gt;O35,O35,S35-$AC$5)),0),$A$27:$A$246,1),2)</f>
        <v/>
      </c>
      <c r="AF35" s="311" t="s">
        <v>8</v>
      </c>
      <c r="AG35" s="311" t="s">
        <v>8</v>
      </c>
      <c r="AH35" s="311" t="s">
        <v>8</v>
      </c>
      <c r="AI35" s="311" t="s">
        <v>8</v>
      </c>
      <c r="AJ35" s="311">
        <f>INDEX($A$27:$B$246,MATCH(IFERROR(IF(T35&lt;H35,H35,IF(T35&gt;L35,L35,T35)),0),$A$27:$A$246,1),2)</f>
        <v/>
      </c>
      <c r="AK35" s="311">
        <f>INDEX($A$27:$B$246,MATCH(IFERROR(IF(U35&lt;I35,I35,IF(U35&gt;M35,M35,U35)),0),$A$27:$A$246,1),2)</f>
        <v/>
      </c>
      <c r="AL35" s="311">
        <f>INDEX($A$27:$B$246,MATCH(IFERROR(IF(V35&lt;J35,J35,IF(V35&gt;N35,N35,V35)),0),$A$27:$A$246,1),2)</f>
        <v/>
      </c>
      <c r="AM35" s="311">
        <f>INDEX($A$27:$B$246,MATCH(IFERROR(IF(W35&lt;K35,K35,IF(W35&gt;O35,O35,W35)),0),$A$27:$A$246,1),2)</f>
        <v/>
      </c>
      <c r="AN35" s="311">
        <f>INDEX($A$27:$B$246,MATCH(IFERROR(IF(T35&lt;H35,H35,IF(T35&gt;L35,L35,T35)),0),$A$27:$A$246,1),2)</f>
        <v/>
      </c>
      <c r="AO35" s="311">
        <f>INDEX($A$27:$B$246,MATCH(IFERROR(IF(U35&lt;I35,I35,IF(U35&gt;M35,M35,U35)),0),$A$27:$A$246,1),2)</f>
        <v/>
      </c>
      <c r="AP35" s="311">
        <f>INDEX($A$27:$B$246,MATCH(IFERROR(IF(V35&lt;J35,J35,IF(V35&gt;N35,N35,V35)),0),$A$27:$A$246,1),2)</f>
        <v/>
      </c>
      <c r="AQ35" s="311">
        <f>INDEX($A$27:$B$246,MATCH(IFERROR(IF(W35&lt;K35,K35,IF(W35&gt;O35,O35,W35)),0),$A$27:$A$246,1),2)</f>
        <v/>
      </c>
      <c r="AR35" s="311">
        <f>INDEX($A$27:$B$246,MATCH(IFERROR(IF(T35+$AS$5&lt;H35,H35,IF(T35+$AS$5&gt;L35,L35,T35+$AS$5)),0),$A$27:$A$246,1),2)</f>
        <v/>
      </c>
      <c r="AS35" s="311">
        <f>INDEX($A$27:$B$246,MATCH(IFERROR(IF(U35+$AS$5&lt;I35,I35,IF(U35+$AS$5&gt;M35,M35,U35+$AS$5)),0),$A$27:$A$246,1),2)</f>
        <v/>
      </c>
      <c r="AT35" s="311">
        <f>INDEX($A$27:$B$246,MATCH(IFERROR(IF(V35+$AS$5&lt;J35,J35,IF(V35+$AS$5&gt;N35,N35,V35+$AS$5)),0),$A$27:$A$246,1),2)</f>
        <v/>
      </c>
      <c r="AU35" s="311">
        <f>INDEX($A$27:$B$246,MATCH(IFERROR(IF(W35+$AS$5&lt;K35,K35,IF(W35+$AS$5&gt;O35,O35,W35+$AS$5)),0),$A$27:$A$246,1),2)</f>
        <v/>
      </c>
      <c r="AV35" s="311">
        <f>INDEX($A$27:$B$246,MATCH(IFERROR(IF(T35+$AW$5&lt;H35,H35,IF(T35+$AW$5&gt;L35,L35,T35+$AW$5)),0),$A$27:$A$246,1),2)</f>
        <v/>
      </c>
      <c r="AW35" s="311">
        <f>INDEX($A$27:$B$246,MATCH(IFERROR(IF(U35+$AW$5&lt;I35,I35,IF(U35+$AW$5&gt;M35,M35,U35+$AW$5)),0),$A$27:$A$246,1),2)</f>
        <v/>
      </c>
      <c r="AX35" s="311">
        <f>INDEX($A$27:$B$246,MATCH(IFERROR(IF(V35+$AW$5&lt;J35,J35,IF(V35+$AW$5&gt;N35,N35,V35+$AW$5)),0),$A$27:$A$246,1),2)</f>
        <v/>
      </c>
      <c r="AY35" s="311">
        <f>INDEX($A$27:$B$246,MATCH(IFERROR(IF(W35+$AW$5&lt;K35,K35,IF(W35+$AW$5&gt;O35,O35,W35+$AW$5)),0),$A$27:$A$246,1),2)</f>
        <v/>
      </c>
      <c r="AZ35" s="311">
        <f>INDEX($A$27:$B$246,MATCH(IFERROR(IF(T35+$BA$5&lt;H35,H35,IF(T35+$BA$5&gt;L35,L35,T35+$BA$5)),0),$A$27:$A$246,1),2)</f>
        <v/>
      </c>
      <c r="BA35" s="311">
        <f>INDEX($A$27:$B$246,MATCH(IFERROR(IF(U35+$BA$5&lt;I35,I35,IF(U35+$BA$5&gt;M35,M35,U35+$BA$5)),0),$A$27:$A$246,1),2)</f>
        <v/>
      </c>
      <c r="BB35" s="311">
        <f>INDEX($A$27:$B$246,MATCH(IFERROR(IF(V35+$BA$5&lt;J35,J35,IF(V35+$BA$5&gt;N35,N35,V35+$BA$5)),0),$A$27:$A$246,1),2)</f>
        <v/>
      </c>
      <c r="BC35" s="311">
        <f>INDEX($A$27:$B$246,MATCH(IFERROR(IF(W35+$BA$5&lt;K35,K35,IF(W35+$BA$5&gt;O35,O35,W35+$BA$5)),0),$A$27:$A$246,1),2)</f>
        <v/>
      </c>
      <c r="BD35" s="311" t="s">
        <v>8</v>
      </c>
      <c r="BE35" s="311" t="s">
        <v>8</v>
      </c>
      <c r="BF35" s="311" t="s">
        <v>8</v>
      </c>
      <c r="BG35" s="311" t="s">
        <v>8</v>
      </c>
      <c r="BI35" s="312" t="s">
        <v>152</v>
      </c>
      <c r="BJ35" s="108" t="s">
        <v>207</v>
      </c>
      <c r="BK35" s="108" t="s">
        <v>249</v>
      </c>
      <c r="BL35" s="108" t="n">
        <v>49</v>
      </c>
    </row>
    <row r="36" spans="1:64">
      <c r="A36" s="313">
        <f>A35+$B$24</f>
        <v/>
      </c>
      <c r="B36" s="313">
        <f>B35+$B$24</f>
        <v/>
      </c>
      <c r="C36" s="314" t="n"/>
      <c r="D36" t="s">
        <v>104</v>
      </c>
      <c r="E36" s="34" t="s">
        <v>104</v>
      </c>
      <c r="F36" s="34" t="s">
        <v>239</v>
      </c>
      <c r="G36" s="34" t="n">
        <v>153</v>
      </c>
      <c r="H36" s="310" t="n">
        <v>1</v>
      </c>
      <c r="I36" s="310" t="n">
        <v>1</v>
      </c>
      <c r="J36" s="310" t="n">
        <v>1</v>
      </c>
      <c r="K36" s="310" t="n">
        <v>1</v>
      </c>
      <c r="L36" s="311">
        <f>H36*$B$1</f>
        <v/>
      </c>
      <c r="M36" s="311">
        <f>I36*$B$1</f>
        <v/>
      </c>
      <c r="N36" s="311">
        <f>J36*$B$1</f>
        <v/>
      </c>
      <c r="O36" s="311">
        <f>K36*$B$1</f>
        <v/>
      </c>
      <c r="P36" s="311">
        <f>IFERROR(MIN(VLOOKUP(E36,Detalle!A:AA,$P$6,0),VLOOKUP(E36,Detalle!A:AA,$P$7,0),VLOOKUP(E36,Detalle!A:AA,$P$4,0)),0)</f>
        <v/>
      </c>
      <c r="Q36" s="311">
        <f>IFERROR(MIN(VLOOKUP(E36,Detalle!A:AA,$Q$6,0),VLOOKUP(E36,Detalle!A:AA,$Q$7,0)),0)</f>
        <v/>
      </c>
      <c r="R36" s="311">
        <f>IFERROR(MIN(VLOOKUP(E36,Detalle!A:AA,$R$6,0),VLOOKUP(E36,Detalle!A:AA,$R$7,0)),0)</f>
        <v/>
      </c>
      <c r="S36" s="311">
        <f>IFERROR(MIN(VLOOKUP(E36,Detalle!A:AA,$S$6,0),VLOOKUP(E36,Detalle!A:AA,$S$7,0)),0)</f>
        <v/>
      </c>
      <c r="T36" s="311">
        <f>IFERROR(MAX(VLOOKUP(E36,Detalle!A:AA,$P$6,0),VLOOKUP(E36,Detalle!A:AA,$P$7,0),VLOOKUP(E36,Detalle!A:AA,$P$4,0)),0)</f>
        <v/>
      </c>
      <c r="U36" s="311">
        <f>IFERROR(MAX(VLOOKUP(E36,Detalle!A:AA,$Q$6,0),VLOOKUP(E36,Detalle!A:AA,$Q$7,0)),0)</f>
        <v/>
      </c>
      <c r="V36" s="311">
        <f>IFERROR(MAX(VLOOKUP(E36,Detalle!A:AA,$R$6,0),VLOOKUP(E36,Detalle!A:AA,$R$7,0)),0)</f>
        <v/>
      </c>
      <c r="W36" s="311">
        <f>IFERROR(MAX(VLOOKUP(E36,Detalle!A:AA,$S$6,0),VLOOKUP(E36,Detalle!A:AA,$S$7,0)),0)</f>
        <v/>
      </c>
      <c r="X36" s="311">
        <f>INDEX($A$27:$B$246,MATCH(IFERROR(IF(P36*(1+$Y$5)&lt;H36,H36,IF(P36*(1+$Y$5)&gt;L36,L36,P36*(1+$Y$5))),0),$A$27:$A$246,1),2)</f>
        <v/>
      </c>
      <c r="Y36" s="311">
        <f>INDEX($A$27:$B$246,MATCH(IFERROR(IF(Q36*(1+$Y$5)&lt;I36,I36,IF(Q36*(1+$Y$5)&gt;M36,M36,Q36*(1+$Y$5))),0),$A$27:$A$246,1),2)</f>
        <v/>
      </c>
      <c r="Z36" s="311">
        <f>INDEX($A$27:$B$246,MATCH(IFERROR(IF(R36*(1+$Y$5)&lt;J36,J36,IF(R36*(1+$Y$5)&gt;N36,N36,R36*(1+$Y$5))),0),$A$27:$A$246,1),2)</f>
        <v/>
      </c>
      <c r="AA36" s="311">
        <f>INDEX($A$27:$B$246,MATCH(IFERROR(IF(S36*(1+$Y$5)&lt;K36,K36,IF(S36*(1+$Y$5)&gt;O36,O36,S36*(1+$Y$5))),0),$A$27:$A$246,1),2)</f>
        <v/>
      </c>
      <c r="AB36" s="311">
        <f>INDEX($A$27:$B$246,MATCH(IFERROR(IF(P36-$AC$5&lt;H36,H36,IF(P36-$AC$5&gt;L36,L36,P36-$AC$5)),0),$A$27:$A$246,1),2)</f>
        <v/>
      </c>
      <c r="AC36" s="311">
        <f>INDEX($A$27:$B$246,MATCH(IFERROR(IF(Q36-$AC$5&lt;I36,I36,IF(Q36-$AC$5&gt;M36,M36,Q36-$AC$5)),0),$A$27:$A$246,1),2)</f>
        <v/>
      </c>
      <c r="AD36" s="311">
        <f>INDEX($A$27:$B$246,MATCH(IFERROR(IF(R36-$AC$5&lt;J36,J36,IF(R36-$AC$5&gt;N36,N36,R36-$AC$5)),0),$A$27:$A$246,1),2)</f>
        <v/>
      </c>
      <c r="AE36" s="311">
        <f>INDEX($A$27:$B$246,MATCH(IFERROR(IF(S36-$AC$5&lt;K36,K36,IF(S36-$AC$5&gt;O36,O36,S36-$AC$5)),0),$A$27:$A$246,1),2)</f>
        <v/>
      </c>
      <c r="AF36" s="311" t="s">
        <v>8</v>
      </c>
      <c r="AG36" s="311" t="s">
        <v>8</v>
      </c>
      <c r="AH36" s="311" t="s">
        <v>8</v>
      </c>
      <c r="AI36" s="311" t="s">
        <v>8</v>
      </c>
      <c r="AJ36" s="311">
        <f>INDEX($A$27:$B$246,MATCH(IFERROR(IF(T36&lt;H36,H36,IF(T36&gt;L36,L36,T36)),0),$A$27:$A$246,1),2)</f>
        <v/>
      </c>
      <c r="AK36" s="311">
        <f>INDEX($A$27:$B$246,MATCH(IFERROR(IF(U36&lt;I36,I36,IF(U36&gt;M36,M36,U36)),0),$A$27:$A$246,1),2)</f>
        <v/>
      </c>
      <c r="AL36" s="311">
        <f>INDEX($A$27:$B$246,MATCH(IFERROR(IF(V36&lt;J36,J36,IF(V36&gt;N36,N36,V36)),0),$A$27:$A$246,1),2)</f>
        <v/>
      </c>
      <c r="AM36" s="311">
        <f>INDEX($A$27:$B$246,MATCH(IFERROR(IF(W36&lt;K36,K36,IF(W36&gt;O36,O36,W36)),0),$A$27:$A$246,1),2)</f>
        <v/>
      </c>
      <c r="AN36" s="311">
        <f>INDEX($A$27:$B$246,MATCH(IFERROR(IF(T36&lt;H36,H36,IF(T36&gt;L36,L36,T36)),0),$A$27:$A$246,1),2)</f>
        <v/>
      </c>
      <c r="AO36" s="311">
        <f>INDEX($A$27:$B$246,MATCH(IFERROR(IF(U36&lt;I36,I36,IF(U36&gt;M36,M36,U36)),0),$A$27:$A$246,1),2)</f>
        <v/>
      </c>
      <c r="AP36" s="311">
        <f>INDEX($A$27:$B$246,MATCH(IFERROR(IF(V36&lt;J36,J36,IF(V36&gt;N36,N36,V36)),0),$A$27:$A$246,1),2)</f>
        <v/>
      </c>
      <c r="AQ36" s="311">
        <f>INDEX($A$27:$B$246,MATCH(IFERROR(IF(W36&lt;K36,K36,IF(W36&gt;O36,O36,W36)),0),$A$27:$A$246,1),2)</f>
        <v/>
      </c>
      <c r="AR36" s="311">
        <f>INDEX($A$27:$B$246,MATCH(IFERROR(IF(T36+$AS$5&lt;H36,H36,IF(T36+$AS$5&gt;L36,L36,T36+$AS$5)),0),$A$27:$A$246,1),2)</f>
        <v/>
      </c>
      <c r="AS36" s="311">
        <f>INDEX($A$27:$B$246,MATCH(IFERROR(IF(U36+$AS$5&lt;I36,I36,IF(U36+$AS$5&gt;M36,M36,U36+$AS$5)),0),$A$27:$A$246,1),2)</f>
        <v/>
      </c>
      <c r="AT36" s="311">
        <f>INDEX($A$27:$B$246,MATCH(IFERROR(IF(V36+$AS$5&lt;J36,J36,IF(V36+$AS$5&gt;N36,N36,V36+$AS$5)),0),$A$27:$A$246,1),2)</f>
        <v/>
      </c>
      <c r="AU36" s="311">
        <f>INDEX($A$27:$B$246,MATCH(IFERROR(IF(W36+$AS$5&lt;K36,K36,IF(W36+$AS$5&gt;O36,O36,W36+$AS$5)),0),$A$27:$A$246,1),2)</f>
        <v/>
      </c>
      <c r="AV36" s="311">
        <f>INDEX($A$27:$B$246,MATCH(IFERROR(IF(T36+$AW$5&lt;H36,H36,IF(T36+$AW$5&gt;L36,L36,T36+$AW$5)),0),$A$27:$A$246,1),2)</f>
        <v/>
      </c>
      <c r="AW36" s="311">
        <f>INDEX($A$27:$B$246,MATCH(IFERROR(IF(U36+$AW$5&lt;I36,I36,IF(U36+$AW$5&gt;M36,M36,U36+$AW$5)),0),$A$27:$A$246,1),2)</f>
        <v/>
      </c>
      <c r="AX36" s="311">
        <f>INDEX($A$27:$B$246,MATCH(IFERROR(IF(V36+$AW$5&lt;J36,J36,IF(V36+$AW$5&gt;N36,N36,V36+$AW$5)),0),$A$27:$A$246,1),2)</f>
        <v/>
      </c>
      <c r="AY36" s="311">
        <f>INDEX($A$27:$B$246,MATCH(IFERROR(IF(W36+$AW$5&lt;K36,K36,IF(W36+$AW$5&gt;O36,O36,W36+$AW$5)),0),$A$27:$A$246,1),2)</f>
        <v/>
      </c>
      <c r="AZ36" s="311">
        <f>INDEX($A$27:$B$246,MATCH(IFERROR(IF(T36+$BA$5&lt;H36,H36,IF(T36+$BA$5&gt;L36,L36,T36+$BA$5)),0),$A$27:$A$246,1),2)</f>
        <v/>
      </c>
      <c r="BA36" s="311">
        <f>INDEX($A$27:$B$246,MATCH(IFERROR(IF(U36+$BA$5&lt;I36,I36,IF(U36+$BA$5&gt;M36,M36,U36+$BA$5)),0),$A$27:$A$246,1),2)</f>
        <v/>
      </c>
      <c r="BB36" s="311">
        <f>INDEX($A$27:$B$246,MATCH(IFERROR(IF(V36+$BA$5&lt;J36,J36,IF(V36+$BA$5&gt;N36,N36,V36+$BA$5)),0),$A$27:$A$246,1),2)</f>
        <v/>
      </c>
      <c r="BC36" s="311">
        <f>INDEX($A$27:$B$246,MATCH(IFERROR(IF(W36+$BA$5&lt;K36,K36,IF(W36+$BA$5&gt;O36,O36,W36+$BA$5)),0),$A$27:$A$246,1),2)</f>
        <v/>
      </c>
      <c r="BD36" s="311" t="s">
        <v>8</v>
      </c>
      <c r="BE36" s="311" t="s">
        <v>8</v>
      </c>
      <c r="BF36" s="311" t="s">
        <v>8</v>
      </c>
      <c r="BG36" s="311" t="s">
        <v>8</v>
      </c>
      <c r="BI36" s="312" t="s">
        <v>152</v>
      </c>
      <c r="BJ36" s="108" t="s">
        <v>208</v>
      </c>
      <c r="BK36" s="108" t="s">
        <v>257</v>
      </c>
      <c r="BL36" s="108" t="n">
        <v>53</v>
      </c>
    </row>
    <row r="37" spans="1:64">
      <c r="A37" s="313">
        <f>A36+$B$24</f>
        <v/>
      </c>
      <c r="B37" s="313">
        <f>B36+$B$24</f>
        <v/>
      </c>
      <c r="C37" s="314" t="n"/>
      <c r="D37" t="s">
        <v>106</v>
      </c>
      <c r="E37" s="34" t="s">
        <v>106</v>
      </c>
      <c r="F37" s="34" t="s">
        <v>258</v>
      </c>
      <c r="G37" s="34" t="n">
        <v>316</v>
      </c>
      <c r="H37" s="310" t="n">
        <v>1</v>
      </c>
      <c r="I37" s="310" t="n">
        <v>1</v>
      </c>
      <c r="J37" s="310" t="n">
        <v>1</v>
      </c>
      <c r="K37" s="310" t="n">
        <v>1</v>
      </c>
      <c r="L37" s="311">
        <f>H37*$B$1</f>
        <v/>
      </c>
      <c r="M37" s="311">
        <f>I37*$B$1</f>
        <v/>
      </c>
      <c r="N37" s="311">
        <f>J37*$B$1</f>
        <v/>
      </c>
      <c r="O37" s="311">
        <f>K37*$B$1</f>
        <v/>
      </c>
      <c r="P37" s="311">
        <f>IFERROR(MIN(VLOOKUP(E37,Detalle!A:AA,$P$6,0),VLOOKUP(E37,Detalle!A:AA,$P$7,0),VLOOKUP(E37,Detalle!A:AA,$P$4,0)),0)</f>
        <v/>
      </c>
      <c r="Q37" s="311">
        <f>IFERROR(MIN(VLOOKUP(E37,Detalle!A:AA,$Q$6,0),VLOOKUP(E37,Detalle!A:AA,$Q$7,0)),0)</f>
        <v/>
      </c>
      <c r="R37" s="311">
        <f>IFERROR(MIN(VLOOKUP(E37,Detalle!A:AA,$R$6,0),VLOOKUP(E37,Detalle!A:AA,$R$7,0)),0)</f>
        <v/>
      </c>
      <c r="S37" s="311">
        <f>IFERROR(MIN(VLOOKUP(E37,Detalle!A:AA,$S$6,0),VLOOKUP(E37,Detalle!A:AA,$S$7,0)),0)</f>
        <v/>
      </c>
      <c r="T37" s="311">
        <f>IFERROR(MAX(VLOOKUP(E37,Detalle!A:AA,$P$6,0),VLOOKUP(E37,Detalle!A:AA,$P$7,0),VLOOKUP(E37,Detalle!A:AA,$P$4,0)),0)</f>
        <v/>
      </c>
      <c r="U37" s="311">
        <f>IFERROR(MAX(VLOOKUP(E37,Detalle!A:AA,$Q$6,0),VLOOKUP(E37,Detalle!A:AA,$Q$7,0)),0)</f>
        <v/>
      </c>
      <c r="V37" s="311">
        <f>IFERROR(MAX(VLOOKUP(E37,Detalle!A:AA,$R$6,0),VLOOKUP(E37,Detalle!A:AA,$R$7,0)),0)</f>
        <v/>
      </c>
      <c r="W37" s="311">
        <f>IFERROR(MAX(VLOOKUP(E37,Detalle!A:AA,$S$6,0),VLOOKUP(E37,Detalle!A:AA,$S$7,0)),0)</f>
        <v/>
      </c>
      <c r="X37" s="311">
        <f>INDEX($A$27:$B$246,MATCH(IFERROR(IF(P37*(1+$Y$5)&lt;H37,H37,IF(P37*(1+$Y$5)&gt;L37,L37,P37*(1+$Y$5))),0),$A$27:$A$246,1),2)</f>
        <v/>
      </c>
      <c r="Y37" s="311">
        <f>INDEX($A$27:$B$246,MATCH(IFERROR(IF(Q37*(1+$Y$5)&lt;I37,I37,IF(Q37*(1+$Y$5)&gt;M37,M37,Q37*(1+$Y$5))),0),$A$27:$A$246,1),2)</f>
        <v/>
      </c>
      <c r="Z37" s="311">
        <f>INDEX($A$27:$B$246,MATCH(IFERROR(IF(R37*(1+$Y$5)&lt;J37,J37,IF(R37*(1+$Y$5)&gt;N37,N37,R37*(1+$Y$5))),0),$A$27:$A$246,1),2)</f>
        <v/>
      </c>
      <c r="AA37" s="311">
        <f>INDEX($A$27:$B$246,MATCH(IFERROR(IF(S37*(1+$Y$5)&lt;K37,K37,IF(S37*(1+$Y$5)&gt;O37,O37,S37*(1+$Y$5))),0),$A$27:$A$246,1),2)</f>
        <v/>
      </c>
      <c r="AB37" s="311">
        <f>INDEX($A$27:$B$246,MATCH(IFERROR(IF(P37-$AC$5&lt;H37,H37,IF(P37-$AC$5&gt;L37,L37,P37-$AC$5)),0),$A$27:$A$246,1),2)</f>
        <v/>
      </c>
      <c r="AC37" s="311">
        <f>INDEX($A$27:$B$246,MATCH(IFERROR(IF(Q37-$AC$5&lt;I37,I37,IF(Q37-$AC$5&gt;M37,M37,Q37-$AC$5)),0),$A$27:$A$246,1),2)</f>
        <v/>
      </c>
      <c r="AD37" s="311">
        <f>INDEX($A$27:$B$246,MATCH(IFERROR(IF(R37-$AC$5&lt;J37,J37,IF(R37-$AC$5&gt;N37,N37,R37-$AC$5)),0),$A$27:$A$246,1),2)</f>
        <v/>
      </c>
      <c r="AE37" s="311">
        <f>INDEX($A$27:$B$246,MATCH(IFERROR(IF(S37-$AC$5&lt;K37,K37,IF(S37-$AC$5&gt;O37,O37,S37-$AC$5)),0),$A$27:$A$246,1),2)</f>
        <v/>
      </c>
      <c r="AF37" s="311" t="s">
        <v>8</v>
      </c>
      <c r="AG37" s="311" t="s">
        <v>8</v>
      </c>
      <c r="AH37" s="311" t="s">
        <v>8</v>
      </c>
      <c r="AI37" s="311" t="s">
        <v>8</v>
      </c>
      <c r="AJ37" s="311">
        <f>INDEX($A$27:$B$246,MATCH(IFERROR(IF(T37&lt;H37,H37,IF(T37&gt;L37,L37,T37)),0),$A$27:$A$246,1),2)</f>
        <v/>
      </c>
      <c r="AK37" s="311">
        <f>INDEX($A$27:$B$246,MATCH(IFERROR(IF(U37&lt;I37,I37,IF(U37&gt;M37,M37,U37)),0),$A$27:$A$246,1),2)</f>
        <v/>
      </c>
      <c r="AL37" s="311">
        <f>INDEX($A$27:$B$246,MATCH(IFERROR(IF(V37&lt;J37,J37,IF(V37&gt;N37,N37,V37)),0),$A$27:$A$246,1),2)</f>
        <v/>
      </c>
      <c r="AM37" s="311">
        <f>INDEX($A$27:$B$246,MATCH(IFERROR(IF(W37&lt;K37,K37,IF(W37&gt;O37,O37,W37)),0),$A$27:$A$246,1),2)</f>
        <v/>
      </c>
      <c r="AN37" s="311">
        <f>INDEX($A$27:$B$246,MATCH(IFERROR(IF(T37&lt;H37,H37,IF(T37&gt;L37,L37,T37)),0),$A$27:$A$246,1),2)</f>
        <v/>
      </c>
      <c r="AO37" s="311">
        <f>INDEX($A$27:$B$246,MATCH(IFERROR(IF(U37&lt;I37,I37,IF(U37&gt;M37,M37,U37)),0),$A$27:$A$246,1),2)</f>
        <v/>
      </c>
      <c r="AP37" s="311">
        <f>INDEX($A$27:$B$246,MATCH(IFERROR(IF(V37&lt;J37,J37,IF(V37&gt;N37,N37,V37)),0),$A$27:$A$246,1),2)</f>
        <v/>
      </c>
      <c r="AQ37" s="311">
        <f>INDEX($A$27:$B$246,MATCH(IFERROR(IF(W37&lt;K37,K37,IF(W37&gt;O37,O37,W37)),0),$A$27:$A$246,1),2)</f>
        <v/>
      </c>
      <c r="AR37" s="311">
        <f>INDEX($A$27:$B$246,MATCH(IFERROR(IF(T37+$AS$5&lt;H37,H37,IF(T37+$AS$5&gt;L37,L37,T37+$AS$5)),0),$A$27:$A$246,1),2)</f>
        <v/>
      </c>
      <c r="AS37" s="311">
        <f>INDEX($A$27:$B$246,MATCH(IFERROR(IF(U37+$AS$5&lt;I37,I37,IF(U37+$AS$5&gt;M37,M37,U37+$AS$5)),0),$A$27:$A$246,1),2)</f>
        <v/>
      </c>
      <c r="AT37" s="311">
        <f>INDEX($A$27:$B$246,MATCH(IFERROR(IF(V37+$AS$5&lt;J37,J37,IF(V37+$AS$5&gt;N37,N37,V37+$AS$5)),0),$A$27:$A$246,1),2)</f>
        <v/>
      </c>
      <c r="AU37" s="311">
        <f>INDEX($A$27:$B$246,MATCH(IFERROR(IF(W37+$AS$5&lt;K37,K37,IF(W37+$AS$5&gt;O37,O37,W37+$AS$5)),0),$A$27:$A$246,1),2)</f>
        <v/>
      </c>
      <c r="AV37" s="311">
        <f>INDEX($A$27:$B$246,MATCH(IFERROR(IF(T37+$AW$5&lt;H37,H37,IF(T37+$AW$5&gt;L37,L37,T37+$AW$5)),0),$A$27:$A$246,1),2)</f>
        <v/>
      </c>
      <c r="AW37" s="311">
        <f>INDEX($A$27:$B$246,MATCH(IFERROR(IF(U37+$AW$5&lt;I37,I37,IF(U37+$AW$5&gt;M37,M37,U37+$AW$5)),0),$A$27:$A$246,1),2)</f>
        <v/>
      </c>
      <c r="AX37" s="311">
        <f>INDEX($A$27:$B$246,MATCH(IFERROR(IF(V37+$AW$5&lt;J37,J37,IF(V37+$AW$5&gt;N37,N37,V37+$AW$5)),0),$A$27:$A$246,1),2)</f>
        <v/>
      </c>
      <c r="AY37" s="311">
        <f>INDEX($A$27:$B$246,MATCH(IFERROR(IF(W37+$AW$5&lt;K37,K37,IF(W37+$AW$5&gt;O37,O37,W37+$AW$5)),0),$A$27:$A$246,1),2)</f>
        <v/>
      </c>
      <c r="AZ37" s="311">
        <f>INDEX($A$27:$B$246,MATCH(IFERROR(IF(T37+$BA$5&lt;H37,H37,IF(T37+$BA$5&gt;L37,L37,T37+$BA$5)),0),$A$27:$A$246,1),2)</f>
        <v/>
      </c>
      <c r="BA37" s="311">
        <f>INDEX($A$27:$B$246,MATCH(IFERROR(IF(U37+$BA$5&lt;I37,I37,IF(U37+$BA$5&gt;M37,M37,U37+$BA$5)),0),$A$27:$A$246,1),2)</f>
        <v/>
      </c>
      <c r="BB37" s="311">
        <f>INDEX($A$27:$B$246,MATCH(IFERROR(IF(V37+$BA$5&lt;J37,J37,IF(V37+$BA$5&gt;N37,N37,V37+$BA$5)),0),$A$27:$A$246,1),2)</f>
        <v/>
      </c>
      <c r="BC37" s="311">
        <f>INDEX($A$27:$B$246,MATCH(IFERROR(IF(W37+$BA$5&lt;K37,K37,IF(W37+$BA$5&gt;O37,O37,W37+$BA$5)),0),$A$27:$A$246,1),2)</f>
        <v/>
      </c>
      <c r="BD37" s="311" t="s">
        <v>8</v>
      </c>
      <c r="BE37" s="311" t="s">
        <v>8</v>
      </c>
      <c r="BF37" s="311" t="s">
        <v>8</v>
      </c>
      <c r="BG37" s="311" t="s">
        <v>8</v>
      </c>
      <c r="BI37" s="312" t="s">
        <v>154</v>
      </c>
      <c r="BJ37" s="108" t="s">
        <v>200</v>
      </c>
      <c r="BK37" s="108" t="s">
        <v>259</v>
      </c>
      <c r="BL37" s="108" t="n">
        <v>23</v>
      </c>
    </row>
    <row r="38" spans="1:64">
      <c r="A38" s="313">
        <f>A37+$B$24</f>
        <v/>
      </c>
      <c r="B38" s="313">
        <f>B37+$B$24</f>
        <v/>
      </c>
      <c r="C38" s="314" t="n"/>
      <c r="D38" t="s">
        <v>107</v>
      </c>
      <c r="E38" s="34" t="s">
        <v>107</v>
      </c>
      <c r="F38" s="34" t="s">
        <v>260</v>
      </c>
      <c r="G38" s="34" t="n">
        <v>319</v>
      </c>
      <c r="H38" s="310" t="n">
        <v>1</v>
      </c>
      <c r="I38" s="310" t="n">
        <v>1</v>
      </c>
      <c r="J38" s="310" t="n">
        <v>1</v>
      </c>
      <c r="K38" s="310" t="n">
        <v>1</v>
      </c>
      <c r="L38" s="311">
        <f>H38*$B$1</f>
        <v/>
      </c>
      <c r="M38" s="311">
        <f>I38*$B$1</f>
        <v/>
      </c>
      <c r="N38" s="311">
        <f>J38*$B$1</f>
        <v/>
      </c>
      <c r="O38" s="311">
        <f>K38*$B$1</f>
        <v/>
      </c>
      <c r="P38" s="311">
        <f>IFERROR(MIN(VLOOKUP(E38,Detalle!A:AA,$P$6,0),VLOOKUP(E38,Detalle!A:AA,$P$7,0),VLOOKUP(E38,Detalle!A:AA,$P$4,0)),0)</f>
        <v/>
      </c>
      <c r="Q38" s="311">
        <f>IFERROR(MIN(VLOOKUP(E38,Detalle!A:AA,$Q$6,0),VLOOKUP(E38,Detalle!A:AA,$Q$7,0)),0)</f>
        <v/>
      </c>
      <c r="R38" s="311">
        <f>IFERROR(MIN(VLOOKUP(E38,Detalle!A:AA,$R$6,0),VLOOKUP(E38,Detalle!A:AA,$R$7,0)),0)</f>
        <v/>
      </c>
      <c r="S38" s="311">
        <f>IFERROR(MIN(VLOOKUP(E38,Detalle!A:AA,$S$6,0),VLOOKUP(E38,Detalle!A:AA,$S$7,0)),0)</f>
        <v/>
      </c>
      <c r="T38" s="311">
        <f>IFERROR(MAX(VLOOKUP(E38,Detalle!A:AA,$P$6,0),VLOOKUP(E38,Detalle!A:AA,$P$7,0),VLOOKUP(E38,Detalle!A:AA,$P$4,0)),0)</f>
        <v/>
      </c>
      <c r="U38" s="311">
        <f>IFERROR(MAX(VLOOKUP(E38,Detalle!A:AA,$Q$6,0),VLOOKUP(E38,Detalle!A:AA,$Q$7,0)),0)</f>
        <v/>
      </c>
      <c r="V38" s="311">
        <f>IFERROR(MAX(VLOOKUP(E38,Detalle!A:AA,$R$6,0),VLOOKUP(E38,Detalle!A:AA,$R$7,0)),0)</f>
        <v/>
      </c>
      <c r="W38" s="311">
        <f>IFERROR(MAX(VLOOKUP(E38,Detalle!A:AA,$S$6,0),VLOOKUP(E38,Detalle!A:AA,$S$7,0)),0)</f>
        <v/>
      </c>
      <c r="X38" s="311">
        <f>INDEX($A$27:$B$246,MATCH(IFERROR(IF(P38*(1+$Y$5)&lt;H38,H38,IF(P38*(1+$Y$5)&gt;L38,L38,P38*(1+$Y$5))),0),$A$27:$A$246,1),2)</f>
        <v/>
      </c>
      <c r="Y38" s="311">
        <f>INDEX($A$27:$B$246,MATCH(IFERROR(IF(Q38*(1+$Y$5)&lt;I38,I38,IF(Q38*(1+$Y$5)&gt;M38,M38,Q38*(1+$Y$5))),0),$A$27:$A$246,1),2)</f>
        <v/>
      </c>
      <c r="Z38" s="311">
        <f>INDEX($A$27:$B$246,MATCH(IFERROR(IF(R38*(1+$Y$5)&lt;J38,J38,IF(R38*(1+$Y$5)&gt;N38,N38,R38*(1+$Y$5))),0),$A$27:$A$246,1),2)</f>
        <v/>
      </c>
      <c r="AA38" s="311">
        <f>INDEX($A$27:$B$246,MATCH(IFERROR(IF(S38*(1+$Y$5)&lt;K38,K38,IF(S38*(1+$Y$5)&gt;O38,O38,S38*(1+$Y$5))),0),$A$27:$A$246,1),2)</f>
        <v/>
      </c>
      <c r="AB38" s="311">
        <f>INDEX($A$27:$B$246,MATCH(IFERROR(IF(P38-$AC$5&lt;H38,H38,IF(P38-$AC$5&gt;L38,L38,P38-$AC$5)),0),$A$27:$A$246,1),2)</f>
        <v/>
      </c>
      <c r="AC38" s="311">
        <f>INDEX($A$27:$B$246,MATCH(IFERROR(IF(Q38-$AC$5&lt;I38,I38,IF(Q38-$AC$5&gt;M38,M38,Q38-$AC$5)),0),$A$27:$A$246,1),2)</f>
        <v/>
      </c>
      <c r="AD38" s="311">
        <f>INDEX($A$27:$B$246,MATCH(IFERROR(IF(R38-$AC$5&lt;J38,J38,IF(R38-$AC$5&gt;N38,N38,R38-$AC$5)),0),$A$27:$A$246,1),2)</f>
        <v/>
      </c>
      <c r="AE38" s="311">
        <f>INDEX($A$27:$B$246,MATCH(IFERROR(IF(S38-$AC$5&lt;K38,K38,IF(S38-$AC$5&gt;O38,O38,S38-$AC$5)),0),$A$27:$A$246,1),2)</f>
        <v/>
      </c>
      <c r="AF38" s="311" t="s">
        <v>8</v>
      </c>
      <c r="AG38" s="311" t="s">
        <v>8</v>
      </c>
      <c r="AH38" s="311" t="s">
        <v>8</v>
      </c>
      <c r="AI38" s="311" t="s">
        <v>8</v>
      </c>
      <c r="AJ38" s="311">
        <f>INDEX($A$27:$B$246,MATCH(IFERROR(IF(T38&lt;H38,H38,IF(T38&gt;L38,L38,T38)),0),$A$27:$A$246,1),2)</f>
        <v/>
      </c>
      <c r="AK38" s="311">
        <f>INDEX($A$27:$B$246,MATCH(IFERROR(IF(U38&lt;I38,I38,IF(U38&gt;M38,M38,U38)),0),$A$27:$A$246,1),2)</f>
        <v/>
      </c>
      <c r="AL38" s="311">
        <f>INDEX($A$27:$B$246,MATCH(IFERROR(IF(V38&lt;J38,J38,IF(V38&gt;N38,N38,V38)),0),$A$27:$A$246,1),2)</f>
        <v/>
      </c>
      <c r="AM38" s="311">
        <f>INDEX($A$27:$B$246,MATCH(IFERROR(IF(W38&lt;K38,K38,IF(W38&gt;O38,O38,W38)),0),$A$27:$A$246,1),2)</f>
        <v/>
      </c>
      <c r="AN38" s="311">
        <f>INDEX($A$27:$B$246,MATCH(IFERROR(IF(T38&lt;H38,H38,IF(T38&gt;L38,L38,T38)),0),$A$27:$A$246,1),2)</f>
        <v/>
      </c>
      <c r="AO38" s="311">
        <f>INDEX($A$27:$B$246,MATCH(IFERROR(IF(U38&lt;I38,I38,IF(U38&gt;M38,M38,U38)),0),$A$27:$A$246,1),2)</f>
        <v/>
      </c>
      <c r="AP38" s="311">
        <f>INDEX($A$27:$B$246,MATCH(IFERROR(IF(V38&lt;J38,J38,IF(V38&gt;N38,N38,V38)),0),$A$27:$A$246,1),2)</f>
        <v/>
      </c>
      <c r="AQ38" s="311">
        <f>INDEX($A$27:$B$246,MATCH(IFERROR(IF(W38&lt;K38,K38,IF(W38&gt;O38,O38,W38)),0),$A$27:$A$246,1),2)</f>
        <v/>
      </c>
      <c r="AR38" s="311">
        <f>INDEX($A$27:$B$246,MATCH(IFERROR(IF(T38+$AS$5&lt;H38,H38,IF(T38+$AS$5&gt;L38,L38,T38+$AS$5)),0),$A$27:$A$246,1),2)</f>
        <v/>
      </c>
      <c r="AS38" s="311">
        <f>INDEX($A$27:$B$246,MATCH(IFERROR(IF(U38+$AS$5&lt;I38,I38,IF(U38+$AS$5&gt;M38,M38,U38+$AS$5)),0),$A$27:$A$246,1),2)</f>
        <v/>
      </c>
      <c r="AT38" s="311">
        <f>INDEX($A$27:$B$246,MATCH(IFERROR(IF(V38+$AS$5&lt;J38,J38,IF(V38+$AS$5&gt;N38,N38,V38+$AS$5)),0),$A$27:$A$246,1),2)</f>
        <v/>
      </c>
      <c r="AU38" s="311">
        <f>INDEX($A$27:$B$246,MATCH(IFERROR(IF(W38+$AS$5&lt;K38,K38,IF(W38+$AS$5&gt;O38,O38,W38+$AS$5)),0),$A$27:$A$246,1),2)</f>
        <v/>
      </c>
      <c r="AV38" s="311">
        <f>INDEX($A$27:$B$246,MATCH(IFERROR(IF(T38+$AW$5&lt;H38,H38,IF(T38+$AW$5&gt;L38,L38,T38+$AW$5)),0),$A$27:$A$246,1),2)</f>
        <v/>
      </c>
      <c r="AW38" s="311">
        <f>INDEX($A$27:$B$246,MATCH(IFERROR(IF(U38+$AW$5&lt;I38,I38,IF(U38+$AW$5&gt;M38,M38,U38+$AW$5)),0),$A$27:$A$246,1),2)</f>
        <v/>
      </c>
      <c r="AX38" s="311">
        <f>INDEX($A$27:$B$246,MATCH(IFERROR(IF(V38+$AW$5&lt;J38,J38,IF(V38+$AW$5&gt;N38,N38,V38+$AW$5)),0),$A$27:$A$246,1),2)</f>
        <v/>
      </c>
      <c r="AY38" s="311">
        <f>INDEX($A$27:$B$246,MATCH(IFERROR(IF(W38+$AW$5&lt;K38,K38,IF(W38+$AW$5&gt;O38,O38,W38+$AW$5)),0),$A$27:$A$246,1),2)</f>
        <v/>
      </c>
      <c r="AZ38" s="311">
        <f>INDEX($A$27:$B$246,MATCH(IFERROR(IF(T38+$BA$5&lt;H38,H38,IF(T38+$BA$5&gt;L38,L38,T38+$BA$5)),0),$A$27:$A$246,1),2)</f>
        <v/>
      </c>
      <c r="BA38" s="311">
        <f>INDEX($A$27:$B$246,MATCH(IFERROR(IF(U38+$BA$5&lt;I38,I38,IF(U38+$BA$5&gt;M38,M38,U38+$BA$5)),0),$A$27:$A$246,1),2)</f>
        <v/>
      </c>
      <c r="BB38" s="311">
        <f>INDEX($A$27:$B$246,MATCH(IFERROR(IF(V38+$BA$5&lt;J38,J38,IF(V38+$BA$5&gt;N38,N38,V38+$BA$5)),0),$A$27:$A$246,1),2)</f>
        <v/>
      </c>
      <c r="BC38" s="311">
        <f>INDEX($A$27:$B$246,MATCH(IFERROR(IF(W38+$BA$5&lt;K38,K38,IF(W38+$BA$5&gt;O38,O38,W38+$BA$5)),0),$A$27:$A$246,1),2)</f>
        <v/>
      </c>
      <c r="BD38" s="311" t="s">
        <v>8</v>
      </c>
      <c r="BE38" s="311" t="s">
        <v>8</v>
      </c>
      <c r="BF38" s="311" t="s">
        <v>8</v>
      </c>
      <c r="BG38" s="311" t="s">
        <v>8</v>
      </c>
      <c r="BI38" s="312" t="s">
        <v>154</v>
      </c>
      <c r="BJ38" s="108" t="s">
        <v>201</v>
      </c>
      <c r="BK38" s="108" t="s">
        <v>261</v>
      </c>
      <c r="BL38" s="108" t="n">
        <v>27</v>
      </c>
    </row>
    <row r="39" spans="1:64">
      <c r="A39" s="313">
        <f>A38+$B$24</f>
        <v/>
      </c>
      <c r="B39" s="313">
        <f>B38+$B$24</f>
        <v/>
      </c>
      <c r="C39" s="314" t="n"/>
      <c r="D39" t="s">
        <v>108</v>
      </c>
      <c r="E39" s="34" t="s">
        <v>108</v>
      </c>
      <c r="F39" s="34" t="s">
        <v>260</v>
      </c>
      <c r="G39" s="34" t="n">
        <v>320</v>
      </c>
      <c r="H39" s="310" t="n">
        <v>1</v>
      </c>
      <c r="I39" s="310" t="n">
        <v>1</v>
      </c>
      <c r="J39" s="310" t="n">
        <v>1</v>
      </c>
      <c r="K39" s="310" t="n">
        <v>1</v>
      </c>
      <c r="L39" s="311">
        <f>H39*$B$1</f>
        <v/>
      </c>
      <c r="M39" s="311">
        <f>I39*$B$1</f>
        <v/>
      </c>
      <c r="N39" s="311">
        <f>J39*$B$1</f>
        <v/>
      </c>
      <c r="O39" s="311">
        <f>K39*$B$1</f>
        <v/>
      </c>
      <c r="P39" s="311">
        <f>IFERROR(MIN(VLOOKUP(E39,Detalle!A:AA,$P$6,0),VLOOKUP(E39,Detalle!A:AA,$P$7,0),VLOOKUP(E39,Detalle!A:AA,$P$4,0)),0)</f>
        <v/>
      </c>
      <c r="Q39" s="311">
        <f>IFERROR(MIN(VLOOKUP(E39,Detalle!A:AA,$Q$6,0),VLOOKUP(E39,Detalle!A:AA,$Q$7,0)),0)</f>
        <v/>
      </c>
      <c r="R39" s="311">
        <f>IFERROR(MIN(VLOOKUP(E39,Detalle!A:AA,$R$6,0),VLOOKUP(E39,Detalle!A:AA,$R$7,0)),0)</f>
        <v/>
      </c>
      <c r="S39" s="311">
        <f>IFERROR(MIN(VLOOKUP(E39,Detalle!A:AA,$S$6,0),VLOOKUP(E39,Detalle!A:AA,$S$7,0)),0)</f>
        <v/>
      </c>
      <c r="T39" s="311">
        <f>IFERROR(MAX(VLOOKUP(E39,Detalle!A:AA,$P$6,0),VLOOKUP(E39,Detalle!A:AA,$P$7,0),VLOOKUP(E39,Detalle!A:AA,$P$4,0)),0)</f>
        <v/>
      </c>
      <c r="U39" s="311">
        <f>IFERROR(MAX(VLOOKUP(E39,Detalle!A:AA,$Q$6,0),VLOOKUP(E39,Detalle!A:AA,$Q$7,0)),0)</f>
        <v/>
      </c>
      <c r="V39" s="311">
        <f>IFERROR(MAX(VLOOKUP(E39,Detalle!A:AA,$R$6,0),VLOOKUP(E39,Detalle!A:AA,$R$7,0)),0)</f>
        <v/>
      </c>
      <c r="W39" s="311">
        <f>IFERROR(MAX(VLOOKUP(E39,Detalle!A:AA,$S$6,0),VLOOKUP(E39,Detalle!A:AA,$S$7,0)),0)</f>
        <v/>
      </c>
      <c r="X39" s="311">
        <f>INDEX($A$27:$B$246,MATCH(IFERROR(IF(P39*(1+$Y$5)&lt;H39,H39,IF(P39*(1+$Y$5)&gt;L39,L39,P39*(1+$Y$5))),0),$A$27:$A$246,1),2)</f>
        <v/>
      </c>
      <c r="Y39" s="311">
        <f>INDEX($A$27:$B$246,MATCH(IFERROR(IF(Q39*(1+$Y$5)&lt;I39,I39,IF(Q39*(1+$Y$5)&gt;M39,M39,Q39*(1+$Y$5))),0),$A$27:$A$246,1),2)</f>
        <v/>
      </c>
      <c r="Z39" s="311">
        <f>INDEX($A$27:$B$246,MATCH(IFERROR(IF(R39*(1+$Y$5)&lt;J39,J39,IF(R39*(1+$Y$5)&gt;N39,N39,R39*(1+$Y$5))),0),$A$27:$A$246,1),2)</f>
        <v/>
      </c>
      <c r="AA39" s="311">
        <f>INDEX($A$27:$B$246,MATCH(IFERROR(IF(S39*(1+$Y$5)&lt;K39,K39,IF(S39*(1+$Y$5)&gt;O39,O39,S39*(1+$Y$5))),0),$A$27:$A$246,1),2)</f>
        <v/>
      </c>
      <c r="AB39" s="311">
        <f>INDEX($A$27:$B$246,MATCH(IFERROR(IF(P39-$AC$5&lt;H39,H39,IF(P39-$AC$5&gt;L39,L39,P39-$AC$5)),0),$A$27:$A$246,1),2)</f>
        <v/>
      </c>
      <c r="AC39" s="311">
        <f>INDEX($A$27:$B$246,MATCH(IFERROR(IF(Q39-$AC$5&lt;I39,I39,IF(Q39-$AC$5&gt;M39,M39,Q39-$AC$5)),0),$A$27:$A$246,1),2)</f>
        <v/>
      </c>
      <c r="AD39" s="311">
        <f>INDEX($A$27:$B$246,MATCH(IFERROR(IF(R39-$AC$5&lt;J39,J39,IF(R39-$AC$5&gt;N39,N39,R39-$AC$5)),0),$A$27:$A$246,1),2)</f>
        <v/>
      </c>
      <c r="AE39" s="311">
        <f>INDEX($A$27:$B$246,MATCH(IFERROR(IF(S39-$AC$5&lt;K39,K39,IF(S39-$AC$5&gt;O39,O39,S39-$AC$5)),0),$A$27:$A$246,1),2)</f>
        <v/>
      </c>
      <c r="AF39" s="311" t="s">
        <v>8</v>
      </c>
      <c r="AG39" s="311" t="s">
        <v>8</v>
      </c>
      <c r="AH39" s="311" t="s">
        <v>8</v>
      </c>
      <c r="AI39" s="311" t="s">
        <v>8</v>
      </c>
      <c r="AJ39" s="311">
        <f>INDEX($A$27:$B$246,MATCH(IFERROR(IF(T39&lt;H39,H39,IF(T39&gt;L39,L39,T39)),0),$A$27:$A$246,1),2)</f>
        <v/>
      </c>
      <c r="AK39" s="311">
        <f>INDEX($A$27:$B$246,MATCH(IFERROR(IF(U39&lt;I39,I39,IF(U39&gt;M39,M39,U39)),0),$A$27:$A$246,1),2)</f>
        <v/>
      </c>
      <c r="AL39" s="311">
        <f>INDEX($A$27:$B$246,MATCH(IFERROR(IF(V39&lt;J39,J39,IF(V39&gt;N39,N39,V39)),0),$A$27:$A$246,1),2)</f>
        <v/>
      </c>
      <c r="AM39" s="311">
        <f>INDEX($A$27:$B$246,MATCH(IFERROR(IF(W39&lt;K39,K39,IF(W39&gt;O39,O39,W39)),0),$A$27:$A$246,1),2)</f>
        <v/>
      </c>
      <c r="AN39" s="311">
        <f>INDEX($A$27:$B$246,MATCH(IFERROR(IF(T39&lt;H39,H39,IF(T39&gt;L39,L39,T39)),0),$A$27:$A$246,1),2)</f>
        <v/>
      </c>
      <c r="AO39" s="311">
        <f>INDEX($A$27:$B$246,MATCH(IFERROR(IF(U39&lt;I39,I39,IF(U39&gt;M39,M39,U39)),0),$A$27:$A$246,1),2)</f>
        <v/>
      </c>
      <c r="AP39" s="311">
        <f>INDEX($A$27:$B$246,MATCH(IFERROR(IF(V39&lt;J39,J39,IF(V39&gt;N39,N39,V39)),0),$A$27:$A$246,1),2)</f>
        <v/>
      </c>
      <c r="AQ39" s="311">
        <f>INDEX($A$27:$B$246,MATCH(IFERROR(IF(W39&lt;K39,K39,IF(W39&gt;O39,O39,W39)),0),$A$27:$A$246,1),2)</f>
        <v/>
      </c>
      <c r="AR39" s="311">
        <f>INDEX($A$27:$B$246,MATCH(IFERROR(IF(T39+$AS$5&lt;H39,H39,IF(T39+$AS$5&gt;L39,L39,T39+$AS$5)),0),$A$27:$A$246,1),2)</f>
        <v/>
      </c>
      <c r="AS39" s="311">
        <f>INDEX($A$27:$B$246,MATCH(IFERROR(IF(U39+$AS$5&lt;I39,I39,IF(U39+$AS$5&gt;M39,M39,U39+$AS$5)),0),$A$27:$A$246,1),2)</f>
        <v/>
      </c>
      <c r="AT39" s="311">
        <f>INDEX($A$27:$B$246,MATCH(IFERROR(IF(V39+$AS$5&lt;J39,J39,IF(V39+$AS$5&gt;N39,N39,V39+$AS$5)),0),$A$27:$A$246,1),2)</f>
        <v/>
      </c>
      <c r="AU39" s="311">
        <f>INDEX($A$27:$B$246,MATCH(IFERROR(IF(W39+$AS$5&lt;K39,K39,IF(W39+$AS$5&gt;O39,O39,W39+$AS$5)),0),$A$27:$A$246,1),2)</f>
        <v/>
      </c>
      <c r="AV39" s="311">
        <f>INDEX($A$27:$B$246,MATCH(IFERROR(IF(T39+$AW$5&lt;H39,H39,IF(T39+$AW$5&gt;L39,L39,T39+$AW$5)),0),$A$27:$A$246,1),2)</f>
        <v/>
      </c>
      <c r="AW39" s="311">
        <f>INDEX($A$27:$B$246,MATCH(IFERROR(IF(U39+$AW$5&lt;I39,I39,IF(U39+$AW$5&gt;M39,M39,U39+$AW$5)),0),$A$27:$A$246,1),2)</f>
        <v/>
      </c>
      <c r="AX39" s="311">
        <f>INDEX($A$27:$B$246,MATCH(IFERROR(IF(V39+$AW$5&lt;J39,J39,IF(V39+$AW$5&gt;N39,N39,V39+$AW$5)),0),$A$27:$A$246,1),2)</f>
        <v/>
      </c>
      <c r="AY39" s="311">
        <f>INDEX($A$27:$B$246,MATCH(IFERROR(IF(W39+$AW$5&lt;K39,K39,IF(W39+$AW$5&gt;O39,O39,W39+$AW$5)),0),$A$27:$A$246,1),2)</f>
        <v/>
      </c>
      <c r="AZ39" s="311">
        <f>INDEX($A$27:$B$246,MATCH(IFERROR(IF(T39+$BA$5&lt;H39,H39,IF(T39+$BA$5&gt;L39,L39,T39+$BA$5)),0),$A$27:$A$246,1),2)</f>
        <v/>
      </c>
      <c r="BA39" s="311">
        <f>INDEX($A$27:$B$246,MATCH(IFERROR(IF(U39+$BA$5&lt;I39,I39,IF(U39+$BA$5&gt;M39,M39,U39+$BA$5)),0),$A$27:$A$246,1),2)</f>
        <v/>
      </c>
      <c r="BB39" s="311">
        <f>INDEX($A$27:$B$246,MATCH(IFERROR(IF(V39+$BA$5&lt;J39,J39,IF(V39+$BA$5&gt;N39,N39,V39+$BA$5)),0),$A$27:$A$246,1),2)</f>
        <v/>
      </c>
      <c r="BC39" s="311">
        <f>INDEX($A$27:$B$246,MATCH(IFERROR(IF(W39+$BA$5&lt;K39,K39,IF(W39+$BA$5&gt;O39,O39,W39+$BA$5)),0),$A$27:$A$246,1),2)</f>
        <v/>
      </c>
      <c r="BD39" s="311" t="s">
        <v>8</v>
      </c>
      <c r="BE39" s="311" t="s">
        <v>8</v>
      </c>
      <c r="BF39" s="311" t="s">
        <v>8</v>
      </c>
      <c r="BG39" s="311" t="s">
        <v>8</v>
      </c>
      <c r="BI39" s="312" t="s">
        <v>154</v>
      </c>
      <c r="BJ39" s="108" t="s">
        <v>202</v>
      </c>
      <c r="BK39" s="108" t="s">
        <v>262</v>
      </c>
      <c r="BL39" s="108" t="n">
        <v>31</v>
      </c>
    </row>
    <row r="40" spans="1:64">
      <c r="A40" s="313">
        <f>A39+$B$24</f>
        <v/>
      </c>
      <c r="B40" s="313">
        <f>B39+$B$24</f>
        <v/>
      </c>
      <c r="C40" s="314" t="n"/>
      <c r="D40" t="s">
        <v>109</v>
      </c>
      <c r="E40" s="34" t="s">
        <v>109</v>
      </c>
      <c r="F40" s="34" t="s">
        <v>258</v>
      </c>
      <c r="G40" s="34" t="n">
        <v>321</v>
      </c>
      <c r="H40" s="310" t="n">
        <v>1</v>
      </c>
      <c r="I40" s="310" t="n">
        <v>1</v>
      </c>
      <c r="J40" s="310" t="n">
        <v>1</v>
      </c>
      <c r="K40" s="310" t="n">
        <v>1</v>
      </c>
      <c r="L40" s="311">
        <f>H40*$B$1</f>
        <v/>
      </c>
      <c r="M40" s="311">
        <f>I40*$B$1</f>
        <v/>
      </c>
      <c r="N40" s="311">
        <f>J40*$B$1</f>
        <v/>
      </c>
      <c r="O40" s="311">
        <f>K40*$B$1</f>
        <v/>
      </c>
      <c r="P40" s="311">
        <f>IFERROR(MIN(VLOOKUP(E40,Detalle!A:AA,$P$6,0),VLOOKUP(E40,Detalle!A:AA,$P$7,0),VLOOKUP(E40,Detalle!A:AA,$P$4,0)),0)</f>
        <v/>
      </c>
      <c r="Q40" s="311">
        <f>IFERROR(MIN(VLOOKUP(E40,Detalle!A:AA,$Q$6,0),VLOOKUP(E40,Detalle!A:AA,$Q$7,0)),0)</f>
        <v/>
      </c>
      <c r="R40" s="311">
        <f>IFERROR(MIN(VLOOKUP(E40,Detalle!A:AA,$R$6,0),VLOOKUP(E40,Detalle!A:AA,$R$7,0)),0)</f>
        <v/>
      </c>
      <c r="S40" s="311">
        <f>IFERROR(MIN(VLOOKUP(E40,Detalle!A:AA,$S$6,0),VLOOKUP(E40,Detalle!A:AA,$S$7,0)),0)</f>
        <v/>
      </c>
      <c r="T40" s="311">
        <f>IFERROR(MAX(VLOOKUP(E40,Detalle!A:AA,$P$6,0),VLOOKUP(E40,Detalle!A:AA,$P$7,0),VLOOKUP(E40,Detalle!A:AA,$P$4,0)),0)</f>
        <v/>
      </c>
      <c r="U40" s="311">
        <f>IFERROR(MAX(VLOOKUP(E40,Detalle!A:AA,$Q$6,0),VLOOKUP(E40,Detalle!A:AA,$Q$7,0)),0)</f>
        <v/>
      </c>
      <c r="V40" s="311">
        <f>IFERROR(MAX(VLOOKUP(E40,Detalle!A:AA,$R$6,0),VLOOKUP(E40,Detalle!A:AA,$R$7,0)),0)</f>
        <v/>
      </c>
      <c r="W40" s="311">
        <f>IFERROR(MAX(VLOOKUP(E40,Detalle!A:AA,$S$6,0),VLOOKUP(E40,Detalle!A:AA,$S$7,0)),0)</f>
        <v/>
      </c>
      <c r="X40" s="311">
        <f>INDEX($A$27:$B$246,MATCH(IFERROR(IF(P40*(1+$Y$5)&lt;H40,H40,IF(P40*(1+$Y$5)&gt;L40,L40,P40*(1+$Y$5))),0),$A$27:$A$246,1),2)</f>
        <v/>
      </c>
      <c r="Y40" s="311">
        <f>INDEX($A$27:$B$246,MATCH(IFERROR(IF(Q40*(1+$Y$5)&lt;I40,I40,IF(Q40*(1+$Y$5)&gt;M40,M40,Q40*(1+$Y$5))),0),$A$27:$A$246,1),2)</f>
        <v/>
      </c>
      <c r="Z40" s="311">
        <f>INDEX($A$27:$B$246,MATCH(IFERROR(IF(R40*(1+$Y$5)&lt;J40,J40,IF(R40*(1+$Y$5)&gt;N40,N40,R40*(1+$Y$5))),0),$A$27:$A$246,1),2)</f>
        <v/>
      </c>
      <c r="AA40" s="311">
        <f>INDEX($A$27:$B$246,MATCH(IFERROR(IF(S40*(1+$Y$5)&lt;K40,K40,IF(S40*(1+$Y$5)&gt;O40,O40,S40*(1+$Y$5))),0),$A$27:$A$246,1),2)</f>
        <v/>
      </c>
      <c r="AB40" s="311">
        <f>INDEX($A$27:$B$246,MATCH(IFERROR(IF(P40-$AC$5&lt;H40,H40,IF(P40-$AC$5&gt;L40,L40,P40-$AC$5)),0),$A$27:$A$246,1),2)</f>
        <v/>
      </c>
      <c r="AC40" s="311">
        <f>INDEX($A$27:$B$246,MATCH(IFERROR(IF(Q40-$AC$5&lt;I40,I40,IF(Q40-$AC$5&gt;M40,M40,Q40-$AC$5)),0),$A$27:$A$246,1),2)</f>
        <v/>
      </c>
      <c r="AD40" s="311">
        <f>INDEX($A$27:$B$246,MATCH(IFERROR(IF(R40-$AC$5&lt;J40,J40,IF(R40-$AC$5&gt;N40,N40,R40-$AC$5)),0),$A$27:$A$246,1),2)</f>
        <v/>
      </c>
      <c r="AE40" s="311">
        <f>INDEX($A$27:$B$246,MATCH(IFERROR(IF(S40-$AC$5&lt;K40,K40,IF(S40-$AC$5&gt;O40,O40,S40-$AC$5)),0),$A$27:$A$246,1),2)</f>
        <v/>
      </c>
      <c r="AF40" s="311" t="s">
        <v>8</v>
      </c>
      <c r="AG40" s="311" t="s">
        <v>8</v>
      </c>
      <c r="AH40" s="311" t="s">
        <v>8</v>
      </c>
      <c r="AI40" s="311" t="s">
        <v>8</v>
      </c>
      <c r="AJ40" s="311">
        <f>INDEX($A$27:$B$246,MATCH(IFERROR(IF(T40&lt;H40,H40,IF(T40&gt;L40,L40,T40)),0),$A$27:$A$246,1),2)</f>
        <v/>
      </c>
      <c r="AK40" s="311">
        <f>INDEX($A$27:$B$246,MATCH(IFERROR(IF(U40&lt;I40,I40,IF(U40&gt;M40,M40,U40)),0),$A$27:$A$246,1),2)</f>
        <v/>
      </c>
      <c r="AL40" s="311">
        <f>INDEX($A$27:$B$246,MATCH(IFERROR(IF(V40&lt;J40,J40,IF(V40&gt;N40,N40,V40)),0),$A$27:$A$246,1),2)</f>
        <v/>
      </c>
      <c r="AM40" s="311">
        <f>INDEX($A$27:$B$246,MATCH(IFERROR(IF(W40&lt;K40,K40,IF(W40&gt;O40,O40,W40)),0),$A$27:$A$246,1),2)</f>
        <v/>
      </c>
      <c r="AN40" s="311">
        <f>INDEX($A$27:$B$246,MATCH(IFERROR(IF(T40&lt;H40,H40,IF(T40&gt;L40,L40,T40)),0),$A$27:$A$246,1),2)</f>
        <v/>
      </c>
      <c r="AO40" s="311">
        <f>INDEX($A$27:$B$246,MATCH(IFERROR(IF(U40&lt;I40,I40,IF(U40&gt;M40,M40,U40)),0),$A$27:$A$246,1),2)</f>
        <v/>
      </c>
      <c r="AP40" s="311">
        <f>INDEX($A$27:$B$246,MATCH(IFERROR(IF(V40&lt;J40,J40,IF(V40&gt;N40,N40,V40)),0),$A$27:$A$246,1),2)</f>
        <v/>
      </c>
      <c r="AQ40" s="311">
        <f>INDEX($A$27:$B$246,MATCH(IFERROR(IF(W40&lt;K40,K40,IF(W40&gt;O40,O40,W40)),0),$A$27:$A$246,1),2)</f>
        <v/>
      </c>
      <c r="AR40" s="311">
        <f>INDEX($A$27:$B$246,MATCH(IFERROR(IF(T40+$AS$5&lt;H40,H40,IF(T40+$AS$5&gt;L40,L40,T40+$AS$5)),0),$A$27:$A$246,1),2)</f>
        <v/>
      </c>
      <c r="AS40" s="311">
        <f>INDEX($A$27:$B$246,MATCH(IFERROR(IF(U40+$AS$5&lt;I40,I40,IF(U40+$AS$5&gt;M40,M40,U40+$AS$5)),0),$A$27:$A$246,1),2)</f>
        <v/>
      </c>
      <c r="AT40" s="311">
        <f>INDEX($A$27:$B$246,MATCH(IFERROR(IF(V40+$AS$5&lt;J40,J40,IF(V40+$AS$5&gt;N40,N40,V40+$AS$5)),0),$A$27:$A$246,1),2)</f>
        <v/>
      </c>
      <c r="AU40" s="311">
        <f>INDEX($A$27:$B$246,MATCH(IFERROR(IF(W40+$AS$5&lt;K40,K40,IF(W40+$AS$5&gt;O40,O40,W40+$AS$5)),0),$A$27:$A$246,1),2)</f>
        <v/>
      </c>
      <c r="AV40" s="311">
        <f>INDEX($A$27:$B$246,MATCH(IFERROR(IF(T40+$AW$5&lt;H40,H40,IF(T40+$AW$5&gt;L40,L40,T40+$AW$5)),0),$A$27:$A$246,1),2)</f>
        <v/>
      </c>
      <c r="AW40" s="311">
        <f>INDEX($A$27:$B$246,MATCH(IFERROR(IF(U40+$AW$5&lt;I40,I40,IF(U40+$AW$5&gt;M40,M40,U40+$AW$5)),0),$A$27:$A$246,1),2)</f>
        <v/>
      </c>
      <c r="AX40" s="311">
        <f>INDEX($A$27:$B$246,MATCH(IFERROR(IF(V40+$AW$5&lt;J40,J40,IF(V40+$AW$5&gt;N40,N40,V40+$AW$5)),0),$A$27:$A$246,1),2)</f>
        <v/>
      </c>
      <c r="AY40" s="311">
        <f>INDEX($A$27:$B$246,MATCH(IFERROR(IF(W40+$AW$5&lt;K40,K40,IF(W40+$AW$5&gt;O40,O40,W40+$AW$5)),0),$A$27:$A$246,1),2)</f>
        <v/>
      </c>
      <c r="AZ40" s="311">
        <f>INDEX($A$27:$B$246,MATCH(IFERROR(IF(T40+$BA$5&lt;H40,H40,IF(T40+$BA$5&gt;L40,L40,T40+$BA$5)),0),$A$27:$A$246,1),2)</f>
        <v/>
      </c>
      <c r="BA40" s="311">
        <f>INDEX($A$27:$B$246,MATCH(IFERROR(IF(U40+$BA$5&lt;I40,I40,IF(U40+$BA$5&gt;M40,M40,U40+$BA$5)),0),$A$27:$A$246,1),2)</f>
        <v/>
      </c>
      <c r="BB40" s="311">
        <f>INDEX($A$27:$B$246,MATCH(IFERROR(IF(V40+$BA$5&lt;J40,J40,IF(V40+$BA$5&gt;N40,N40,V40+$BA$5)),0),$A$27:$A$246,1),2)</f>
        <v/>
      </c>
      <c r="BC40" s="311">
        <f>INDEX($A$27:$B$246,MATCH(IFERROR(IF(W40+$BA$5&lt;K40,K40,IF(W40+$BA$5&gt;O40,O40,W40+$BA$5)),0),$A$27:$A$246,1),2)</f>
        <v/>
      </c>
      <c r="BD40" s="311" t="s">
        <v>8</v>
      </c>
      <c r="BE40" s="311" t="s">
        <v>8</v>
      </c>
      <c r="BF40" s="311" t="s">
        <v>8</v>
      </c>
      <c r="BG40" s="311" t="s">
        <v>8</v>
      </c>
      <c r="BI40" s="312" t="s">
        <v>154</v>
      </c>
      <c r="BJ40" s="108" t="s">
        <v>203</v>
      </c>
      <c r="BK40" s="108" t="s">
        <v>263</v>
      </c>
      <c r="BL40" s="108" t="n">
        <v>35</v>
      </c>
    </row>
    <row r="41" spans="1:64">
      <c r="A41" s="313">
        <f>A40+$B$24</f>
        <v/>
      </c>
      <c r="B41" s="313">
        <f>B40+$B$24</f>
        <v/>
      </c>
      <c r="C41" s="314" t="n"/>
      <c r="D41" t="s">
        <v>110</v>
      </c>
      <c r="E41" s="34" t="s">
        <v>110</v>
      </c>
      <c r="F41" s="34" t="s">
        <v>260</v>
      </c>
      <c r="G41" s="34" t="n">
        <v>322</v>
      </c>
      <c r="H41" s="310" t="n">
        <v>1</v>
      </c>
      <c r="I41" s="310" t="n">
        <v>1</v>
      </c>
      <c r="J41" s="310" t="n">
        <v>1</v>
      </c>
      <c r="K41" s="310" t="n">
        <v>1</v>
      </c>
      <c r="L41" s="311">
        <f>H41*$B$1</f>
        <v/>
      </c>
      <c r="M41" s="311">
        <f>I41*$B$1</f>
        <v/>
      </c>
      <c r="N41" s="311">
        <f>J41*$B$1</f>
        <v/>
      </c>
      <c r="O41" s="311">
        <f>K41*$B$1</f>
        <v/>
      </c>
      <c r="P41" s="311">
        <f>IFERROR(MIN(VLOOKUP(E41,Detalle!A:AA,$P$6,0),VLOOKUP(E41,Detalle!A:AA,$P$7,0),VLOOKUP(E41,Detalle!A:AA,$P$4,0)),0)</f>
        <v/>
      </c>
      <c r="Q41" s="311">
        <f>IFERROR(MIN(VLOOKUP(E41,Detalle!A:AA,$Q$6,0),VLOOKUP(E41,Detalle!A:AA,$Q$7,0)),0)</f>
        <v/>
      </c>
      <c r="R41" s="311">
        <f>IFERROR(MIN(VLOOKUP(E41,Detalle!A:AA,$R$6,0),VLOOKUP(E41,Detalle!A:AA,$R$7,0)),0)</f>
        <v/>
      </c>
      <c r="S41" s="311">
        <f>IFERROR(MIN(VLOOKUP(E41,Detalle!A:AA,$S$6,0),VLOOKUP(E41,Detalle!A:AA,$S$7,0)),0)</f>
        <v/>
      </c>
      <c r="T41" s="311">
        <f>IFERROR(MAX(VLOOKUP(E41,Detalle!A:AA,$P$6,0),VLOOKUP(E41,Detalle!A:AA,$P$7,0),VLOOKUP(E41,Detalle!A:AA,$P$4,0)),0)</f>
        <v/>
      </c>
      <c r="U41" s="311">
        <f>IFERROR(MAX(VLOOKUP(E41,Detalle!A:AA,$Q$6,0),VLOOKUP(E41,Detalle!A:AA,$Q$7,0)),0)</f>
        <v/>
      </c>
      <c r="V41" s="311">
        <f>IFERROR(MAX(VLOOKUP(E41,Detalle!A:AA,$R$6,0),VLOOKUP(E41,Detalle!A:AA,$R$7,0)),0)</f>
        <v/>
      </c>
      <c r="W41" s="311">
        <f>IFERROR(MAX(VLOOKUP(E41,Detalle!A:AA,$S$6,0),VLOOKUP(E41,Detalle!A:AA,$S$7,0)),0)</f>
        <v/>
      </c>
      <c r="X41" s="311">
        <f>INDEX($A$27:$B$246,MATCH(IFERROR(IF(P41*(1+$Y$5)&lt;H41,H41,IF(P41*(1+$Y$5)&gt;L41,L41,P41*(1+$Y$5))),0),$A$27:$A$246,1),2)</f>
        <v/>
      </c>
      <c r="Y41" s="311">
        <f>INDEX($A$27:$B$246,MATCH(IFERROR(IF(Q41*(1+$Y$5)&lt;I41,I41,IF(Q41*(1+$Y$5)&gt;M41,M41,Q41*(1+$Y$5))),0),$A$27:$A$246,1),2)</f>
        <v/>
      </c>
      <c r="Z41" s="311">
        <f>INDEX($A$27:$B$246,MATCH(IFERROR(IF(R41*(1+$Y$5)&lt;J41,J41,IF(R41*(1+$Y$5)&gt;N41,N41,R41*(1+$Y$5))),0),$A$27:$A$246,1),2)</f>
        <v/>
      </c>
      <c r="AA41" s="311">
        <f>INDEX($A$27:$B$246,MATCH(IFERROR(IF(S41*(1+$Y$5)&lt;K41,K41,IF(S41*(1+$Y$5)&gt;O41,O41,S41*(1+$Y$5))),0),$A$27:$A$246,1),2)</f>
        <v/>
      </c>
      <c r="AB41" s="311">
        <f>INDEX($A$27:$B$246,MATCH(IFERROR(IF(P41-$AC$5&lt;H41,H41,IF(P41-$AC$5&gt;L41,L41,P41-$AC$5)),0),$A$27:$A$246,1),2)</f>
        <v/>
      </c>
      <c r="AC41" s="311">
        <f>INDEX($A$27:$B$246,MATCH(IFERROR(IF(Q41-$AC$5&lt;I41,I41,IF(Q41-$AC$5&gt;M41,M41,Q41-$AC$5)),0),$A$27:$A$246,1),2)</f>
        <v/>
      </c>
      <c r="AD41" s="311">
        <f>INDEX($A$27:$B$246,MATCH(IFERROR(IF(R41-$AC$5&lt;J41,J41,IF(R41-$AC$5&gt;N41,N41,R41-$AC$5)),0),$A$27:$A$246,1),2)</f>
        <v/>
      </c>
      <c r="AE41" s="311">
        <f>INDEX($A$27:$B$246,MATCH(IFERROR(IF(S41-$AC$5&lt;K41,K41,IF(S41-$AC$5&gt;O41,O41,S41-$AC$5)),0),$A$27:$A$246,1),2)</f>
        <v/>
      </c>
      <c r="AF41" s="311" t="s">
        <v>8</v>
      </c>
      <c r="AG41" s="311" t="s">
        <v>8</v>
      </c>
      <c r="AH41" s="311" t="s">
        <v>8</v>
      </c>
      <c r="AI41" s="311" t="s">
        <v>8</v>
      </c>
      <c r="AJ41" s="311">
        <f>INDEX($A$27:$B$246,MATCH(IFERROR(IF(T41&lt;H41,H41,IF(T41&gt;L41,L41,T41)),0),$A$27:$A$246,1),2)</f>
        <v/>
      </c>
      <c r="AK41" s="311">
        <f>INDEX($A$27:$B$246,MATCH(IFERROR(IF(U41&lt;I41,I41,IF(U41&gt;M41,M41,U41)),0),$A$27:$A$246,1),2)</f>
        <v/>
      </c>
      <c r="AL41" s="311">
        <f>INDEX($A$27:$B$246,MATCH(IFERROR(IF(V41&lt;J41,J41,IF(V41&gt;N41,N41,V41)),0),$A$27:$A$246,1),2)</f>
        <v/>
      </c>
      <c r="AM41" s="311">
        <f>INDEX($A$27:$B$246,MATCH(IFERROR(IF(W41&lt;K41,K41,IF(W41&gt;O41,O41,W41)),0),$A$27:$A$246,1),2)</f>
        <v/>
      </c>
      <c r="AN41" s="311">
        <f>INDEX($A$27:$B$246,MATCH(IFERROR(IF(T41&lt;H41,H41,IF(T41&gt;L41,L41,T41)),0),$A$27:$A$246,1),2)</f>
        <v/>
      </c>
      <c r="AO41" s="311">
        <f>INDEX($A$27:$B$246,MATCH(IFERROR(IF(U41&lt;I41,I41,IF(U41&gt;M41,M41,U41)),0),$A$27:$A$246,1),2)</f>
        <v/>
      </c>
      <c r="AP41" s="311">
        <f>INDEX($A$27:$B$246,MATCH(IFERROR(IF(V41&lt;J41,J41,IF(V41&gt;N41,N41,V41)),0),$A$27:$A$246,1),2)</f>
        <v/>
      </c>
      <c r="AQ41" s="311">
        <f>INDEX($A$27:$B$246,MATCH(IFERROR(IF(W41&lt;K41,K41,IF(W41&gt;O41,O41,W41)),0),$A$27:$A$246,1),2)</f>
        <v/>
      </c>
      <c r="AR41" s="311">
        <f>INDEX($A$27:$B$246,MATCH(IFERROR(IF(T41+$AS$5&lt;H41,H41,IF(T41+$AS$5&gt;L41,L41,T41+$AS$5)),0),$A$27:$A$246,1),2)</f>
        <v/>
      </c>
      <c r="AS41" s="311">
        <f>INDEX($A$27:$B$246,MATCH(IFERROR(IF(U41+$AS$5&lt;I41,I41,IF(U41+$AS$5&gt;M41,M41,U41+$AS$5)),0),$A$27:$A$246,1),2)</f>
        <v/>
      </c>
      <c r="AT41" s="311">
        <f>INDEX($A$27:$B$246,MATCH(IFERROR(IF(V41+$AS$5&lt;J41,J41,IF(V41+$AS$5&gt;N41,N41,V41+$AS$5)),0),$A$27:$A$246,1),2)</f>
        <v/>
      </c>
      <c r="AU41" s="311">
        <f>INDEX($A$27:$B$246,MATCH(IFERROR(IF(W41+$AS$5&lt;K41,K41,IF(W41+$AS$5&gt;O41,O41,W41+$AS$5)),0),$A$27:$A$246,1),2)</f>
        <v/>
      </c>
      <c r="AV41" s="311">
        <f>INDEX($A$27:$B$246,MATCH(IFERROR(IF(T41+$AW$5&lt;H41,H41,IF(T41+$AW$5&gt;L41,L41,T41+$AW$5)),0),$A$27:$A$246,1),2)</f>
        <v/>
      </c>
      <c r="AW41" s="311">
        <f>INDEX($A$27:$B$246,MATCH(IFERROR(IF(U41+$AW$5&lt;I41,I41,IF(U41+$AW$5&gt;M41,M41,U41+$AW$5)),0),$A$27:$A$246,1),2)</f>
        <v/>
      </c>
      <c r="AX41" s="311">
        <f>INDEX($A$27:$B$246,MATCH(IFERROR(IF(V41+$AW$5&lt;J41,J41,IF(V41+$AW$5&gt;N41,N41,V41+$AW$5)),0),$A$27:$A$246,1),2)</f>
        <v/>
      </c>
      <c r="AY41" s="311">
        <f>INDEX($A$27:$B$246,MATCH(IFERROR(IF(W41+$AW$5&lt;K41,K41,IF(W41+$AW$5&gt;O41,O41,W41+$AW$5)),0),$A$27:$A$246,1),2)</f>
        <v/>
      </c>
      <c r="AZ41" s="311">
        <f>INDEX($A$27:$B$246,MATCH(IFERROR(IF(T41+$BA$5&lt;H41,H41,IF(T41+$BA$5&gt;L41,L41,T41+$BA$5)),0),$A$27:$A$246,1),2)</f>
        <v/>
      </c>
      <c r="BA41" s="311">
        <f>INDEX($A$27:$B$246,MATCH(IFERROR(IF(U41+$BA$5&lt;I41,I41,IF(U41+$BA$5&gt;M41,M41,U41+$BA$5)),0),$A$27:$A$246,1),2)</f>
        <v/>
      </c>
      <c r="BB41" s="311">
        <f>INDEX($A$27:$B$246,MATCH(IFERROR(IF(V41+$BA$5&lt;J41,J41,IF(V41+$BA$5&gt;N41,N41,V41+$BA$5)),0),$A$27:$A$246,1),2)</f>
        <v/>
      </c>
      <c r="BC41" s="311">
        <f>INDEX($A$27:$B$246,MATCH(IFERROR(IF(W41+$BA$5&lt;K41,K41,IF(W41+$BA$5&gt;O41,O41,W41+$BA$5)),0),$A$27:$A$246,1),2)</f>
        <v/>
      </c>
      <c r="BD41" s="311" t="s">
        <v>8</v>
      </c>
      <c r="BE41" s="311" t="s">
        <v>8</v>
      </c>
      <c r="BF41" s="311" t="s">
        <v>8</v>
      </c>
      <c r="BG41" s="311" t="s">
        <v>8</v>
      </c>
      <c r="BI41" s="312" t="s">
        <v>154</v>
      </c>
      <c r="BJ41" s="108" t="s">
        <v>204</v>
      </c>
      <c r="BK41" s="108" t="s">
        <v>264</v>
      </c>
      <c r="BL41" s="108" t="n">
        <v>39</v>
      </c>
    </row>
    <row r="42" spans="1:64">
      <c r="A42" s="313">
        <f>A41+$B$24</f>
        <v/>
      </c>
      <c r="B42" s="313">
        <f>B41+$B$24</f>
        <v/>
      </c>
      <c r="C42" s="314" t="n"/>
      <c r="D42" t="s">
        <v>111</v>
      </c>
      <c r="E42" s="34" t="s">
        <v>111</v>
      </c>
      <c r="F42" s="34" t="s">
        <v>260</v>
      </c>
      <c r="G42" s="34" t="n">
        <v>324</v>
      </c>
      <c r="H42" s="310" t="n">
        <v>1</v>
      </c>
      <c r="I42" s="310" t="n">
        <v>1</v>
      </c>
      <c r="J42" s="310" t="n">
        <v>1</v>
      </c>
      <c r="K42" s="310" t="n">
        <v>1</v>
      </c>
      <c r="L42" s="311">
        <f>H42*$B$1</f>
        <v/>
      </c>
      <c r="M42" s="311">
        <f>I42*$B$1</f>
        <v/>
      </c>
      <c r="N42" s="311">
        <f>J42*$B$1</f>
        <v/>
      </c>
      <c r="O42" s="311">
        <f>K42*$B$1</f>
        <v/>
      </c>
      <c r="P42" s="311">
        <f>IFERROR(MIN(VLOOKUP(E42,Detalle!A:AA,$P$6,0),VLOOKUP(E42,Detalle!A:AA,$P$7,0),VLOOKUP(E42,Detalle!A:AA,$P$4,0)),0)</f>
        <v/>
      </c>
      <c r="Q42" s="311">
        <f>IFERROR(MIN(VLOOKUP(E42,Detalle!A:AA,$Q$6,0),VLOOKUP(E42,Detalle!A:AA,$Q$7,0)),0)</f>
        <v/>
      </c>
      <c r="R42" s="311">
        <f>IFERROR(MIN(VLOOKUP(E42,Detalle!A:AA,$R$6,0),VLOOKUP(E42,Detalle!A:AA,$R$7,0)),0)</f>
        <v/>
      </c>
      <c r="S42" s="311">
        <f>IFERROR(MIN(VLOOKUP(E42,Detalle!A:AA,$S$6,0),VLOOKUP(E42,Detalle!A:AA,$S$7,0)),0)</f>
        <v/>
      </c>
      <c r="T42" s="311">
        <f>IFERROR(MAX(VLOOKUP(E42,Detalle!A:AA,$P$6,0),VLOOKUP(E42,Detalle!A:AA,$P$7,0),VLOOKUP(E42,Detalle!A:AA,$P$4,0)),0)</f>
        <v/>
      </c>
      <c r="U42" s="311">
        <f>IFERROR(MAX(VLOOKUP(E42,Detalle!A:AA,$Q$6,0),VLOOKUP(E42,Detalle!A:AA,$Q$7,0)),0)</f>
        <v/>
      </c>
      <c r="V42" s="311">
        <f>IFERROR(MAX(VLOOKUP(E42,Detalle!A:AA,$R$6,0),VLOOKUP(E42,Detalle!A:AA,$R$7,0)),0)</f>
        <v/>
      </c>
      <c r="W42" s="311">
        <f>IFERROR(MAX(VLOOKUP(E42,Detalle!A:AA,$S$6,0),VLOOKUP(E42,Detalle!A:AA,$S$7,0)),0)</f>
        <v/>
      </c>
      <c r="X42" s="311">
        <f>INDEX($A$27:$B$246,MATCH(IFERROR(IF(P42*(1+$Y$5)&lt;H42,H42,IF(P42*(1+$Y$5)&gt;L42,L42,P42*(1+$Y$5))),0),$A$27:$A$246,1),2)</f>
        <v/>
      </c>
      <c r="Y42" s="311">
        <f>INDEX($A$27:$B$246,MATCH(IFERROR(IF(Q42*(1+$Y$5)&lt;I42,I42,IF(Q42*(1+$Y$5)&gt;M42,M42,Q42*(1+$Y$5))),0),$A$27:$A$246,1),2)</f>
        <v/>
      </c>
      <c r="Z42" s="311">
        <f>INDEX($A$27:$B$246,MATCH(IFERROR(IF(R42*(1+$Y$5)&lt;J42,J42,IF(R42*(1+$Y$5)&gt;N42,N42,R42*(1+$Y$5))),0),$A$27:$A$246,1),2)</f>
        <v/>
      </c>
      <c r="AA42" s="311">
        <f>INDEX($A$27:$B$246,MATCH(IFERROR(IF(S42*(1+$Y$5)&lt;K42,K42,IF(S42*(1+$Y$5)&gt;O42,O42,S42*(1+$Y$5))),0),$A$27:$A$246,1),2)</f>
        <v/>
      </c>
      <c r="AB42" s="311">
        <f>INDEX($A$27:$B$246,MATCH(IFERROR(IF(P42-$AC$5&lt;H42,H42,IF(P42-$AC$5&gt;L42,L42,P42-$AC$5)),0),$A$27:$A$246,1),2)</f>
        <v/>
      </c>
      <c r="AC42" s="311">
        <f>INDEX($A$27:$B$246,MATCH(IFERROR(IF(Q42-$AC$5&lt;I42,I42,IF(Q42-$AC$5&gt;M42,M42,Q42-$AC$5)),0),$A$27:$A$246,1),2)</f>
        <v/>
      </c>
      <c r="AD42" s="311">
        <f>INDEX($A$27:$B$246,MATCH(IFERROR(IF(R42-$AC$5&lt;J42,J42,IF(R42-$AC$5&gt;N42,N42,R42-$AC$5)),0),$A$27:$A$246,1),2)</f>
        <v/>
      </c>
      <c r="AE42" s="311">
        <f>INDEX($A$27:$B$246,MATCH(IFERROR(IF(S42-$AC$5&lt;K42,K42,IF(S42-$AC$5&gt;O42,O42,S42-$AC$5)),0),$A$27:$A$246,1),2)</f>
        <v/>
      </c>
      <c r="AF42" s="311" t="s">
        <v>8</v>
      </c>
      <c r="AG42" s="311" t="s">
        <v>8</v>
      </c>
      <c r="AH42" s="311" t="s">
        <v>8</v>
      </c>
      <c r="AI42" s="311" t="s">
        <v>8</v>
      </c>
      <c r="AJ42" s="311">
        <f>INDEX($A$27:$B$246,MATCH(IFERROR(IF(T42&lt;H42,H42,IF(T42&gt;L42,L42,T42)),0),$A$27:$A$246,1),2)</f>
        <v/>
      </c>
      <c r="AK42" s="311">
        <f>INDEX($A$27:$B$246,MATCH(IFERROR(IF(U42&lt;I42,I42,IF(U42&gt;M42,M42,U42)),0),$A$27:$A$246,1),2)</f>
        <v/>
      </c>
      <c r="AL42" s="311">
        <f>INDEX($A$27:$B$246,MATCH(IFERROR(IF(V42&lt;J42,J42,IF(V42&gt;N42,N42,V42)),0),$A$27:$A$246,1),2)</f>
        <v/>
      </c>
      <c r="AM42" s="311">
        <f>INDEX($A$27:$B$246,MATCH(IFERROR(IF(W42&lt;K42,K42,IF(W42&gt;O42,O42,W42)),0),$A$27:$A$246,1),2)</f>
        <v/>
      </c>
      <c r="AN42" s="311">
        <f>INDEX($A$27:$B$246,MATCH(IFERROR(IF(T42&lt;H42,H42,IF(T42&gt;L42,L42,T42)),0),$A$27:$A$246,1),2)</f>
        <v/>
      </c>
      <c r="AO42" s="311">
        <f>INDEX($A$27:$B$246,MATCH(IFERROR(IF(U42&lt;I42,I42,IF(U42&gt;M42,M42,U42)),0),$A$27:$A$246,1),2)</f>
        <v/>
      </c>
      <c r="AP42" s="311">
        <f>INDEX($A$27:$B$246,MATCH(IFERROR(IF(V42&lt;J42,J42,IF(V42&gt;N42,N42,V42)),0),$A$27:$A$246,1),2)</f>
        <v/>
      </c>
      <c r="AQ42" s="311">
        <f>INDEX($A$27:$B$246,MATCH(IFERROR(IF(W42&lt;K42,K42,IF(W42&gt;O42,O42,W42)),0),$A$27:$A$246,1),2)</f>
        <v/>
      </c>
      <c r="AR42" s="311">
        <f>INDEX($A$27:$B$246,MATCH(IFERROR(IF(T42+$AS$5&lt;H42,H42,IF(T42+$AS$5&gt;L42,L42,T42+$AS$5)),0),$A$27:$A$246,1),2)</f>
        <v/>
      </c>
      <c r="AS42" s="311">
        <f>INDEX($A$27:$B$246,MATCH(IFERROR(IF(U42+$AS$5&lt;I42,I42,IF(U42+$AS$5&gt;M42,M42,U42+$AS$5)),0),$A$27:$A$246,1),2)</f>
        <v/>
      </c>
      <c r="AT42" s="311">
        <f>INDEX($A$27:$B$246,MATCH(IFERROR(IF(V42+$AS$5&lt;J42,J42,IF(V42+$AS$5&gt;N42,N42,V42+$AS$5)),0),$A$27:$A$246,1),2)</f>
        <v/>
      </c>
      <c r="AU42" s="311">
        <f>INDEX($A$27:$B$246,MATCH(IFERROR(IF(W42+$AS$5&lt;K42,K42,IF(W42+$AS$5&gt;O42,O42,W42+$AS$5)),0),$A$27:$A$246,1),2)</f>
        <v/>
      </c>
      <c r="AV42" s="311">
        <f>INDEX($A$27:$B$246,MATCH(IFERROR(IF(T42+$AW$5&lt;H42,H42,IF(T42+$AW$5&gt;L42,L42,T42+$AW$5)),0),$A$27:$A$246,1),2)</f>
        <v/>
      </c>
      <c r="AW42" s="311">
        <f>INDEX($A$27:$B$246,MATCH(IFERROR(IF(U42+$AW$5&lt;I42,I42,IF(U42+$AW$5&gt;M42,M42,U42+$AW$5)),0),$A$27:$A$246,1),2)</f>
        <v/>
      </c>
      <c r="AX42" s="311">
        <f>INDEX($A$27:$B$246,MATCH(IFERROR(IF(V42+$AW$5&lt;J42,J42,IF(V42+$AW$5&gt;N42,N42,V42+$AW$5)),0),$A$27:$A$246,1),2)</f>
        <v/>
      </c>
      <c r="AY42" s="311">
        <f>INDEX($A$27:$B$246,MATCH(IFERROR(IF(W42+$AW$5&lt;K42,K42,IF(W42+$AW$5&gt;O42,O42,W42+$AW$5)),0),$A$27:$A$246,1),2)</f>
        <v/>
      </c>
      <c r="AZ42" s="311">
        <f>INDEX($A$27:$B$246,MATCH(IFERROR(IF(T42+$BA$5&lt;H42,H42,IF(T42+$BA$5&gt;L42,L42,T42+$BA$5)),0),$A$27:$A$246,1),2)</f>
        <v/>
      </c>
      <c r="BA42" s="311">
        <f>INDEX($A$27:$B$246,MATCH(IFERROR(IF(U42+$BA$5&lt;I42,I42,IF(U42+$BA$5&gt;M42,M42,U42+$BA$5)),0),$A$27:$A$246,1),2)</f>
        <v/>
      </c>
      <c r="BB42" s="311">
        <f>INDEX($A$27:$B$246,MATCH(IFERROR(IF(V42+$BA$5&lt;J42,J42,IF(V42+$BA$5&gt;N42,N42,V42+$BA$5)),0),$A$27:$A$246,1),2)</f>
        <v/>
      </c>
      <c r="BC42" s="311">
        <f>INDEX($A$27:$B$246,MATCH(IFERROR(IF(W42+$BA$5&lt;K42,K42,IF(W42+$BA$5&gt;O42,O42,W42+$BA$5)),0),$A$27:$A$246,1),2)</f>
        <v/>
      </c>
      <c r="BD42" s="311" t="s">
        <v>8</v>
      </c>
      <c r="BE42" s="311" t="s">
        <v>8</v>
      </c>
      <c r="BF42" s="311" t="s">
        <v>8</v>
      </c>
      <c r="BG42" s="311" t="s">
        <v>8</v>
      </c>
      <c r="BI42" s="312" t="s">
        <v>154</v>
      </c>
      <c r="BJ42" s="108" t="s">
        <v>205</v>
      </c>
      <c r="BK42" s="108" t="s">
        <v>265</v>
      </c>
      <c r="BL42" s="108" t="n">
        <v>43</v>
      </c>
    </row>
    <row r="43" spans="1:64">
      <c r="A43" s="313">
        <f>A42+$B$24</f>
        <v/>
      </c>
      <c r="B43" s="313">
        <f>B42+$B$24</f>
        <v/>
      </c>
      <c r="C43" s="314" t="n"/>
      <c r="D43" t="s">
        <v>266</v>
      </c>
      <c r="E43" s="34" t="s">
        <v>112</v>
      </c>
      <c r="F43" s="34" t="s">
        <v>260</v>
      </c>
      <c r="G43" s="34" t="n">
        <v>326</v>
      </c>
      <c r="H43" s="310" t="n">
        <v>1</v>
      </c>
      <c r="I43" s="310" t="n">
        <v>1</v>
      </c>
      <c r="J43" s="310" t="n">
        <v>1</v>
      </c>
      <c r="K43" s="310" t="n">
        <v>1</v>
      </c>
      <c r="L43" s="311">
        <f>H43*$B$1</f>
        <v/>
      </c>
      <c r="M43" s="311">
        <f>I43*$B$1</f>
        <v/>
      </c>
      <c r="N43" s="311">
        <f>J43*$B$1</f>
        <v/>
      </c>
      <c r="O43" s="311">
        <f>K43*$B$1</f>
        <v/>
      </c>
      <c r="P43" s="311">
        <f>IFERROR(MIN(VLOOKUP(E43,Detalle!A:AA,$P$6,0),VLOOKUP(E43,Detalle!A:AA,$P$7,0),VLOOKUP(E43,Detalle!A:AA,$P$4,0)),0)</f>
        <v/>
      </c>
      <c r="Q43" s="311">
        <f>IFERROR(MIN(VLOOKUP(E43,Detalle!A:AA,$Q$6,0),VLOOKUP(E43,Detalle!A:AA,$Q$7,0)),0)</f>
        <v/>
      </c>
      <c r="R43" s="311">
        <f>IFERROR(MIN(VLOOKUP(E43,Detalle!A:AA,$R$6,0),VLOOKUP(E43,Detalle!A:AA,$R$7,0)),0)</f>
        <v/>
      </c>
      <c r="S43" s="311">
        <f>IFERROR(MIN(VLOOKUP(E43,Detalle!A:AA,$S$6,0),VLOOKUP(E43,Detalle!A:AA,$S$7,0)),0)</f>
        <v/>
      </c>
      <c r="T43" s="311">
        <f>IFERROR(MAX(VLOOKUP(E43,Detalle!A:AA,$P$6,0),VLOOKUP(E43,Detalle!A:AA,$P$7,0),VLOOKUP(E43,Detalle!A:AA,$P$4,0)),0)</f>
        <v/>
      </c>
      <c r="U43" s="311">
        <f>IFERROR(MAX(VLOOKUP(E43,Detalle!A:AA,$Q$6,0),VLOOKUP(E43,Detalle!A:AA,$Q$7,0)),0)</f>
        <v/>
      </c>
      <c r="V43" s="311">
        <f>IFERROR(MAX(VLOOKUP(E43,Detalle!A:AA,$R$6,0),VLOOKUP(E43,Detalle!A:AA,$R$7,0)),0)</f>
        <v/>
      </c>
      <c r="W43" s="311">
        <f>IFERROR(MAX(VLOOKUP(E43,Detalle!A:AA,$S$6,0),VLOOKUP(E43,Detalle!A:AA,$S$7,0)),0)</f>
        <v/>
      </c>
      <c r="X43" s="311">
        <f>INDEX($A$27:$B$246,MATCH(IFERROR(IF(P43*(1+$Y$5)&lt;H43,H43,IF(P43*(1+$Y$5)&gt;L43,L43,P43*(1+$Y$5))),0),$A$27:$A$246,1),2)</f>
        <v/>
      </c>
      <c r="Y43" s="311">
        <f>INDEX($A$27:$B$246,MATCH(IFERROR(IF(Q43*(1+$Y$5)&lt;I43,I43,IF(Q43*(1+$Y$5)&gt;M43,M43,Q43*(1+$Y$5))),0),$A$27:$A$246,1),2)</f>
        <v/>
      </c>
      <c r="Z43" s="311">
        <f>INDEX($A$27:$B$246,MATCH(IFERROR(IF(R43*(1+$Y$5)&lt;J43,J43,IF(R43*(1+$Y$5)&gt;N43,N43,R43*(1+$Y$5))),0),$A$27:$A$246,1),2)</f>
        <v/>
      </c>
      <c r="AA43" s="311">
        <f>INDEX($A$27:$B$246,MATCH(IFERROR(IF(S43*(1+$Y$5)&lt;K43,K43,IF(S43*(1+$Y$5)&gt;O43,O43,S43*(1+$Y$5))),0),$A$27:$A$246,1),2)</f>
        <v/>
      </c>
      <c r="AB43" s="311">
        <f>INDEX($A$27:$B$246,MATCH(IFERROR(IF(P43-$AC$5&lt;H43,H43,IF(P43-$AC$5&gt;L43,L43,P43-$AC$5)),0),$A$27:$A$246,1),2)</f>
        <v/>
      </c>
      <c r="AC43" s="311">
        <f>INDEX($A$27:$B$246,MATCH(IFERROR(IF(Q43-$AC$5&lt;I43,I43,IF(Q43-$AC$5&gt;M43,M43,Q43-$AC$5)),0),$A$27:$A$246,1),2)</f>
        <v/>
      </c>
      <c r="AD43" s="311">
        <f>INDEX($A$27:$B$246,MATCH(IFERROR(IF(R43-$AC$5&lt;J43,J43,IF(R43-$AC$5&gt;N43,N43,R43-$AC$5)),0),$A$27:$A$246,1),2)</f>
        <v/>
      </c>
      <c r="AE43" s="311">
        <f>INDEX($A$27:$B$246,MATCH(IFERROR(IF(S43-$AC$5&lt;K43,K43,IF(S43-$AC$5&gt;O43,O43,S43-$AC$5)),0),$A$27:$A$246,1),2)</f>
        <v/>
      </c>
      <c r="AF43" s="311" t="s">
        <v>8</v>
      </c>
      <c r="AG43" s="311" t="s">
        <v>8</v>
      </c>
      <c r="AH43" s="311" t="s">
        <v>8</v>
      </c>
      <c r="AI43" s="311" t="s">
        <v>8</v>
      </c>
      <c r="AJ43" s="311">
        <f>INDEX($A$27:$B$246,MATCH(IFERROR(IF(T43&lt;H43,H43,IF(T43&gt;L43,L43,T43)),0),$A$27:$A$246,1),2)</f>
        <v/>
      </c>
      <c r="AK43" s="311">
        <f>INDEX($A$27:$B$246,MATCH(IFERROR(IF(U43&lt;I43,I43,IF(U43&gt;M43,M43,U43)),0),$A$27:$A$246,1),2)</f>
        <v/>
      </c>
      <c r="AL43" s="311">
        <f>INDEX($A$27:$B$246,MATCH(IFERROR(IF(V43&lt;J43,J43,IF(V43&gt;N43,N43,V43)),0),$A$27:$A$246,1),2)</f>
        <v/>
      </c>
      <c r="AM43" s="311">
        <f>INDEX($A$27:$B$246,MATCH(IFERROR(IF(W43&lt;K43,K43,IF(W43&gt;O43,O43,W43)),0),$A$27:$A$246,1),2)</f>
        <v/>
      </c>
      <c r="AN43" s="311">
        <f>INDEX($A$27:$B$246,MATCH(IFERROR(IF(T43&lt;H43,H43,IF(T43&gt;L43,L43,T43)),0),$A$27:$A$246,1),2)</f>
        <v/>
      </c>
      <c r="AO43" s="311">
        <f>INDEX($A$27:$B$246,MATCH(IFERROR(IF(U43&lt;I43,I43,IF(U43&gt;M43,M43,U43)),0),$A$27:$A$246,1),2)</f>
        <v/>
      </c>
      <c r="AP43" s="311">
        <f>INDEX($A$27:$B$246,MATCH(IFERROR(IF(V43&lt;J43,J43,IF(V43&gt;N43,N43,V43)),0),$A$27:$A$246,1),2)</f>
        <v/>
      </c>
      <c r="AQ43" s="311">
        <f>INDEX($A$27:$B$246,MATCH(IFERROR(IF(W43&lt;K43,K43,IF(W43&gt;O43,O43,W43)),0),$A$27:$A$246,1),2)</f>
        <v/>
      </c>
      <c r="AR43" s="311">
        <f>INDEX($A$27:$B$246,MATCH(IFERROR(IF(T43+$AS$5&lt;H43,H43,IF(T43+$AS$5&gt;L43,L43,T43+$AS$5)),0),$A$27:$A$246,1),2)</f>
        <v/>
      </c>
      <c r="AS43" s="311">
        <f>INDEX($A$27:$B$246,MATCH(IFERROR(IF(U43+$AS$5&lt;I43,I43,IF(U43+$AS$5&gt;M43,M43,U43+$AS$5)),0),$A$27:$A$246,1),2)</f>
        <v/>
      </c>
      <c r="AT43" s="311">
        <f>INDEX($A$27:$B$246,MATCH(IFERROR(IF(V43+$AS$5&lt;J43,J43,IF(V43+$AS$5&gt;N43,N43,V43+$AS$5)),0),$A$27:$A$246,1),2)</f>
        <v/>
      </c>
      <c r="AU43" s="311">
        <f>INDEX($A$27:$B$246,MATCH(IFERROR(IF(W43+$AS$5&lt;K43,K43,IF(W43+$AS$5&gt;O43,O43,W43+$AS$5)),0),$A$27:$A$246,1),2)</f>
        <v/>
      </c>
      <c r="AV43" s="311">
        <f>INDEX($A$27:$B$246,MATCH(IFERROR(IF(T43+$AW$5&lt;H43,H43,IF(T43+$AW$5&gt;L43,L43,T43+$AW$5)),0),$A$27:$A$246,1),2)</f>
        <v/>
      </c>
      <c r="AW43" s="311">
        <f>INDEX($A$27:$B$246,MATCH(IFERROR(IF(U43+$AW$5&lt;I43,I43,IF(U43+$AW$5&gt;M43,M43,U43+$AW$5)),0),$A$27:$A$246,1),2)</f>
        <v/>
      </c>
      <c r="AX43" s="311">
        <f>INDEX($A$27:$B$246,MATCH(IFERROR(IF(V43+$AW$5&lt;J43,J43,IF(V43+$AW$5&gt;N43,N43,V43+$AW$5)),0),$A$27:$A$246,1),2)</f>
        <v/>
      </c>
      <c r="AY43" s="311">
        <f>INDEX($A$27:$B$246,MATCH(IFERROR(IF(W43+$AW$5&lt;K43,K43,IF(W43+$AW$5&gt;O43,O43,W43+$AW$5)),0),$A$27:$A$246,1),2)</f>
        <v/>
      </c>
      <c r="AZ43" s="311">
        <f>INDEX($A$27:$B$246,MATCH(IFERROR(IF(T43+$BA$5&lt;H43,H43,IF(T43+$BA$5&gt;L43,L43,T43+$BA$5)),0),$A$27:$A$246,1),2)</f>
        <v/>
      </c>
      <c r="BA43" s="311">
        <f>INDEX($A$27:$B$246,MATCH(IFERROR(IF(U43+$BA$5&lt;I43,I43,IF(U43+$BA$5&gt;M43,M43,U43+$BA$5)),0),$A$27:$A$246,1),2)</f>
        <v/>
      </c>
      <c r="BB43" s="311">
        <f>INDEX($A$27:$B$246,MATCH(IFERROR(IF(V43+$BA$5&lt;J43,J43,IF(V43+$BA$5&gt;N43,N43,V43+$BA$5)),0),$A$27:$A$246,1),2)</f>
        <v/>
      </c>
      <c r="BC43" s="311">
        <f>INDEX($A$27:$B$246,MATCH(IFERROR(IF(W43+$BA$5&lt;K43,K43,IF(W43+$BA$5&gt;O43,O43,W43+$BA$5)),0),$A$27:$A$246,1),2)</f>
        <v/>
      </c>
      <c r="BD43" s="311" t="s">
        <v>8</v>
      </c>
      <c r="BE43" s="311" t="s">
        <v>8</v>
      </c>
      <c r="BF43" s="311" t="s">
        <v>8</v>
      </c>
      <c r="BG43" s="311" t="s">
        <v>8</v>
      </c>
      <c r="BI43" s="312" t="s">
        <v>154</v>
      </c>
      <c r="BJ43" s="108" t="s">
        <v>206</v>
      </c>
      <c r="BK43" s="108" t="s">
        <v>267</v>
      </c>
      <c r="BL43" s="108" t="n">
        <v>47</v>
      </c>
    </row>
    <row r="44" spans="1:64">
      <c r="A44" s="313">
        <f>A43+$B$24</f>
        <v/>
      </c>
      <c r="B44" s="313">
        <f>B43+$B$24</f>
        <v/>
      </c>
      <c r="C44" s="314" t="n"/>
      <c r="D44" t="s">
        <v>113</v>
      </c>
      <c r="E44" s="34" t="s">
        <v>113</v>
      </c>
      <c r="F44" s="34" t="s">
        <v>260</v>
      </c>
      <c r="G44" s="34" t="n">
        <v>327</v>
      </c>
      <c r="H44" s="310" t="n">
        <v>1</v>
      </c>
      <c r="I44" s="310" t="n">
        <v>1</v>
      </c>
      <c r="J44" s="310" t="n">
        <v>1</v>
      </c>
      <c r="K44" s="310" t="n">
        <v>1</v>
      </c>
      <c r="L44" s="311">
        <f>H44*$B$1</f>
        <v/>
      </c>
      <c r="M44" s="311">
        <f>I44*$B$1</f>
        <v/>
      </c>
      <c r="N44" s="311">
        <f>J44*$B$1</f>
        <v/>
      </c>
      <c r="O44" s="311">
        <f>K44*$B$1</f>
        <v/>
      </c>
      <c r="P44" s="311">
        <f>IFERROR(MIN(VLOOKUP(E44,Detalle!A:AA,$P$6,0),VLOOKUP(E44,Detalle!A:AA,$P$7,0),VLOOKUP(E44,Detalle!A:AA,$P$4,0)),0)</f>
        <v/>
      </c>
      <c r="Q44" s="311">
        <f>IFERROR(MIN(VLOOKUP(E44,Detalle!A:AA,$Q$6,0),VLOOKUP(E44,Detalle!A:AA,$Q$7,0)),0)</f>
        <v/>
      </c>
      <c r="R44" s="311">
        <f>IFERROR(MIN(VLOOKUP(E44,Detalle!A:AA,$R$6,0),VLOOKUP(E44,Detalle!A:AA,$R$7,0)),0)</f>
        <v/>
      </c>
      <c r="S44" s="311">
        <f>IFERROR(MIN(VLOOKUP(E44,Detalle!A:AA,$S$6,0),VLOOKUP(E44,Detalle!A:AA,$S$7,0)),0)</f>
        <v/>
      </c>
      <c r="T44" s="311">
        <f>IFERROR(MAX(VLOOKUP(E44,Detalle!A:AA,$P$6,0),VLOOKUP(E44,Detalle!A:AA,$P$7,0),VLOOKUP(E44,Detalle!A:AA,$P$4,0)),0)</f>
        <v/>
      </c>
      <c r="U44" s="311">
        <f>IFERROR(MAX(VLOOKUP(E44,Detalle!A:AA,$Q$6,0),VLOOKUP(E44,Detalle!A:AA,$Q$7,0)),0)</f>
        <v/>
      </c>
      <c r="V44" s="311">
        <f>IFERROR(MAX(VLOOKUP(E44,Detalle!A:AA,$R$6,0),VLOOKUP(E44,Detalle!A:AA,$R$7,0)),0)</f>
        <v/>
      </c>
      <c r="W44" s="311">
        <f>IFERROR(MAX(VLOOKUP(E44,Detalle!A:AA,$S$6,0),VLOOKUP(E44,Detalle!A:AA,$S$7,0)),0)</f>
        <v/>
      </c>
      <c r="X44" s="311">
        <f>INDEX($A$27:$B$246,MATCH(IFERROR(IF(P44*(1+$Y$5)&lt;H44,H44,IF(P44*(1+$Y$5)&gt;L44,L44,P44*(1+$Y$5))),0),$A$27:$A$246,1),2)</f>
        <v/>
      </c>
      <c r="Y44" s="311">
        <f>INDEX($A$27:$B$246,MATCH(IFERROR(IF(Q44*(1+$Y$5)&lt;I44,I44,IF(Q44*(1+$Y$5)&gt;M44,M44,Q44*(1+$Y$5))),0),$A$27:$A$246,1),2)</f>
        <v/>
      </c>
      <c r="Z44" s="311">
        <f>INDEX($A$27:$B$246,MATCH(IFERROR(IF(R44*(1+$Y$5)&lt;J44,J44,IF(R44*(1+$Y$5)&gt;N44,N44,R44*(1+$Y$5))),0),$A$27:$A$246,1),2)</f>
        <v/>
      </c>
      <c r="AA44" s="311">
        <f>INDEX($A$27:$B$246,MATCH(IFERROR(IF(S44*(1+$Y$5)&lt;K44,K44,IF(S44*(1+$Y$5)&gt;O44,O44,S44*(1+$Y$5))),0),$A$27:$A$246,1),2)</f>
        <v/>
      </c>
      <c r="AB44" s="311">
        <f>INDEX($A$27:$B$246,MATCH(IFERROR(IF(P44-$AC$5&lt;H44,H44,IF(P44-$AC$5&gt;L44,L44,P44-$AC$5)),0),$A$27:$A$246,1),2)</f>
        <v/>
      </c>
      <c r="AC44" s="311">
        <f>INDEX($A$27:$B$246,MATCH(IFERROR(IF(Q44-$AC$5&lt;I44,I44,IF(Q44-$AC$5&gt;M44,M44,Q44-$AC$5)),0),$A$27:$A$246,1),2)</f>
        <v/>
      </c>
      <c r="AD44" s="311">
        <f>INDEX($A$27:$B$246,MATCH(IFERROR(IF(R44-$AC$5&lt;J44,J44,IF(R44-$AC$5&gt;N44,N44,R44-$AC$5)),0),$A$27:$A$246,1),2)</f>
        <v/>
      </c>
      <c r="AE44" s="311">
        <f>INDEX($A$27:$B$246,MATCH(IFERROR(IF(S44-$AC$5&lt;K44,K44,IF(S44-$AC$5&gt;O44,O44,S44-$AC$5)),0),$A$27:$A$246,1),2)</f>
        <v/>
      </c>
      <c r="AF44" s="311" t="s">
        <v>8</v>
      </c>
      <c r="AG44" s="311" t="s">
        <v>8</v>
      </c>
      <c r="AH44" s="311" t="s">
        <v>8</v>
      </c>
      <c r="AI44" s="311" t="s">
        <v>8</v>
      </c>
      <c r="AJ44" s="311">
        <f>INDEX($A$27:$B$246,MATCH(IFERROR(IF(T44&lt;H44,H44,IF(T44&gt;L44,L44,T44)),0),$A$27:$A$246,1),2)</f>
        <v/>
      </c>
      <c r="AK44" s="311">
        <f>INDEX($A$27:$B$246,MATCH(IFERROR(IF(U44&lt;I44,I44,IF(U44&gt;M44,M44,U44)),0),$A$27:$A$246,1),2)</f>
        <v/>
      </c>
      <c r="AL44" s="311">
        <f>INDEX($A$27:$B$246,MATCH(IFERROR(IF(V44&lt;J44,J44,IF(V44&gt;N44,N44,V44)),0),$A$27:$A$246,1),2)</f>
        <v/>
      </c>
      <c r="AM44" s="311">
        <f>INDEX($A$27:$B$246,MATCH(IFERROR(IF(W44&lt;K44,K44,IF(W44&gt;O44,O44,W44)),0),$A$27:$A$246,1),2)</f>
        <v/>
      </c>
      <c r="AN44" s="311">
        <f>INDEX($A$27:$B$246,MATCH(IFERROR(IF(T44&lt;H44,H44,IF(T44&gt;L44,L44,T44)),0),$A$27:$A$246,1),2)</f>
        <v/>
      </c>
      <c r="AO44" s="311">
        <f>INDEX($A$27:$B$246,MATCH(IFERROR(IF(U44&lt;I44,I44,IF(U44&gt;M44,M44,U44)),0),$A$27:$A$246,1),2)</f>
        <v/>
      </c>
      <c r="AP44" s="311">
        <f>INDEX($A$27:$B$246,MATCH(IFERROR(IF(V44&lt;J44,J44,IF(V44&gt;N44,N44,V44)),0),$A$27:$A$246,1),2)</f>
        <v/>
      </c>
      <c r="AQ44" s="311">
        <f>INDEX($A$27:$B$246,MATCH(IFERROR(IF(W44&lt;K44,K44,IF(W44&gt;O44,O44,W44)),0),$A$27:$A$246,1),2)</f>
        <v/>
      </c>
      <c r="AR44" s="311">
        <f>INDEX($A$27:$B$246,MATCH(IFERROR(IF(T44+$AS$5&lt;H44,H44,IF(T44+$AS$5&gt;L44,L44,T44+$AS$5)),0),$A$27:$A$246,1),2)</f>
        <v/>
      </c>
      <c r="AS44" s="311">
        <f>INDEX($A$27:$B$246,MATCH(IFERROR(IF(U44+$AS$5&lt;I44,I44,IF(U44+$AS$5&gt;M44,M44,U44+$AS$5)),0),$A$27:$A$246,1),2)</f>
        <v/>
      </c>
      <c r="AT44" s="311">
        <f>INDEX($A$27:$B$246,MATCH(IFERROR(IF(V44+$AS$5&lt;J44,J44,IF(V44+$AS$5&gt;N44,N44,V44+$AS$5)),0),$A$27:$A$246,1),2)</f>
        <v/>
      </c>
      <c r="AU44" s="311">
        <f>INDEX($A$27:$B$246,MATCH(IFERROR(IF(W44+$AS$5&lt;K44,K44,IF(W44+$AS$5&gt;O44,O44,W44+$AS$5)),0),$A$27:$A$246,1),2)</f>
        <v/>
      </c>
      <c r="AV44" s="311">
        <f>INDEX($A$27:$B$246,MATCH(IFERROR(IF(T44+$AW$5&lt;H44,H44,IF(T44+$AW$5&gt;L44,L44,T44+$AW$5)),0),$A$27:$A$246,1),2)</f>
        <v/>
      </c>
      <c r="AW44" s="311">
        <f>INDEX($A$27:$B$246,MATCH(IFERROR(IF(U44+$AW$5&lt;I44,I44,IF(U44+$AW$5&gt;M44,M44,U44+$AW$5)),0),$A$27:$A$246,1),2)</f>
        <v/>
      </c>
      <c r="AX44" s="311">
        <f>INDEX($A$27:$B$246,MATCH(IFERROR(IF(V44+$AW$5&lt;J44,J44,IF(V44+$AW$5&gt;N44,N44,V44+$AW$5)),0),$A$27:$A$246,1),2)</f>
        <v/>
      </c>
      <c r="AY44" s="311">
        <f>INDEX($A$27:$B$246,MATCH(IFERROR(IF(W44+$AW$5&lt;K44,K44,IF(W44+$AW$5&gt;O44,O44,W44+$AW$5)),0),$A$27:$A$246,1),2)</f>
        <v/>
      </c>
      <c r="AZ44" s="311">
        <f>INDEX($A$27:$B$246,MATCH(IFERROR(IF(T44+$BA$5&lt;H44,H44,IF(T44+$BA$5&gt;L44,L44,T44+$BA$5)),0),$A$27:$A$246,1),2)</f>
        <v/>
      </c>
      <c r="BA44" s="311">
        <f>INDEX($A$27:$B$246,MATCH(IFERROR(IF(U44+$BA$5&lt;I44,I44,IF(U44+$BA$5&gt;M44,M44,U44+$BA$5)),0),$A$27:$A$246,1),2)</f>
        <v/>
      </c>
      <c r="BB44" s="311">
        <f>INDEX($A$27:$B$246,MATCH(IFERROR(IF(V44+$BA$5&lt;J44,J44,IF(V44+$BA$5&gt;N44,N44,V44+$BA$5)),0),$A$27:$A$246,1),2)</f>
        <v/>
      </c>
      <c r="BC44" s="311">
        <f>INDEX($A$27:$B$246,MATCH(IFERROR(IF(W44+$BA$5&lt;K44,K44,IF(W44+$BA$5&gt;O44,O44,W44+$BA$5)),0),$A$27:$A$246,1),2)</f>
        <v/>
      </c>
      <c r="BD44" s="311" t="s">
        <v>8</v>
      </c>
      <c r="BE44" s="311" t="s">
        <v>8</v>
      </c>
      <c r="BF44" s="311" t="s">
        <v>8</v>
      </c>
      <c r="BG44" s="311" t="s">
        <v>8</v>
      </c>
      <c r="BI44" s="312" t="s">
        <v>154</v>
      </c>
      <c r="BJ44" s="108" t="s">
        <v>207</v>
      </c>
      <c r="BK44" s="108" t="s">
        <v>268</v>
      </c>
      <c r="BL44" s="108" t="n">
        <v>51</v>
      </c>
    </row>
    <row r="45" spans="1:64">
      <c r="A45" s="313">
        <f>A44+$B$24</f>
        <v/>
      </c>
      <c r="B45" s="313">
        <f>B44+$B$24</f>
        <v/>
      </c>
      <c r="C45" s="314" t="n"/>
      <c r="D45" t="s">
        <v>114</v>
      </c>
      <c r="E45" s="34" t="s">
        <v>114</v>
      </c>
      <c r="F45" s="34" t="s">
        <v>260</v>
      </c>
      <c r="G45" s="34" t="n">
        <v>328</v>
      </c>
      <c r="H45" s="310" t="n">
        <v>1</v>
      </c>
      <c r="I45" s="310" t="n">
        <v>1</v>
      </c>
      <c r="J45" s="310" t="n">
        <v>1</v>
      </c>
      <c r="K45" s="310" t="n">
        <v>1</v>
      </c>
      <c r="L45" s="311">
        <f>H45*$B$1</f>
        <v/>
      </c>
      <c r="M45" s="311">
        <f>I45*$B$1</f>
        <v/>
      </c>
      <c r="N45" s="311">
        <f>J45*$B$1</f>
        <v/>
      </c>
      <c r="O45" s="311">
        <f>K45*$B$1</f>
        <v/>
      </c>
      <c r="P45" s="311">
        <f>IFERROR(MIN(VLOOKUP(E45,Detalle!A:AA,$P$6,0),VLOOKUP(E45,Detalle!A:AA,$P$7,0),VLOOKUP(E45,Detalle!A:AA,$P$4,0)),0)</f>
        <v/>
      </c>
      <c r="Q45" s="311">
        <f>IFERROR(MIN(VLOOKUP(E45,Detalle!A:AA,$Q$6,0),VLOOKUP(E45,Detalle!A:AA,$Q$7,0)),0)</f>
        <v/>
      </c>
      <c r="R45" s="311">
        <f>IFERROR(MIN(VLOOKUP(E45,Detalle!A:AA,$R$6,0),VLOOKUP(E45,Detalle!A:AA,$R$7,0)),0)</f>
        <v/>
      </c>
      <c r="S45" s="311">
        <f>IFERROR(MIN(VLOOKUP(E45,Detalle!A:AA,$S$6,0),VLOOKUP(E45,Detalle!A:AA,$S$7,0)),0)</f>
        <v/>
      </c>
      <c r="T45" s="311">
        <f>IFERROR(MAX(VLOOKUP(E45,Detalle!A:AA,$P$6,0),VLOOKUP(E45,Detalle!A:AA,$P$7,0),VLOOKUP(E45,Detalle!A:AA,$P$4,0)),0)</f>
        <v/>
      </c>
      <c r="U45" s="311">
        <f>IFERROR(MAX(VLOOKUP(E45,Detalle!A:AA,$Q$6,0),VLOOKUP(E45,Detalle!A:AA,$Q$7,0)),0)</f>
        <v/>
      </c>
      <c r="V45" s="311">
        <f>IFERROR(MAX(VLOOKUP(E45,Detalle!A:AA,$R$6,0),VLOOKUP(E45,Detalle!A:AA,$R$7,0)),0)</f>
        <v/>
      </c>
      <c r="W45" s="311">
        <f>IFERROR(MAX(VLOOKUP(E45,Detalle!A:AA,$S$6,0),VLOOKUP(E45,Detalle!A:AA,$S$7,0)),0)</f>
        <v/>
      </c>
      <c r="X45" s="311">
        <f>INDEX($A$27:$B$246,MATCH(IFERROR(IF(P45*(1+$Y$5)&lt;H45,H45,IF(P45*(1+$Y$5)&gt;L45,L45,P45*(1+$Y$5))),0),$A$27:$A$246,1),2)</f>
        <v/>
      </c>
      <c r="Y45" s="311">
        <f>INDEX($A$27:$B$246,MATCH(IFERROR(IF(Q45*(1+$Y$5)&lt;I45,I45,IF(Q45*(1+$Y$5)&gt;M45,M45,Q45*(1+$Y$5))),0),$A$27:$A$246,1),2)</f>
        <v/>
      </c>
      <c r="Z45" s="311">
        <f>INDEX($A$27:$B$246,MATCH(IFERROR(IF(R45*(1+$Y$5)&lt;J45,J45,IF(R45*(1+$Y$5)&gt;N45,N45,R45*(1+$Y$5))),0),$A$27:$A$246,1),2)</f>
        <v/>
      </c>
      <c r="AA45" s="311">
        <f>INDEX($A$27:$B$246,MATCH(IFERROR(IF(S45*(1+$Y$5)&lt;K45,K45,IF(S45*(1+$Y$5)&gt;O45,O45,S45*(1+$Y$5))),0),$A$27:$A$246,1),2)</f>
        <v/>
      </c>
      <c r="AB45" s="311">
        <f>INDEX($A$27:$B$246,MATCH(IFERROR(IF(P45-$AC$5&lt;H45,H45,IF(P45-$AC$5&gt;L45,L45,P45-$AC$5)),0),$A$27:$A$246,1),2)</f>
        <v/>
      </c>
      <c r="AC45" s="311">
        <f>INDEX($A$27:$B$246,MATCH(IFERROR(IF(Q45-$AC$5&lt;I45,I45,IF(Q45-$AC$5&gt;M45,M45,Q45-$AC$5)),0),$A$27:$A$246,1),2)</f>
        <v/>
      </c>
      <c r="AD45" s="311">
        <f>INDEX($A$27:$B$246,MATCH(IFERROR(IF(R45-$AC$5&lt;J45,J45,IF(R45-$AC$5&gt;N45,N45,R45-$AC$5)),0),$A$27:$A$246,1),2)</f>
        <v/>
      </c>
      <c r="AE45" s="311">
        <f>INDEX($A$27:$B$246,MATCH(IFERROR(IF(S45-$AC$5&lt;K45,K45,IF(S45-$AC$5&gt;O45,O45,S45-$AC$5)),0),$A$27:$A$246,1),2)</f>
        <v/>
      </c>
      <c r="AF45" s="311" t="s">
        <v>8</v>
      </c>
      <c r="AG45" s="311" t="s">
        <v>8</v>
      </c>
      <c r="AH45" s="311" t="s">
        <v>8</v>
      </c>
      <c r="AI45" s="311" t="s">
        <v>8</v>
      </c>
      <c r="AJ45" s="311">
        <f>INDEX($A$27:$B$246,MATCH(IFERROR(IF(T45&lt;H45,H45,IF(T45&gt;L45,L45,T45)),0),$A$27:$A$246,1),2)</f>
        <v/>
      </c>
      <c r="AK45" s="311">
        <f>INDEX($A$27:$B$246,MATCH(IFERROR(IF(U45&lt;I45,I45,IF(U45&gt;M45,M45,U45)),0),$A$27:$A$246,1),2)</f>
        <v/>
      </c>
      <c r="AL45" s="311">
        <f>INDEX($A$27:$B$246,MATCH(IFERROR(IF(V45&lt;J45,J45,IF(V45&gt;N45,N45,V45)),0),$A$27:$A$246,1),2)</f>
        <v/>
      </c>
      <c r="AM45" s="311">
        <f>INDEX($A$27:$B$246,MATCH(IFERROR(IF(W45&lt;K45,K45,IF(W45&gt;O45,O45,W45)),0),$A$27:$A$246,1),2)</f>
        <v/>
      </c>
      <c r="AN45" s="311">
        <f>INDEX($A$27:$B$246,MATCH(IFERROR(IF(T45&lt;H45,H45,IF(T45&gt;L45,L45,T45)),0),$A$27:$A$246,1),2)</f>
        <v/>
      </c>
      <c r="AO45" s="311">
        <f>INDEX($A$27:$B$246,MATCH(IFERROR(IF(U45&lt;I45,I45,IF(U45&gt;M45,M45,U45)),0),$A$27:$A$246,1),2)</f>
        <v/>
      </c>
      <c r="AP45" s="311">
        <f>INDEX($A$27:$B$246,MATCH(IFERROR(IF(V45&lt;J45,J45,IF(V45&gt;N45,N45,V45)),0),$A$27:$A$246,1),2)</f>
        <v/>
      </c>
      <c r="AQ45" s="311">
        <f>INDEX($A$27:$B$246,MATCH(IFERROR(IF(W45&lt;K45,K45,IF(W45&gt;O45,O45,W45)),0),$A$27:$A$246,1),2)</f>
        <v/>
      </c>
      <c r="AR45" s="311">
        <f>INDEX($A$27:$B$246,MATCH(IFERROR(IF(T45+$AS$5&lt;H45,H45,IF(T45+$AS$5&gt;L45,L45,T45+$AS$5)),0),$A$27:$A$246,1),2)</f>
        <v/>
      </c>
      <c r="AS45" s="311">
        <f>INDEX($A$27:$B$246,MATCH(IFERROR(IF(U45+$AS$5&lt;I45,I45,IF(U45+$AS$5&gt;M45,M45,U45+$AS$5)),0),$A$27:$A$246,1),2)</f>
        <v/>
      </c>
      <c r="AT45" s="311">
        <f>INDEX($A$27:$B$246,MATCH(IFERROR(IF(V45+$AS$5&lt;J45,J45,IF(V45+$AS$5&gt;N45,N45,V45+$AS$5)),0),$A$27:$A$246,1),2)</f>
        <v/>
      </c>
      <c r="AU45" s="311">
        <f>INDEX($A$27:$B$246,MATCH(IFERROR(IF(W45+$AS$5&lt;K45,K45,IF(W45+$AS$5&gt;O45,O45,W45+$AS$5)),0),$A$27:$A$246,1),2)</f>
        <v/>
      </c>
      <c r="AV45" s="311">
        <f>INDEX($A$27:$B$246,MATCH(IFERROR(IF(T45+$AW$5&lt;H45,H45,IF(T45+$AW$5&gt;L45,L45,T45+$AW$5)),0),$A$27:$A$246,1),2)</f>
        <v/>
      </c>
      <c r="AW45" s="311">
        <f>INDEX($A$27:$B$246,MATCH(IFERROR(IF(U45+$AW$5&lt;I45,I45,IF(U45+$AW$5&gt;M45,M45,U45+$AW$5)),0),$A$27:$A$246,1),2)</f>
        <v/>
      </c>
      <c r="AX45" s="311">
        <f>INDEX($A$27:$B$246,MATCH(IFERROR(IF(V45+$AW$5&lt;J45,J45,IF(V45+$AW$5&gt;N45,N45,V45+$AW$5)),0),$A$27:$A$246,1),2)</f>
        <v/>
      </c>
      <c r="AY45" s="311">
        <f>INDEX($A$27:$B$246,MATCH(IFERROR(IF(W45+$AW$5&lt;K45,K45,IF(W45+$AW$5&gt;O45,O45,W45+$AW$5)),0),$A$27:$A$246,1),2)</f>
        <v/>
      </c>
      <c r="AZ45" s="311">
        <f>INDEX($A$27:$B$246,MATCH(IFERROR(IF(T45+$BA$5&lt;H45,H45,IF(T45+$BA$5&gt;L45,L45,T45+$BA$5)),0),$A$27:$A$246,1),2)</f>
        <v/>
      </c>
      <c r="BA45" s="311">
        <f>INDEX($A$27:$B$246,MATCH(IFERROR(IF(U45+$BA$5&lt;I45,I45,IF(U45+$BA$5&gt;M45,M45,U45+$BA$5)),0),$A$27:$A$246,1),2)</f>
        <v/>
      </c>
      <c r="BB45" s="311">
        <f>INDEX($A$27:$B$246,MATCH(IFERROR(IF(V45+$BA$5&lt;J45,J45,IF(V45+$BA$5&gt;N45,N45,V45+$BA$5)),0),$A$27:$A$246,1),2)</f>
        <v/>
      </c>
      <c r="BC45" s="311">
        <f>INDEX($A$27:$B$246,MATCH(IFERROR(IF(W45+$BA$5&lt;K45,K45,IF(W45+$BA$5&gt;O45,O45,W45+$BA$5)),0),$A$27:$A$246,1),2)</f>
        <v/>
      </c>
      <c r="BD45" s="311" t="s">
        <v>8</v>
      </c>
      <c r="BE45" s="311" t="s">
        <v>8</v>
      </c>
      <c r="BF45" s="311" t="s">
        <v>8</v>
      </c>
      <c r="BG45" s="311" t="s">
        <v>8</v>
      </c>
      <c r="BI45" s="312" t="s">
        <v>154</v>
      </c>
      <c r="BJ45" s="108" t="s">
        <v>208</v>
      </c>
      <c r="BK45" s="108" t="s">
        <v>269</v>
      </c>
      <c r="BL45" s="108" t="n">
        <v>55</v>
      </c>
    </row>
    <row r="46" spans="1:64">
      <c r="A46" s="313">
        <f>A45+$B$24</f>
        <v/>
      </c>
      <c r="B46" s="313">
        <f>B45+$B$24</f>
        <v/>
      </c>
      <c r="C46" s="314" t="n"/>
      <c r="D46" t="s">
        <v>115</v>
      </c>
      <c r="E46" s="34" t="s">
        <v>115</v>
      </c>
      <c r="F46" s="34" t="s">
        <v>260</v>
      </c>
      <c r="G46" s="34" t="n">
        <v>330</v>
      </c>
      <c r="H46" s="310" t="n">
        <v>1</v>
      </c>
      <c r="I46" s="310" t="n">
        <v>1</v>
      </c>
      <c r="J46" s="310" t="n">
        <v>1</v>
      </c>
      <c r="K46" s="310" t="n">
        <v>1</v>
      </c>
      <c r="L46" s="311">
        <f>H46*$B$1</f>
        <v/>
      </c>
      <c r="M46" s="311">
        <f>I46*$B$1</f>
        <v/>
      </c>
      <c r="N46" s="311">
        <f>J46*$B$1</f>
        <v/>
      </c>
      <c r="O46" s="311">
        <f>K46*$B$1</f>
        <v/>
      </c>
      <c r="P46" s="311">
        <f>IFERROR(MIN(VLOOKUP(E46,Detalle!A:AA,$P$6,0),VLOOKUP(E46,Detalle!A:AA,$P$7,0),VLOOKUP(E46,Detalle!A:AA,$P$4,0)),0)</f>
        <v/>
      </c>
      <c r="Q46" s="311">
        <f>IFERROR(MIN(VLOOKUP(E46,Detalle!A:AA,$Q$6,0),VLOOKUP(E46,Detalle!A:AA,$Q$7,0)),0)</f>
        <v/>
      </c>
      <c r="R46" s="311">
        <f>IFERROR(MIN(VLOOKUP(E46,Detalle!A:AA,$R$6,0),VLOOKUP(E46,Detalle!A:AA,$R$7,0)),0)</f>
        <v/>
      </c>
      <c r="S46" s="311">
        <f>IFERROR(MIN(VLOOKUP(E46,Detalle!A:AA,$S$6,0),VLOOKUP(E46,Detalle!A:AA,$S$7,0)),0)</f>
        <v/>
      </c>
      <c r="T46" s="311">
        <f>IFERROR(MAX(VLOOKUP(E46,Detalle!A:AA,$P$6,0),VLOOKUP(E46,Detalle!A:AA,$P$7,0),VLOOKUP(E46,Detalle!A:AA,$P$4,0)),0)</f>
        <v/>
      </c>
      <c r="U46" s="311">
        <f>IFERROR(MAX(VLOOKUP(E46,Detalle!A:AA,$Q$6,0),VLOOKUP(E46,Detalle!A:AA,$Q$7,0)),0)</f>
        <v/>
      </c>
      <c r="V46" s="311">
        <f>IFERROR(MAX(VLOOKUP(E46,Detalle!A:AA,$R$6,0),VLOOKUP(E46,Detalle!A:AA,$R$7,0)),0)</f>
        <v/>
      </c>
      <c r="W46" s="311">
        <f>IFERROR(MAX(VLOOKUP(E46,Detalle!A:AA,$S$6,0),VLOOKUP(E46,Detalle!A:AA,$S$7,0)),0)</f>
        <v/>
      </c>
      <c r="X46" s="311">
        <f>INDEX($A$27:$B$246,MATCH(IFERROR(IF(P46*(1+$Y$5)&lt;H46,H46,IF(P46*(1+$Y$5)&gt;L46,L46,P46*(1+$Y$5))),0),$A$27:$A$246,1),2)</f>
        <v/>
      </c>
      <c r="Y46" s="311">
        <f>INDEX($A$27:$B$246,MATCH(IFERROR(IF(Q46*(1+$Y$5)&lt;I46,I46,IF(Q46*(1+$Y$5)&gt;M46,M46,Q46*(1+$Y$5))),0),$A$27:$A$246,1),2)</f>
        <v/>
      </c>
      <c r="Z46" s="311">
        <f>INDEX($A$27:$B$246,MATCH(IFERROR(IF(R46*(1+$Y$5)&lt;J46,J46,IF(R46*(1+$Y$5)&gt;N46,N46,R46*(1+$Y$5))),0),$A$27:$A$246,1),2)</f>
        <v/>
      </c>
      <c r="AA46" s="311">
        <f>INDEX($A$27:$B$246,MATCH(IFERROR(IF(S46*(1+$Y$5)&lt;K46,K46,IF(S46*(1+$Y$5)&gt;O46,O46,S46*(1+$Y$5))),0),$A$27:$A$246,1),2)</f>
        <v/>
      </c>
      <c r="AB46" s="311">
        <f>INDEX($A$27:$B$246,MATCH(IFERROR(IF(P46-$AC$5&lt;H46,H46,IF(P46-$AC$5&gt;L46,L46,P46-$AC$5)),0),$A$27:$A$246,1),2)</f>
        <v/>
      </c>
      <c r="AC46" s="311">
        <f>INDEX($A$27:$B$246,MATCH(IFERROR(IF(Q46-$AC$5&lt;I46,I46,IF(Q46-$AC$5&gt;M46,M46,Q46-$AC$5)),0),$A$27:$A$246,1),2)</f>
        <v/>
      </c>
      <c r="AD46" s="311">
        <f>INDEX($A$27:$B$246,MATCH(IFERROR(IF(R46-$AC$5&lt;J46,J46,IF(R46-$AC$5&gt;N46,N46,R46-$AC$5)),0),$A$27:$A$246,1),2)</f>
        <v/>
      </c>
      <c r="AE46" s="311">
        <f>INDEX($A$27:$B$246,MATCH(IFERROR(IF(S46-$AC$5&lt;K46,K46,IF(S46-$AC$5&gt;O46,O46,S46-$AC$5)),0),$A$27:$A$246,1),2)</f>
        <v/>
      </c>
      <c r="AF46" s="311" t="s">
        <v>8</v>
      </c>
      <c r="AG46" s="311" t="s">
        <v>8</v>
      </c>
      <c r="AH46" s="311" t="s">
        <v>8</v>
      </c>
      <c r="AI46" s="311" t="s">
        <v>8</v>
      </c>
      <c r="AJ46" s="311">
        <f>INDEX($A$27:$B$246,MATCH(IFERROR(IF(T46&lt;H46,H46,IF(T46&gt;L46,L46,T46)),0),$A$27:$A$246,1),2)</f>
        <v/>
      </c>
      <c r="AK46" s="311">
        <f>INDEX($A$27:$B$246,MATCH(IFERROR(IF(U46&lt;I46,I46,IF(U46&gt;M46,M46,U46)),0),$A$27:$A$246,1),2)</f>
        <v/>
      </c>
      <c r="AL46" s="311">
        <f>INDEX($A$27:$B$246,MATCH(IFERROR(IF(V46&lt;J46,J46,IF(V46&gt;N46,N46,V46)),0),$A$27:$A$246,1),2)</f>
        <v/>
      </c>
      <c r="AM46" s="311">
        <f>INDEX($A$27:$B$246,MATCH(IFERROR(IF(W46&lt;K46,K46,IF(W46&gt;O46,O46,W46)),0),$A$27:$A$246,1),2)</f>
        <v/>
      </c>
      <c r="AN46" s="311">
        <f>INDEX($A$27:$B$246,MATCH(IFERROR(IF(T46&lt;H46,H46,IF(T46&gt;L46,L46,T46)),0),$A$27:$A$246,1),2)</f>
        <v/>
      </c>
      <c r="AO46" s="311">
        <f>INDEX($A$27:$B$246,MATCH(IFERROR(IF(U46&lt;I46,I46,IF(U46&gt;M46,M46,U46)),0),$A$27:$A$246,1),2)</f>
        <v/>
      </c>
      <c r="AP46" s="311">
        <f>INDEX($A$27:$B$246,MATCH(IFERROR(IF(V46&lt;J46,J46,IF(V46&gt;N46,N46,V46)),0),$A$27:$A$246,1),2)</f>
        <v/>
      </c>
      <c r="AQ46" s="311">
        <f>INDEX($A$27:$B$246,MATCH(IFERROR(IF(W46&lt;K46,K46,IF(W46&gt;O46,O46,W46)),0),$A$27:$A$246,1),2)</f>
        <v/>
      </c>
      <c r="AR46" s="311">
        <f>INDEX($A$27:$B$246,MATCH(IFERROR(IF(T46+$AS$5&lt;H46,H46,IF(T46+$AS$5&gt;L46,L46,T46+$AS$5)),0),$A$27:$A$246,1),2)</f>
        <v/>
      </c>
      <c r="AS46" s="311">
        <f>INDEX($A$27:$B$246,MATCH(IFERROR(IF(U46+$AS$5&lt;I46,I46,IF(U46+$AS$5&gt;M46,M46,U46+$AS$5)),0),$A$27:$A$246,1),2)</f>
        <v/>
      </c>
      <c r="AT46" s="311">
        <f>INDEX($A$27:$B$246,MATCH(IFERROR(IF(V46+$AS$5&lt;J46,J46,IF(V46+$AS$5&gt;N46,N46,V46+$AS$5)),0),$A$27:$A$246,1),2)</f>
        <v/>
      </c>
      <c r="AU46" s="311">
        <f>INDEX($A$27:$B$246,MATCH(IFERROR(IF(W46+$AS$5&lt;K46,K46,IF(W46+$AS$5&gt;O46,O46,W46+$AS$5)),0),$A$27:$A$246,1),2)</f>
        <v/>
      </c>
      <c r="AV46" s="311">
        <f>INDEX($A$27:$B$246,MATCH(IFERROR(IF(T46+$AW$5&lt;H46,H46,IF(T46+$AW$5&gt;L46,L46,T46+$AW$5)),0),$A$27:$A$246,1),2)</f>
        <v/>
      </c>
      <c r="AW46" s="311">
        <f>INDEX($A$27:$B$246,MATCH(IFERROR(IF(U46+$AW$5&lt;I46,I46,IF(U46+$AW$5&gt;M46,M46,U46+$AW$5)),0),$A$27:$A$246,1),2)</f>
        <v/>
      </c>
      <c r="AX46" s="311">
        <f>INDEX($A$27:$B$246,MATCH(IFERROR(IF(V46+$AW$5&lt;J46,J46,IF(V46+$AW$5&gt;N46,N46,V46+$AW$5)),0),$A$27:$A$246,1),2)</f>
        <v/>
      </c>
      <c r="AY46" s="311">
        <f>INDEX($A$27:$B$246,MATCH(IFERROR(IF(W46+$AW$5&lt;K46,K46,IF(W46+$AW$5&gt;O46,O46,W46+$AW$5)),0),$A$27:$A$246,1),2)</f>
        <v/>
      </c>
      <c r="AZ46" s="311">
        <f>INDEX($A$27:$B$246,MATCH(IFERROR(IF(T46+$BA$5&lt;H46,H46,IF(T46+$BA$5&gt;L46,L46,T46+$BA$5)),0),$A$27:$A$246,1),2)</f>
        <v/>
      </c>
      <c r="BA46" s="311">
        <f>INDEX($A$27:$B$246,MATCH(IFERROR(IF(U46+$BA$5&lt;I46,I46,IF(U46+$BA$5&gt;M46,M46,U46+$BA$5)),0),$A$27:$A$246,1),2)</f>
        <v/>
      </c>
      <c r="BB46" s="311">
        <f>INDEX($A$27:$B$246,MATCH(IFERROR(IF(V46+$BA$5&lt;J46,J46,IF(V46+$BA$5&gt;N46,N46,V46+$BA$5)),0),$A$27:$A$246,1),2)</f>
        <v/>
      </c>
      <c r="BC46" s="311">
        <f>INDEX($A$27:$B$246,MATCH(IFERROR(IF(W46+$BA$5&lt;K46,K46,IF(W46+$BA$5&gt;O46,O46,W46+$BA$5)),0),$A$27:$A$246,1),2)</f>
        <v/>
      </c>
      <c r="BD46" s="311" t="s">
        <v>8</v>
      </c>
      <c r="BE46" s="311" t="s">
        <v>8</v>
      </c>
      <c r="BF46" s="311" t="s">
        <v>8</v>
      </c>
      <c r="BG46" s="311" t="s">
        <v>8</v>
      </c>
    </row>
    <row r="47" spans="1:64">
      <c r="A47" s="313">
        <f>A46+$B$24</f>
        <v/>
      </c>
      <c r="B47" s="313">
        <f>B46+$B$24</f>
        <v/>
      </c>
      <c r="C47" s="314" t="n"/>
      <c r="D47" t="s">
        <v>150</v>
      </c>
      <c r="E47" s="34" t="s">
        <v>150</v>
      </c>
      <c r="F47" s="34" t="s">
        <v>260</v>
      </c>
      <c r="G47" s="34" t="n">
        <v>331</v>
      </c>
      <c r="H47" s="310" t="n">
        <v>1</v>
      </c>
      <c r="I47" s="310" t="n">
        <v>1</v>
      </c>
      <c r="J47" s="310" t="n">
        <v>1</v>
      </c>
      <c r="K47" s="310" t="n">
        <v>1</v>
      </c>
      <c r="L47" s="311">
        <f>H47*$B$1</f>
        <v/>
      </c>
      <c r="M47" s="311">
        <f>I47*$B$1</f>
        <v/>
      </c>
      <c r="N47" s="311">
        <f>J47*$B$1</f>
        <v/>
      </c>
      <c r="O47" s="311">
        <f>K47*$B$1</f>
        <v/>
      </c>
      <c r="P47" s="311">
        <f>IFERROR(MIN(VLOOKUP(E47,Detalle!A:AA,$P$6,0),VLOOKUP(E47,Detalle!A:AA,$P$7,0),VLOOKUP(E47,Detalle!A:AA,$P$4,0)),0)</f>
        <v/>
      </c>
      <c r="Q47" s="311">
        <f>IFERROR(MIN(VLOOKUP(E47,Detalle!A:AA,$Q$6,0),VLOOKUP(E47,Detalle!A:AA,$Q$7,0)),0)</f>
        <v/>
      </c>
      <c r="R47" s="311">
        <f>IFERROR(MIN(VLOOKUP(E47,Detalle!A:AA,$R$6,0),VLOOKUP(E47,Detalle!A:AA,$R$7,0)),0)</f>
        <v/>
      </c>
      <c r="S47" s="311">
        <f>IFERROR(MIN(VLOOKUP(E47,Detalle!A:AA,$S$6,0),VLOOKUP(E47,Detalle!A:AA,$S$7,0)),0)</f>
        <v/>
      </c>
      <c r="T47" s="311">
        <f>IFERROR(MAX(VLOOKUP(E47,Detalle!A:AA,$P$6,0),VLOOKUP(E47,Detalle!A:AA,$P$7,0),VLOOKUP(E47,Detalle!A:AA,$P$4,0)),0)</f>
        <v/>
      </c>
      <c r="U47" s="311">
        <f>IFERROR(MAX(VLOOKUP(E47,Detalle!A:AA,$Q$6,0),VLOOKUP(E47,Detalle!A:AA,$Q$7,0)),0)</f>
        <v/>
      </c>
      <c r="V47" s="311">
        <f>IFERROR(MAX(VLOOKUP(E47,Detalle!A:AA,$R$6,0),VLOOKUP(E47,Detalle!A:AA,$R$7,0)),0)</f>
        <v/>
      </c>
      <c r="W47" s="311">
        <f>IFERROR(MAX(VLOOKUP(E47,Detalle!A:AA,$S$6,0),VLOOKUP(E47,Detalle!A:AA,$S$7,0)),0)</f>
        <v/>
      </c>
      <c r="X47" s="311">
        <f>INDEX($A$27:$B$246,MATCH(IFERROR(IF(P47*(1+$Y$5)&lt;H47,H47,IF(P47*(1+$Y$5)&gt;L47,L47,P47*(1+$Y$5))),0),$A$27:$A$246,1),2)</f>
        <v/>
      </c>
      <c r="Y47" s="311">
        <f>INDEX($A$27:$B$246,MATCH(IFERROR(IF(Q47*(1+$Y$5)&lt;I47,I47,IF(Q47*(1+$Y$5)&gt;M47,M47,Q47*(1+$Y$5))),0),$A$27:$A$246,1),2)</f>
        <v/>
      </c>
      <c r="Z47" s="311">
        <f>INDEX($A$27:$B$246,MATCH(IFERROR(IF(R47*(1+$Y$5)&lt;J47,J47,IF(R47*(1+$Y$5)&gt;N47,N47,R47*(1+$Y$5))),0),$A$27:$A$246,1),2)</f>
        <v/>
      </c>
      <c r="AA47" s="311">
        <f>INDEX($A$27:$B$246,MATCH(IFERROR(IF(S47*(1+$Y$5)&lt;K47,K47,IF(S47*(1+$Y$5)&gt;O47,O47,S47*(1+$Y$5))),0),$A$27:$A$246,1),2)</f>
        <v/>
      </c>
      <c r="AB47" s="311">
        <f>INDEX($A$27:$B$246,MATCH(IFERROR(IF(P47-$AC$5&lt;H47,H47,IF(P47-$AC$5&gt;L47,L47,P47-$AC$5)),0),$A$27:$A$246,1),2)</f>
        <v/>
      </c>
      <c r="AC47" s="311">
        <f>INDEX($A$27:$B$246,MATCH(IFERROR(IF(Q47-$AC$5&lt;I47,I47,IF(Q47-$AC$5&gt;M47,M47,Q47-$AC$5)),0),$A$27:$A$246,1),2)</f>
        <v/>
      </c>
      <c r="AD47" s="311">
        <f>INDEX($A$27:$B$246,MATCH(IFERROR(IF(R47-$AC$5&lt;J47,J47,IF(R47-$AC$5&gt;N47,N47,R47-$AC$5)),0),$A$27:$A$246,1),2)</f>
        <v/>
      </c>
      <c r="AE47" s="311">
        <f>INDEX($A$27:$B$246,MATCH(IFERROR(IF(S47-$AC$5&lt;K47,K47,IF(S47-$AC$5&gt;O47,O47,S47-$AC$5)),0),$A$27:$A$246,1),2)</f>
        <v/>
      </c>
      <c r="AF47" s="311" t="s">
        <v>8</v>
      </c>
      <c r="AG47" s="311" t="s">
        <v>8</v>
      </c>
      <c r="AH47" s="311" t="s">
        <v>8</v>
      </c>
      <c r="AI47" s="311" t="s">
        <v>8</v>
      </c>
      <c r="AJ47" s="311">
        <f>INDEX($A$27:$B$246,MATCH(IFERROR(IF(T47&lt;H47,H47,IF(T47&gt;L47,L47,T47)),0),$A$27:$A$246,1),2)</f>
        <v/>
      </c>
      <c r="AK47" s="311">
        <f>INDEX($A$27:$B$246,MATCH(IFERROR(IF(U47&lt;I47,I47,IF(U47&gt;M47,M47,U47)),0),$A$27:$A$246,1),2)</f>
        <v/>
      </c>
      <c r="AL47" s="311">
        <f>INDEX($A$27:$B$246,MATCH(IFERROR(IF(V47&lt;J47,J47,IF(V47&gt;N47,N47,V47)),0),$A$27:$A$246,1),2)</f>
        <v/>
      </c>
      <c r="AM47" s="311">
        <f>INDEX($A$27:$B$246,MATCH(IFERROR(IF(W47&lt;K47,K47,IF(W47&gt;O47,O47,W47)),0),$A$27:$A$246,1),2)</f>
        <v/>
      </c>
      <c r="AN47" s="311">
        <f>INDEX($A$27:$B$246,MATCH(IFERROR(IF(T47&lt;H47,H47,IF(T47&gt;L47,L47,T47)),0),$A$27:$A$246,1),2)</f>
        <v/>
      </c>
      <c r="AO47" s="311">
        <f>INDEX($A$27:$B$246,MATCH(IFERROR(IF(U47&lt;I47,I47,IF(U47&gt;M47,M47,U47)),0),$A$27:$A$246,1),2)</f>
        <v/>
      </c>
      <c r="AP47" s="311">
        <f>INDEX($A$27:$B$246,MATCH(IFERROR(IF(V47&lt;J47,J47,IF(V47&gt;N47,N47,V47)),0),$A$27:$A$246,1),2)</f>
        <v/>
      </c>
      <c r="AQ47" s="311">
        <f>INDEX($A$27:$B$246,MATCH(IFERROR(IF(W47&lt;K47,K47,IF(W47&gt;O47,O47,W47)),0),$A$27:$A$246,1),2)</f>
        <v/>
      </c>
      <c r="AR47" s="311">
        <f>INDEX($A$27:$B$246,MATCH(IFERROR(IF(T47+$AS$5&lt;H47,H47,IF(T47+$AS$5&gt;L47,L47,T47+$AS$5)),0),$A$27:$A$246,1),2)</f>
        <v/>
      </c>
      <c r="AS47" s="311">
        <f>INDEX($A$27:$B$246,MATCH(IFERROR(IF(U47+$AS$5&lt;I47,I47,IF(U47+$AS$5&gt;M47,M47,U47+$AS$5)),0),$A$27:$A$246,1),2)</f>
        <v/>
      </c>
      <c r="AT47" s="311">
        <f>INDEX($A$27:$B$246,MATCH(IFERROR(IF(V47+$AS$5&lt;J47,J47,IF(V47+$AS$5&gt;N47,N47,V47+$AS$5)),0),$A$27:$A$246,1),2)</f>
        <v/>
      </c>
      <c r="AU47" s="311">
        <f>INDEX($A$27:$B$246,MATCH(IFERROR(IF(W47+$AS$5&lt;K47,K47,IF(W47+$AS$5&gt;O47,O47,W47+$AS$5)),0),$A$27:$A$246,1),2)</f>
        <v/>
      </c>
      <c r="AV47" s="311">
        <f>INDEX($A$27:$B$246,MATCH(IFERROR(IF(T47+$AW$5&lt;H47,H47,IF(T47+$AW$5&gt;L47,L47,T47+$AW$5)),0),$A$27:$A$246,1),2)</f>
        <v/>
      </c>
      <c r="AW47" s="311">
        <f>INDEX($A$27:$B$246,MATCH(IFERROR(IF(U47+$AW$5&lt;I47,I47,IF(U47+$AW$5&gt;M47,M47,U47+$AW$5)),0),$A$27:$A$246,1),2)</f>
        <v/>
      </c>
      <c r="AX47" s="311">
        <f>INDEX($A$27:$B$246,MATCH(IFERROR(IF(V47+$AW$5&lt;J47,J47,IF(V47+$AW$5&gt;N47,N47,V47+$AW$5)),0),$A$27:$A$246,1),2)</f>
        <v/>
      </c>
      <c r="AY47" s="311">
        <f>INDEX($A$27:$B$246,MATCH(IFERROR(IF(W47+$AW$5&lt;K47,K47,IF(W47+$AW$5&gt;O47,O47,W47+$AW$5)),0),$A$27:$A$246,1),2)</f>
        <v/>
      </c>
      <c r="AZ47" s="311">
        <f>INDEX($A$27:$B$246,MATCH(IFERROR(IF(T47+$BA$5&lt;H47,H47,IF(T47+$BA$5&gt;L47,L47,T47+$BA$5)),0),$A$27:$A$246,1),2)</f>
        <v/>
      </c>
      <c r="BA47" s="311">
        <f>INDEX($A$27:$B$246,MATCH(IFERROR(IF(U47+$BA$5&lt;I47,I47,IF(U47+$BA$5&gt;M47,M47,U47+$BA$5)),0),$A$27:$A$246,1),2)</f>
        <v/>
      </c>
      <c r="BB47" s="311">
        <f>INDEX($A$27:$B$246,MATCH(IFERROR(IF(V47+$BA$5&lt;J47,J47,IF(V47+$BA$5&gt;N47,N47,V47+$BA$5)),0),$A$27:$A$246,1),2)</f>
        <v/>
      </c>
      <c r="BC47" s="311">
        <f>INDEX($A$27:$B$246,MATCH(IFERROR(IF(W47+$BA$5&lt;K47,K47,IF(W47+$BA$5&gt;O47,O47,W47+$BA$5)),0),$A$27:$A$246,1),2)</f>
        <v/>
      </c>
      <c r="BD47" s="311" t="s">
        <v>8</v>
      </c>
      <c r="BE47" s="311" t="s">
        <v>8</v>
      </c>
      <c r="BF47" s="311" t="s">
        <v>8</v>
      </c>
      <c r="BG47" s="311" t="s">
        <v>8</v>
      </c>
    </row>
    <row r="48" spans="1:64">
      <c r="A48" s="313">
        <f>A47+$B$24</f>
        <v/>
      </c>
      <c r="B48" s="313">
        <f>B47+$B$24</f>
        <v/>
      </c>
      <c r="C48" s="314" t="n"/>
      <c r="D48" t="s">
        <v>116</v>
      </c>
      <c r="E48" s="34" t="s">
        <v>116</v>
      </c>
      <c r="F48" s="34" t="s">
        <v>260</v>
      </c>
      <c r="G48" s="34" t="n">
        <v>332</v>
      </c>
      <c r="H48" s="310" t="n">
        <v>1</v>
      </c>
      <c r="I48" s="310" t="n">
        <v>1</v>
      </c>
      <c r="J48" s="310" t="n">
        <v>1</v>
      </c>
      <c r="K48" s="310" t="n">
        <v>1</v>
      </c>
      <c r="L48" s="311">
        <f>H48*$B$1</f>
        <v/>
      </c>
      <c r="M48" s="311">
        <f>I48*$B$1</f>
        <v/>
      </c>
      <c r="N48" s="311">
        <f>J48*$B$1</f>
        <v/>
      </c>
      <c r="O48" s="311">
        <f>K48*$B$1</f>
        <v/>
      </c>
      <c r="P48" s="311">
        <f>IFERROR(MIN(VLOOKUP(E48,Detalle!A:AA,$P$6,0),VLOOKUP(E48,Detalle!A:AA,$P$7,0),VLOOKUP(E48,Detalle!A:AA,$P$4,0)),0)</f>
        <v/>
      </c>
      <c r="Q48" s="311">
        <f>IFERROR(MIN(VLOOKUP(E48,Detalle!A:AA,$Q$6,0),VLOOKUP(E48,Detalle!A:AA,$Q$7,0)),0)</f>
        <v/>
      </c>
      <c r="R48" s="311">
        <f>IFERROR(MIN(VLOOKUP(E48,Detalle!A:AA,$R$6,0),VLOOKUP(E48,Detalle!A:AA,$R$7,0)),0)</f>
        <v/>
      </c>
      <c r="S48" s="311">
        <f>IFERROR(MIN(VLOOKUP(E48,Detalle!A:AA,$S$6,0),VLOOKUP(E48,Detalle!A:AA,$S$7,0)),0)</f>
        <v/>
      </c>
      <c r="T48" s="311">
        <f>IFERROR(MAX(VLOOKUP(E48,Detalle!A:AA,$P$6,0),VLOOKUP(E48,Detalle!A:AA,$P$7,0),VLOOKUP(E48,Detalle!A:AA,$P$4,0)),0)</f>
        <v/>
      </c>
      <c r="U48" s="311">
        <f>IFERROR(MAX(VLOOKUP(E48,Detalle!A:AA,$Q$6,0),VLOOKUP(E48,Detalle!A:AA,$Q$7,0)),0)</f>
        <v/>
      </c>
      <c r="V48" s="311">
        <f>IFERROR(MAX(VLOOKUP(E48,Detalle!A:AA,$R$6,0),VLOOKUP(E48,Detalle!A:AA,$R$7,0)),0)</f>
        <v/>
      </c>
      <c r="W48" s="311">
        <f>IFERROR(MAX(VLOOKUP(E48,Detalle!A:AA,$S$6,0),VLOOKUP(E48,Detalle!A:AA,$S$7,0)),0)</f>
        <v/>
      </c>
      <c r="X48" s="311">
        <f>INDEX($A$27:$B$246,MATCH(IFERROR(IF(P48*(1+$Y$5)&lt;H48,H48,IF(P48*(1+$Y$5)&gt;L48,L48,P48*(1+$Y$5))),0),$A$27:$A$246,1),2)</f>
        <v/>
      </c>
      <c r="Y48" s="311">
        <f>INDEX($A$27:$B$246,MATCH(IFERROR(IF(Q48*(1+$Y$5)&lt;I48,I48,IF(Q48*(1+$Y$5)&gt;M48,M48,Q48*(1+$Y$5))),0),$A$27:$A$246,1),2)</f>
        <v/>
      </c>
      <c r="Z48" s="311">
        <f>INDEX($A$27:$B$246,MATCH(IFERROR(IF(R48*(1+$Y$5)&lt;J48,J48,IF(R48*(1+$Y$5)&gt;N48,N48,R48*(1+$Y$5))),0),$A$27:$A$246,1),2)</f>
        <v/>
      </c>
      <c r="AA48" s="311">
        <f>INDEX($A$27:$B$246,MATCH(IFERROR(IF(S48*(1+$Y$5)&lt;K48,K48,IF(S48*(1+$Y$5)&gt;O48,O48,S48*(1+$Y$5))),0),$A$27:$A$246,1),2)</f>
        <v/>
      </c>
      <c r="AB48" s="311">
        <f>INDEX($A$27:$B$246,MATCH(IFERROR(IF(P48-$AC$5&lt;H48,H48,IF(P48-$AC$5&gt;L48,L48,P48-$AC$5)),0),$A$27:$A$246,1),2)</f>
        <v/>
      </c>
      <c r="AC48" s="311">
        <f>INDEX($A$27:$B$246,MATCH(IFERROR(IF(Q48-$AC$5&lt;I48,I48,IF(Q48-$AC$5&gt;M48,M48,Q48-$AC$5)),0),$A$27:$A$246,1),2)</f>
        <v/>
      </c>
      <c r="AD48" s="311">
        <f>INDEX($A$27:$B$246,MATCH(IFERROR(IF(R48-$AC$5&lt;J48,J48,IF(R48-$AC$5&gt;N48,N48,R48-$AC$5)),0),$A$27:$A$246,1),2)</f>
        <v/>
      </c>
      <c r="AE48" s="311">
        <f>INDEX($A$27:$B$246,MATCH(IFERROR(IF(S48-$AC$5&lt;K48,K48,IF(S48-$AC$5&gt;O48,O48,S48-$AC$5)),0),$A$27:$A$246,1),2)</f>
        <v/>
      </c>
      <c r="AF48" s="311" t="s">
        <v>8</v>
      </c>
      <c r="AG48" s="311" t="s">
        <v>8</v>
      </c>
      <c r="AH48" s="311" t="s">
        <v>8</v>
      </c>
      <c r="AI48" s="311" t="s">
        <v>8</v>
      </c>
      <c r="AJ48" s="311">
        <f>INDEX($A$27:$B$246,MATCH(IFERROR(IF(T48&lt;H48,H48,IF(T48&gt;L48,L48,T48)),0),$A$27:$A$246,1),2)</f>
        <v/>
      </c>
      <c r="AK48" s="311">
        <f>INDEX($A$27:$B$246,MATCH(IFERROR(IF(U48&lt;I48,I48,IF(U48&gt;M48,M48,U48)),0),$A$27:$A$246,1),2)</f>
        <v/>
      </c>
      <c r="AL48" s="311">
        <f>INDEX($A$27:$B$246,MATCH(IFERROR(IF(V48&lt;J48,J48,IF(V48&gt;N48,N48,V48)),0),$A$27:$A$246,1),2)</f>
        <v/>
      </c>
      <c r="AM48" s="311">
        <f>INDEX($A$27:$B$246,MATCH(IFERROR(IF(W48&lt;K48,K48,IF(W48&gt;O48,O48,W48)),0),$A$27:$A$246,1),2)</f>
        <v/>
      </c>
      <c r="AN48" s="311">
        <f>INDEX($A$27:$B$246,MATCH(IFERROR(IF(T48&lt;H48,H48,IF(T48&gt;L48,L48,T48)),0),$A$27:$A$246,1),2)</f>
        <v/>
      </c>
      <c r="AO48" s="311">
        <f>INDEX($A$27:$B$246,MATCH(IFERROR(IF(U48&lt;I48,I48,IF(U48&gt;M48,M48,U48)),0),$A$27:$A$246,1),2)</f>
        <v/>
      </c>
      <c r="AP48" s="311">
        <f>INDEX($A$27:$B$246,MATCH(IFERROR(IF(V48&lt;J48,J48,IF(V48&gt;N48,N48,V48)),0),$A$27:$A$246,1),2)</f>
        <v/>
      </c>
      <c r="AQ48" s="311">
        <f>INDEX($A$27:$B$246,MATCH(IFERROR(IF(W48&lt;K48,K48,IF(W48&gt;O48,O48,W48)),0),$A$27:$A$246,1),2)</f>
        <v/>
      </c>
      <c r="AR48" s="311">
        <f>INDEX($A$27:$B$246,MATCH(IFERROR(IF(T48+$AS$5&lt;H48,H48,IF(T48+$AS$5&gt;L48,L48,T48+$AS$5)),0),$A$27:$A$246,1),2)</f>
        <v/>
      </c>
      <c r="AS48" s="311">
        <f>INDEX($A$27:$B$246,MATCH(IFERROR(IF(U48+$AS$5&lt;I48,I48,IF(U48+$AS$5&gt;M48,M48,U48+$AS$5)),0),$A$27:$A$246,1),2)</f>
        <v/>
      </c>
      <c r="AT48" s="311">
        <f>INDEX($A$27:$B$246,MATCH(IFERROR(IF(V48+$AS$5&lt;J48,J48,IF(V48+$AS$5&gt;N48,N48,V48+$AS$5)),0),$A$27:$A$246,1),2)</f>
        <v/>
      </c>
      <c r="AU48" s="311">
        <f>INDEX($A$27:$B$246,MATCH(IFERROR(IF(W48+$AS$5&lt;K48,K48,IF(W48+$AS$5&gt;O48,O48,W48+$AS$5)),0),$A$27:$A$246,1),2)</f>
        <v/>
      </c>
      <c r="AV48" s="311">
        <f>INDEX($A$27:$B$246,MATCH(IFERROR(IF(T48+$AW$5&lt;H48,H48,IF(T48+$AW$5&gt;L48,L48,T48+$AW$5)),0),$A$27:$A$246,1),2)</f>
        <v/>
      </c>
      <c r="AW48" s="311">
        <f>INDEX($A$27:$B$246,MATCH(IFERROR(IF(U48+$AW$5&lt;I48,I48,IF(U48+$AW$5&gt;M48,M48,U48+$AW$5)),0),$A$27:$A$246,1),2)</f>
        <v/>
      </c>
      <c r="AX48" s="311">
        <f>INDEX($A$27:$B$246,MATCH(IFERROR(IF(V48+$AW$5&lt;J48,J48,IF(V48+$AW$5&gt;N48,N48,V48+$AW$5)),0),$A$27:$A$246,1),2)</f>
        <v/>
      </c>
      <c r="AY48" s="311">
        <f>INDEX($A$27:$B$246,MATCH(IFERROR(IF(W48+$AW$5&lt;K48,K48,IF(W48+$AW$5&gt;O48,O48,W48+$AW$5)),0),$A$27:$A$246,1),2)</f>
        <v/>
      </c>
      <c r="AZ48" s="311">
        <f>INDEX($A$27:$B$246,MATCH(IFERROR(IF(T48+$BA$5&lt;H48,H48,IF(T48+$BA$5&gt;L48,L48,T48+$BA$5)),0),$A$27:$A$246,1),2)</f>
        <v/>
      </c>
      <c r="BA48" s="311">
        <f>INDEX($A$27:$B$246,MATCH(IFERROR(IF(U48+$BA$5&lt;I48,I48,IF(U48+$BA$5&gt;M48,M48,U48+$BA$5)),0),$A$27:$A$246,1),2)</f>
        <v/>
      </c>
      <c r="BB48" s="311">
        <f>INDEX($A$27:$B$246,MATCH(IFERROR(IF(V48+$BA$5&lt;J48,J48,IF(V48+$BA$5&gt;N48,N48,V48+$BA$5)),0),$A$27:$A$246,1),2)</f>
        <v/>
      </c>
      <c r="BC48" s="311">
        <f>INDEX($A$27:$B$246,MATCH(IFERROR(IF(W48+$BA$5&lt;K48,K48,IF(W48+$BA$5&gt;O48,O48,W48+$BA$5)),0),$A$27:$A$246,1),2)</f>
        <v/>
      </c>
      <c r="BD48" s="311" t="s">
        <v>8</v>
      </c>
      <c r="BE48" s="311" t="s">
        <v>8</v>
      </c>
      <c r="BF48" s="311" t="s">
        <v>8</v>
      </c>
      <c r="BG48" s="311" t="s">
        <v>8</v>
      </c>
    </row>
    <row r="49" spans="1:64">
      <c r="A49" s="313">
        <f>A48+$B$24</f>
        <v/>
      </c>
      <c r="B49" s="313">
        <f>B48+$B$24</f>
        <v/>
      </c>
      <c r="C49" s="314" t="n"/>
      <c r="D49" t="s">
        <v>117</v>
      </c>
      <c r="E49" s="34" t="s">
        <v>117</v>
      </c>
      <c r="F49" s="34" t="s">
        <v>260</v>
      </c>
      <c r="G49" s="34" t="n">
        <v>333</v>
      </c>
      <c r="H49" s="310" t="n">
        <v>1</v>
      </c>
      <c r="I49" s="310" t="n">
        <v>1</v>
      </c>
      <c r="J49" s="310" t="n">
        <v>1</v>
      </c>
      <c r="K49" s="310" t="n">
        <v>1</v>
      </c>
      <c r="L49" s="311">
        <f>H49*$B$1</f>
        <v/>
      </c>
      <c r="M49" s="311">
        <f>I49*$B$1</f>
        <v/>
      </c>
      <c r="N49" s="311">
        <f>J49*$B$1</f>
        <v/>
      </c>
      <c r="O49" s="311">
        <f>K49*$B$1</f>
        <v/>
      </c>
      <c r="P49" s="311">
        <f>IFERROR(MIN(VLOOKUP(E49,Detalle!A:AA,$P$6,0),VLOOKUP(E49,Detalle!A:AA,$P$7,0),VLOOKUP(E49,Detalle!A:AA,$P$4,0)),0)</f>
        <v/>
      </c>
      <c r="Q49" s="311">
        <f>IFERROR(MIN(VLOOKUP(E49,Detalle!A:AA,$Q$6,0),VLOOKUP(E49,Detalle!A:AA,$Q$7,0)),0)</f>
        <v/>
      </c>
      <c r="R49" s="311">
        <f>IFERROR(MIN(VLOOKUP(E49,Detalle!A:AA,$R$6,0),VLOOKUP(E49,Detalle!A:AA,$R$7,0)),0)</f>
        <v/>
      </c>
      <c r="S49" s="311">
        <f>IFERROR(MIN(VLOOKUP(E49,Detalle!A:AA,$S$6,0),VLOOKUP(E49,Detalle!A:AA,$S$7,0)),0)</f>
        <v/>
      </c>
      <c r="T49" s="311">
        <f>IFERROR(MAX(VLOOKUP(E49,Detalle!A:AA,$P$6,0),VLOOKUP(E49,Detalle!A:AA,$P$7,0),VLOOKUP(E49,Detalle!A:AA,$P$4,0)),0)</f>
        <v/>
      </c>
      <c r="U49" s="311">
        <f>IFERROR(MAX(VLOOKUP(E49,Detalle!A:AA,$Q$6,0),VLOOKUP(E49,Detalle!A:AA,$Q$7,0)),0)</f>
        <v/>
      </c>
      <c r="V49" s="311">
        <f>IFERROR(MAX(VLOOKUP(E49,Detalle!A:AA,$R$6,0),VLOOKUP(E49,Detalle!A:AA,$R$7,0)),0)</f>
        <v/>
      </c>
      <c r="W49" s="311">
        <f>IFERROR(MAX(VLOOKUP(E49,Detalle!A:AA,$S$6,0),VLOOKUP(E49,Detalle!A:AA,$S$7,0)),0)</f>
        <v/>
      </c>
      <c r="X49" s="311">
        <f>INDEX($A$27:$B$246,MATCH(IFERROR(IF(P49*(1+$Y$5)&lt;H49,H49,IF(P49*(1+$Y$5)&gt;L49,L49,P49*(1+$Y$5))),0),$A$27:$A$246,1),2)</f>
        <v/>
      </c>
      <c r="Y49" s="311">
        <f>INDEX($A$27:$B$246,MATCH(IFERROR(IF(Q49*(1+$Y$5)&lt;I49,I49,IF(Q49*(1+$Y$5)&gt;M49,M49,Q49*(1+$Y$5))),0),$A$27:$A$246,1),2)</f>
        <v/>
      </c>
      <c r="Z49" s="311">
        <f>INDEX($A$27:$B$246,MATCH(IFERROR(IF(R49*(1+$Y$5)&lt;J49,J49,IF(R49*(1+$Y$5)&gt;N49,N49,R49*(1+$Y$5))),0),$A$27:$A$246,1),2)</f>
        <v/>
      </c>
      <c r="AA49" s="311">
        <f>INDEX($A$27:$B$246,MATCH(IFERROR(IF(S49*(1+$Y$5)&lt;K49,K49,IF(S49*(1+$Y$5)&gt;O49,O49,S49*(1+$Y$5))),0),$A$27:$A$246,1),2)</f>
        <v/>
      </c>
      <c r="AB49" s="311">
        <f>INDEX($A$27:$B$246,MATCH(IFERROR(IF(P49-$AC$5&lt;H49,H49,IF(P49-$AC$5&gt;L49,L49,P49-$AC$5)),0),$A$27:$A$246,1),2)</f>
        <v/>
      </c>
      <c r="AC49" s="311">
        <f>INDEX($A$27:$B$246,MATCH(IFERROR(IF(Q49-$AC$5&lt;I49,I49,IF(Q49-$AC$5&gt;M49,M49,Q49-$AC$5)),0),$A$27:$A$246,1),2)</f>
        <v/>
      </c>
      <c r="AD49" s="311">
        <f>INDEX($A$27:$B$246,MATCH(IFERROR(IF(R49-$AC$5&lt;J49,J49,IF(R49-$AC$5&gt;N49,N49,R49-$AC$5)),0),$A$27:$A$246,1),2)</f>
        <v/>
      </c>
      <c r="AE49" s="311">
        <f>INDEX($A$27:$B$246,MATCH(IFERROR(IF(S49-$AC$5&lt;K49,K49,IF(S49-$AC$5&gt;O49,O49,S49-$AC$5)),0),$A$27:$A$246,1),2)</f>
        <v/>
      </c>
      <c r="AF49" s="311" t="s">
        <v>8</v>
      </c>
      <c r="AG49" s="311" t="s">
        <v>8</v>
      </c>
      <c r="AH49" s="311" t="s">
        <v>8</v>
      </c>
      <c r="AI49" s="311" t="s">
        <v>8</v>
      </c>
      <c r="AJ49" s="311">
        <f>INDEX($A$27:$B$246,MATCH(IFERROR(IF(T49&lt;H49,H49,IF(T49&gt;L49,L49,T49)),0),$A$27:$A$246,1),2)</f>
        <v/>
      </c>
      <c r="AK49" s="311">
        <f>INDEX($A$27:$B$246,MATCH(IFERROR(IF(U49&lt;I49,I49,IF(U49&gt;M49,M49,U49)),0),$A$27:$A$246,1),2)</f>
        <v/>
      </c>
      <c r="AL49" s="311">
        <f>INDEX($A$27:$B$246,MATCH(IFERROR(IF(V49&lt;J49,J49,IF(V49&gt;N49,N49,V49)),0),$A$27:$A$246,1),2)</f>
        <v/>
      </c>
      <c r="AM49" s="311">
        <f>INDEX($A$27:$B$246,MATCH(IFERROR(IF(W49&lt;K49,K49,IF(W49&gt;O49,O49,W49)),0),$A$27:$A$246,1),2)</f>
        <v/>
      </c>
      <c r="AN49" s="311">
        <f>INDEX($A$27:$B$246,MATCH(IFERROR(IF(T49&lt;H49,H49,IF(T49&gt;L49,L49,T49)),0),$A$27:$A$246,1),2)</f>
        <v/>
      </c>
      <c r="AO49" s="311">
        <f>INDEX($A$27:$B$246,MATCH(IFERROR(IF(U49&lt;I49,I49,IF(U49&gt;M49,M49,U49)),0),$A$27:$A$246,1),2)</f>
        <v/>
      </c>
      <c r="AP49" s="311">
        <f>INDEX($A$27:$B$246,MATCH(IFERROR(IF(V49&lt;J49,J49,IF(V49&gt;N49,N49,V49)),0),$A$27:$A$246,1),2)</f>
        <v/>
      </c>
      <c r="AQ49" s="311">
        <f>INDEX($A$27:$B$246,MATCH(IFERROR(IF(W49&lt;K49,K49,IF(W49&gt;O49,O49,W49)),0),$A$27:$A$246,1),2)</f>
        <v/>
      </c>
      <c r="AR49" s="311">
        <f>INDEX($A$27:$B$246,MATCH(IFERROR(IF(T49+$AS$5&lt;H49,H49,IF(T49+$AS$5&gt;L49,L49,T49+$AS$5)),0),$A$27:$A$246,1),2)</f>
        <v/>
      </c>
      <c r="AS49" s="311">
        <f>INDEX($A$27:$B$246,MATCH(IFERROR(IF(U49+$AS$5&lt;I49,I49,IF(U49+$AS$5&gt;M49,M49,U49+$AS$5)),0),$A$27:$A$246,1),2)</f>
        <v/>
      </c>
      <c r="AT49" s="311">
        <f>INDEX($A$27:$B$246,MATCH(IFERROR(IF(V49+$AS$5&lt;J49,J49,IF(V49+$AS$5&gt;N49,N49,V49+$AS$5)),0),$A$27:$A$246,1),2)</f>
        <v/>
      </c>
      <c r="AU49" s="311">
        <f>INDEX($A$27:$B$246,MATCH(IFERROR(IF(W49+$AS$5&lt;K49,K49,IF(W49+$AS$5&gt;O49,O49,W49+$AS$5)),0),$A$27:$A$246,1),2)</f>
        <v/>
      </c>
      <c r="AV49" s="311">
        <f>INDEX($A$27:$B$246,MATCH(IFERROR(IF(T49+$AW$5&lt;H49,H49,IF(T49+$AW$5&gt;L49,L49,T49+$AW$5)),0),$A$27:$A$246,1),2)</f>
        <v/>
      </c>
      <c r="AW49" s="311">
        <f>INDEX($A$27:$B$246,MATCH(IFERROR(IF(U49+$AW$5&lt;I49,I49,IF(U49+$AW$5&gt;M49,M49,U49+$AW$5)),0),$A$27:$A$246,1),2)</f>
        <v/>
      </c>
      <c r="AX49" s="311">
        <f>INDEX($A$27:$B$246,MATCH(IFERROR(IF(V49+$AW$5&lt;J49,J49,IF(V49+$AW$5&gt;N49,N49,V49+$AW$5)),0),$A$27:$A$246,1),2)</f>
        <v/>
      </c>
      <c r="AY49" s="311">
        <f>INDEX($A$27:$B$246,MATCH(IFERROR(IF(W49+$AW$5&lt;K49,K49,IF(W49+$AW$5&gt;O49,O49,W49+$AW$5)),0),$A$27:$A$246,1),2)</f>
        <v/>
      </c>
      <c r="AZ49" s="311">
        <f>INDEX($A$27:$B$246,MATCH(IFERROR(IF(T49+$BA$5&lt;H49,H49,IF(T49+$BA$5&gt;L49,L49,T49+$BA$5)),0),$A$27:$A$246,1),2)</f>
        <v/>
      </c>
      <c r="BA49" s="311">
        <f>INDEX($A$27:$B$246,MATCH(IFERROR(IF(U49+$BA$5&lt;I49,I49,IF(U49+$BA$5&gt;M49,M49,U49+$BA$5)),0),$A$27:$A$246,1),2)</f>
        <v/>
      </c>
      <c r="BB49" s="311">
        <f>INDEX($A$27:$B$246,MATCH(IFERROR(IF(V49+$BA$5&lt;J49,J49,IF(V49+$BA$5&gt;N49,N49,V49+$BA$5)),0),$A$27:$A$246,1),2)</f>
        <v/>
      </c>
      <c r="BC49" s="311">
        <f>INDEX($A$27:$B$246,MATCH(IFERROR(IF(W49+$BA$5&lt;K49,K49,IF(W49+$BA$5&gt;O49,O49,W49+$BA$5)),0),$A$27:$A$246,1),2)</f>
        <v/>
      </c>
      <c r="BD49" s="311" t="s">
        <v>8</v>
      </c>
      <c r="BE49" s="311" t="s">
        <v>8</v>
      </c>
      <c r="BF49" s="311" t="s">
        <v>8</v>
      </c>
      <c r="BG49" s="311" t="s">
        <v>8</v>
      </c>
    </row>
    <row r="50" spans="1:64">
      <c r="A50" s="313">
        <f>A49+$B$24</f>
        <v/>
      </c>
      <c r="B50" s="313">
        <f>B49+$B$24</f>
        <v/>
      </c>
      <c r="C50" s="314" t="n"/>
      <c r="D50" t="s">
        <v>118</v>
      </c>
      <c r="E50" s="34" t="s">
        <v>118</v>
      </c>
      <c r="F50" s="34" t="s">
        <v>260</v>
      </c>
      <c r="G50" s="34" t="n">
        <v>334</v>
      </c>
      <c r="H50" s="310" t="n">
        <v>1</v>
      </c>
      <c r="I50" s="310" t="n">
        <v>1</v>
      </c>
      <c r="J50" s="310" t="n">
        <v>1</v>
      </c>
      <c r="K50" s="310" t="n">
        <v>1</v>
      </c>
      <c r="L50" s="311">
        <f>H50*$B$1</f>
        <v/>
      </c>
      <c r="M50" s="311">
        <f>I50*$B$1</f>
        <v/>
      </c>
      <c r="N50" s="311">
        <f>J50*$B$1</f>
        <v/>
      </c>
      <c r="O50" s="311">
        <f>K50*$B$1</f>
        <v/>
      </c>
      <c r="P50" s="311">
        <f>IFERROR(MIN(VLOOKUP(E50,Detalle!A:AA,$P$6,0),VLOOKUP(E50,Detalle!A:AA,$P$7,0),VLOOKUP(E50,Detalle!A:AA,$P$4,0)),0)</f>
        <v/>
      </c>
      <c r="Q50" s="311">
        <f>IFERROR(MIN(VLOOKUP(E50,Detalle!A:AA,$Q$6,0),VLOOKUP(E50,Detalle!A:AA,$Q$7,0)),0)</f>
        <v/>
      </c>
      <c r="R50" s="311">
        <f>IFERROR(MIN(VLOOKUP(E50,Detalle!A:AA,$R$6,0),VLOOKUP(E50,Detalle!A:AA,$R$7,0)),0)</f>
        <v/>
      </c>
      <c r="S50" s="311">
        <f>IFERROR(MIN(VLOOKUP(E50,Detalle!A:AA,$S$6,0),VLOOKUP(E50,Detalle!A:AA,$S$7,0)),0)</f>
        <v/>
      </c>
      <c r="T50" s="311">
        <f>IFERROR(MAX(VLOOKUP(E50,Detalle!A:AA,$P$6,0),VLOOKUP(E50,Detalle!A:AA,$P$7,0),VLOOKUP(E50,Detalle!A:AA,$P$4,0)),0)</f>
        <v/>
      </c>
      <c r="U50" s="311">
        <f>IFERROR(MAX(VLOOKUP(E50,Detalle!A:AA,$Q$6,0),VLOOKUP(E50,Detalle!A:AA,$Q$7,0)),0)</f>
        <v/>
      </c>
      <c r="V50" s="311">
        <f>IFERROR(MAX(VLOOKUP(E50,Detalle!A:AA,$R$6,0),VLOOKUP(E50,Detalle!A:AA,$R$7,0)),0)</f>
        <v/>
      </c>
      <c r="W50" s="311">
        <f>IFERROR(MAX(VLOOKUP(E50,Detalle!A:AA,$S$6,0),VLOOKUP(E50,Detalle!A:AA,$S$7,0)),0)</f>
        <v/>
      </c>
      <c r="X50" s="311">
        <f>INDEX($A$27:$B$246,MATCH(IFERROR(IF(P50*(1+$Y$5)&lt;H50,H50,IF(P50*(1+$Y$5)&gt;L50,L50,P50*(1+$Y$5))),0),$A$27:$A$246,1),2)</f>
        <v/>
      </c>
      <c r="Y50" s="311">
        <f>INDEX($A$27:$B$246,MATCH(IFERROR(IF(Q50*(1+$Y$5)&lt;I50,I50,IF(Q50*(1+$Y$5)&gt;M50,M50,Q50*(1+$Y$5))),0),$A$27:$A$246,1),2)</f>
        <v/>
      </c>
      <c r="Z50" s="311">
        <f>INDEX($A$27:$B$246,MATCH(IFERROR(IF(R50*(1+$Y$5)&lt;J50,J50,IF(R50*(1+$Y$5)&gt;N50,N50,R50*(1+$Y$5))),0),$A$27:$A$246,1),2)</f>
        <v/>
      </c>
      <c r="AA50" s="311">
        <f>INDEX($A$27:$B$246,MATCH(IFERROR(IF(S50*(1+$Y$5)&lt;K50,K50,IF(S50*(1+$Y$5)&gt;O50,O50,S50*(1+$Y$5))),0),$A$27:$A$246,1),2)</f>
        <v/>
      </c>
      <c r="AB50" s="311">
        <f>INDEX($A$27:$B$246,MATCH(IFERROR(IF(P50-$AC$5&lt;H50,H50,IF(P50-$AC$5&gt;L50,L50,P50-$AC$5)),0),$A$27:$A$246,1),2)</f>
        <v/>
      </c>
      <c r="AC50" s="311">
        <f>INDEX($A$27:$B$246,MATCH(IFERROR(IF(Q50-$AC$5&lt;I50,I50,IF(Q50-$AC$5&gt;M50,M50,Q50-$AC$5)),0),$A$27:$A$246,1),2)</f>
        <v/>
      </c>
      <c r="AD50" s="311">
        <f>INDEX($A$27:$B$246,MATCH(IFERROR(IF(R50-$AC$5&lt;J50,J50,IF(R50-$AC$5&gt;N50,N50,R50-$AC$5)),0),$A$27:$A$246,1),2)</f>
        <v/>
      </c>
      <c r="AE50" s="311">
        <f>INDEX($A$27:$B$246,MATCH(IFERROR(IF(S50-$AC$5&lt;K50,K50,IF(S50-$AC$5&gt;O50,O50,S50-$AC$5)),0),$A$27:$A$246,1),2)</f>
        <v/>
      </c>
      <c r="AF50" s="311" t="s">
        <v>8</v>
      </c>
      <c r="AG50" s="311" t="s">
        <v>8</v>
      </c>
      <c r="AH50" s="311" t="s">
        <v>8</v>
      </c>
      <c r="AI50" s="311" t="s">
        <v>8</v>
      </c>
      <c r="AJ50" s="311">
        <f>INDEX($A$27:$B$246,MATCH(IFERROR(IF(T50&lt;H50,H50,IF(T50&gt;L50,L50,T50)),0),$A$27:$A$246,1),2)</f>
        <v/>
      </c>
      <c r="AK50" s="311">
        <f>INDEX($A$27:$B$246,MATCH(IFERROR(IF(U50&lt;I50,I50,IF(U50&gt;M50,M50,U50)),0),$A$27:$A$246,1),2)</f>
        <v/>
      </c>
      <c r="AL50" s="311">
        <f>INDEX($A$27:$B$246,MATCH(IFERROR(IF(V50&lt;J50,J50,IF(V50&gt;N50,N50,V50)),0),$A$27:$A$246,1),2)</f>
        <v/>
      </c>
      <c r="AM50" s="311">
        <f>INDEX($A$27:$B$246,MATCH(IFERROR(IF(W50&lt;K50,K50,IF(W50&gt;O50,O50,W50)),0),$A$27:$A$246,1),2)</f>
        <v/>
      </c>
      <c r="AN50" s="311">
        <f>INDEX($A$27:$B$246,MATCH(IFERROR(IF(T50&lt;H50,H50,IF(T50&gt;L50,L50,T50)),0),$A$27:$A$246,1),2)</f>
        <v/>
      </c>
      <c r="AO50" s="311">
        <f>INDEX($A$27:$B$246,MATCH(IFERROR(IF(U50&lt;I50,I50,IF(U50&gt;M50,M50,U50)),0),$A$27:$A$246,1),2)</f>
        <v/>
      </c>
      <c r="AP50" s="311">
        <f>INDEX($A$27:$B$246,MATCH(IFERROR(IF(V50&lt;J50,J50,IF(V50&gt;N50,N50,V50)),0),$A$27:$A$246,1),2)</f>
        <v/>
      </c>
      <c r="AQ50" s="311">
        <f>INDEX($A$27:$B$246,MATCH(IFERROR(IF(W50&lt;K50,K50,IF(W50&gt;O50,O50,W50)),0),$A$27:$A$246,1),2)</f>
        <v/>
      </c>
      <c r="AR50" s="311">
        <f>INDEX($A$27:$B$246,MATCH(IFERROR(IF(T50+$AS$5&lt;H50,H50,IF(T50+$AS$5&gt;L50,L50,T50+$AS$5)),0),$A$27:$A$246,1),2)</f>
        <v/>
      </c>
      <c r="AS50" s="311">
        <f>INDEX($A$27:$B$246,MATCH(IFERROR(IF(U50+$AS$5&lt;I50,I50,IF(U50+$AS$5&gt;M50,M50,U50+$AS$5)),0),$A$27:$A$246,1),2)</f>
        <v/>
      </c>
      <c r="AT50" s="311">
        <f>INDEX($A$27:$B$246,MATCH(IFERROR(IF(V50+$AS$5&lt;J50,J50,IF(V50+$AS$5&gt;N50,N50,V50+$AS$5)),0),$A$27:$A$246,1),2)</f>
        <v/>
      </c>
      <c r="AU50" s="311">
        <f>INDEX($A$27:$B$246,MATCH(IFERROR(IF(W50+$AS$5&lt;K50,K50,IF(W50+$AS$5&gt;O50,O50,W50+$AS$5)),0),$A$27:$A$246,1),2)</f>
        <v/>
      </c>
      <c r="AV50" s="311">
        <f>INDEX($A$27:$B$246,MATCH(IFERROR(IF(T50+$AW$5&lt;H50,H50,IF(T50+$AW$5&gt;L50,L50,T50+$AW$5)),0),$A$27:$A$246,1),2)</f>
        <v/>
      </c>
      <c r="AW50" s="311">
        <f>INDEX($A$27:$B$246,MATCH(IFERROR(IF(U50+$AW$5&lt;I50,I50,IF(U50+$AW$5&gt;M50,M50,U50+$AW$5)),0),$A$27:$A$246,1),2)</f>
        <v/>
      </c>
      <c r="AX50" s="311">
        <f>INDEX($A$27:$B$246,MATCH(IFERROR(IF(V50+$AW$5&lt;J50,J50,IF(V50+$AW$5&gt;N50,N50,V50+$AW$5)),0),$A$27:$A$246,1),2)</f>
        <v/>
      </c>
      <c r="AY50" s="311">
        <f>INDEX($A$27:$B$246,MATCH(IFERROR(IF(W50+$AW$5&lt;K50,K50,IF(W50+$AW$5&gt;O50,O50,W50+$AW$5)),0),$A$27:$A$246,1),2)</f>
        <v/>
      </c>
      <c r="AZ50" s="311">
        <f>INDEX($A$27:$B$246,MATCH(IFERROR(IF(T50+$BA$5&lt;H50,H50,IF(T50+$BA$5&gt;L50,L50,T50+$BA$5)),0),$A$27:$A$246,1),2)</f>
        <v/>
      </c>
      <c r="BA50" s="311">
        <f>INDEX($A$27:$B$246,MATCH(IFERROR(IF(U50+$BA$5&lt;I50,I50,IF(U50+$BA$5&gt;M50,M50,U50+$BA$5)),0),$A$27:$A$246,1),2)</f>
        <v/>
      </c>
      <c r="BB50" s="311">
        <f>INDEX($A$27:$B$246,MATCH(IFERROR(IF(V50+$BA$5&lt;J50,J50,IF(V50+$BA$5&gt;N50,N50,V50+$BA$5)),0),$A$27:$A$246,1),2)</f>
        <v/>
      </c>
      <c r="BC50" s="311">
        <f>INDEX($A$27:$B$246,MATCH(IFERROR(IF(W50+$BA$5&lt;K50,K50,IF(W50+$BA$5&gt;O50,O50,W50+$BA$5)),0),$A$27:$A$246,1),2)</f>
        <v/>
      </c>
      <c r="BD50" s="311" t="s">
        <v>8</v>
      </c>
      <c r="BE50" s="311" t="s">
        <v>8</v>
      </c>
      <c r="BF50" s="311" t="s">
        <v>8</v>
      </c>
      <c r="BG50" s="311" t="s">
        <v>8</v>
      </c>
    </row>
    <row r="51" spans="1:64">
      <c r="A51" s="313">
        <f>A50+$B$24</f>
        <v/>
      </c>
      <c r="B51" s="313">
        <f>B50+$B$24</f>
        <v/>
      </c>
      <c r="C51" s="314" t="n"/>
      <c r="D51" t="s">
        <v>119</v>
      </c>
      <c r="E51" s="34" t="s">
        <v>119</v>
      </c>
      <c r="F51" s="34" t="s">
        <v>260</v>
      </c>
      <c r="G51" s="34" t="n">
        <v>335</v>
      </c>
      <c r="H51" s="310" t="n">
        <v>1</v>
      </c>
      <c r="I51" s="310" t="n">
        <v>1</v>
      </c>
      <c r="J51" s="310" t="n">
        <v>1</v>
      </c>
      <c r="K51" s="310" t="n">
        <v>1</v>
      </c>
      <c r="L51" s="311">
        <f>H51*$B$1</f>
        <v/>
      </c>
      <c r="M51" s="311">
        <f>I51*$B$1</f>
        <v/>
      </c>
      <c r="N51" s="311">
        <f>J51*$B$1</f>
        <v/>
      </c>
      <c r="O51" s="311">
        <f>K51*$B$1</f>
        <v/>
      </c>
      <c r="P51" s="311">
        <f>IFERROR(MIN(VLOOKUP(E51,Detalle!A:AA,$P$6,0),VLOOKUP(E51,Detalle!A:AA,$P$7,0),VLOOKUP(E51,Detalle!A:AA,$P$4,0)),0)</f>
        <v/>
      </c>
      <c r="Q51" s="311">
        <f>IFERROR(MIN(VLOOKUP(E51,Detalle!A:AA,$Q$6,0),VLOOKUP(E51,Detalle!A:AA,$Q$7,0)),0)</f>
        <v/>
      </c>
      <c r="R51" s="311">
        <f>IFERROR(MIN(VLOOKUP(E51,Detalle!A:AA,$R$6,0),VLOOKUP(E51,Detalle!A:AA,$R$7,0)),0)</f>
        <v/>
      </c>
      <c r="S51" s="311">
        <f>IFERROR(MIN(VLOOKUP(E51,Detalle!A:AA,$S$6,0),VLOOKUP(E51,Detalle!A:AA,$S$7,0)),0)</f>
        <v/>
      </c>
      <c r="T51" s="311">
        <f>IFERROR(MAX(VLOOKUP(E51,Detalle!A:AA,$P$6,0),VLOOKUP(E51,Detalle!A:AA,$P$7,0),VLOOKUP(E51,Detalle!A:AA,$P$4,0)),0)</f>
        <v/>
      </c>
      <c r="U51" s="311">
        <f>IFERROR(MAX(VLOOKUP(E51,Detalle!A:AA,$Q$6,0),VLOOKUP(E51,Detalle!A:AA,$Q$7,0)),0)</f>
        <v/>
      </c>
      <c r="V51" s="311">
        <f>IFERROR(MAX(VLOOKUP(E51,Detalle!A:AA,$R$6,0),VLOOKUP(E51,Detalle!A:AA,$R$7,0)),0)</f>
        <v/>
      </c>
      <c r="W51" s="311">
        <f>IFERROR(MAX(VLOOKUP(E51,Detalle!A:AA,$S$6,0),VLOOKUP(E51,Detalle!A:AA,$S$7,0)),0)</f>
        <v/>
      </c>
      <c r="X51" s="311">
        <f>INDEX($A$27:$B$246,MATCH(IFERROR(IF(P51*(1+$Y$5)&lt;H51,H51,IF(P51*(1+$Y$5)&gt;L51,L51,P51*(1+$Y$5))),0),$A$27:$A$246,1),2)</f>
        <v/>
      </c>
      <c r="Y51" s="311">
        <f>INDEX($A$27:$B$246,MATCH(IFERROR(IF(Q51*(1+$Y$5)&lt;I51,I51,IF(Q51*(1+$Y$5)&gt;M51,M51,Q51*(1+$Y$5))),0),$A$27:$A$246,1),2)</f>
        <v/>
      </c>
      <c r="Z51" s="311">
        <f>INDEX($A$27:$B$246,MATCH(IFERROR(IF(R51*(1+$Y$5)&lt;J51,J51,IF(R51*(1+$Y$5)&gt;N51,N51,R51*(1+$Y$5))),0),$A$27:$A$246,1),2)</f>
        <v/>
      </c>
      <c r="AA51" s="311">
        <f>INDEX($A$27:$B$246,MATCH(IFERROR(IF(S51*(1+$Y$5)&lt;K51,K51,IF(S51*(1+$Y$5)&gt;O51,O51,S51*(1+$Y$5))),0),$A$27:$A$246,1),2)</f>
        <v/>
      </c>
      <c r="AB51" s="311">
        <f>INDEX($A$27:$B$246,MATCH(IFERROR(IF(P51-$AC$5&lt;H51,H51,IF(P51-$AC$5&gt;L51,L51,P51-$AC$5)),0),$A$27:$A$246,1),2)</f>
        <v/>
      </c>
      <c r="AC51" s="311">
        <f>INDEX($A$27:$B$246,MATCH(IFERROR(IF(Q51-$AC$5&lt;I51,I51,IF(Q51-$AC$5&gt;M51,M51,Q51-$AC$5)),0),$A$27:$A$246,1),2)</f>
        <v/>
      </c>
      <c r="AD51" s="311">
        <f>INDEX($A$27:$B$246,MATCH(IFERROR(IF(R51-$AC$5&lt;J51,J51,IF(R51-$AC$5&gt;N51,N51,R51-$AC$5)),0),$A$27:$A$246,1),2)</f>
        <v/>
      </c>
      <c r="AE51" s="311">
        <f>INDEX($A$27:$B$246,MATCH(IFERROR(IF(S51-$AC$5&lt;K51,K51,IF(S51-$AC$5&gt;O51,O51,S51-$AC$5)),0),$A$27:$A$246,1),2)</f>
        <v/>
      </c>
      <c r="AF51" s="311" t="s">
        <v>8</v>
      </c>
      <c r="AG51" s="311" t="s">
        <v>8</v>
      </c>
      <c r="AH51" s="311" t="s">
        <v>8</v>
      </c>
      <c r="AI51" s="311" t="s">
        <v>8</v>
      </c>
      <c r="AJ51" s="311">
        <f>INDEX($A$27:$B$246,MATCH(IFERROR(IF(T51&lt;H51,H51,IF(T51&gt;L51,L51,T51)),0),$A$27:$A$246,1),2)</f>
        <v/>
      </c>
      <c r="AK51" s="311">
        <f>INDEX($A$27:$B$246,MATCH(IFERROR(IF(U51&lt;I51,I51,IF(U51&gt;M51,M51,U51)),0),$A$27:$A$246,1),2)</f>
        <v/>
      </c>
      <c r="AL51" s="311">
        <f>INDEX($A$27:$B$246,MATCH(IFERROR(IF(V51&lt;J51,J51,IF(V51&gt;N51,N51,V51)),0),$A$27:$A$246,1),2)</f>
        <v/>
      </c>
      <c r="AM51" s="311">
        <f>INDEX($A$27:$B$246,MATCH(IFERROR(IF(W51&lt;K51,K51,IF(W51&gt;O51,O51,W51)),0),$A$27:$A$246,1),2)</f>
        <v/>
      </c>
      <c r="AN51" s="311">
        <f>INDEX($A$27:$B$246,MATCH(IFERROR(IF(T51&lt;H51,H51,IF(T51&gt;L51,L51,T51)),0),$A$27:$A$246,1),2)</f>
        <v/>
      </c>
      <c r="AO51" s="311">
        <f>INDEX($A$27:$B$246,MATCH(IFERROR(IF(U51&lt;I51,I51,IF(U51&gt;M51,M51,U51)),0),$A$27:$A$246,1),2)</f>
        <v/>
      </c>
      <c r="AP51" s="311">
        <f>INDEX($A$27:$B$246,MATCH(IFERROR(IF(V51&lt;J51,J51,IF(V51&gt;N51,N51,V51)),0),$A$27:$A$246,1),2)</f>
        <v/>
      </c>
      <c r="AQ51" s="311">
        <f>INDEX($A$27:$B$246,MATCH(IFERROR(IF(W51&lt;K51,K51,IF(W51&gt;O51,O51,W51)),0),$A$27:$A$246,1),2)</f>
        <v/>
      </c>
      <c r="AR51" s="311">
        <f>INDEX($A$27:$B$246,MATCH(IFERROR(IF(T51+$AS$5&lt;H51,H51,IF(T51+$AS$5&gt;L51,L51,T51+$AS$5)),0),$A$27:$A$246,1),2)</f>
        <v/>
      </c>
      <c r="AS51" s="311">
        <f>INDEX($A$27:$B$246,MATCH(IFERROR(IF(U51+$AS$5&lt;I51,I51,IF(U51+$AS$5&gt;M51,M51,U51+$AS$5)),0),$A$27:$A$246,1),2)</f>
        <v/>
      </c>
      <c r="AT51" s="311">
        <f>INDEX($A$27:$B$246,MATCH(IFERROR(IF(V51+$AS$5&lt;J51,J51,IF(V51+$AS$5&gt;N51,N51,V51+$AS$5)),0),$A$27:$A$246,1),2)</f>
        <v/>
      </c>
      <c r="AU51" s="311">
        <f>INDEX($A$27:$B$246,MATCH(IFERROR(IF(W51+$AS$5&lt;K51,K51,IF(W51+$AS$5&gt;O51,O51,W51+$AS$5)),0),$A$27:$A$246,1),2)</f>
        <v/>
      </c>
      <c r="AV51" s="311">
        <f>INDEX($A$27:$B$246,MATCH(IFERROR(IF(T51+$AW$5&lt;H51,H51,IF(T51+$AW$5&gt;L51,L51,T51+$AW$5)),0),$A$27:$A$246,1),2)</f>
        <v/>
      </c>
      <c r="AW51" s="311">
        <f>INDEX($A$27:$B$246,MATCH(IFERROR(IF(U51+$AW$5&lt;I51,I51,IF(U51+$AW$5&gt;M51,M51,U51+$AW$5)),0),$A$27:$A$246,1),2)</f>
        <v/>
      </c>
      <c r="AX51" s="311">
        <f>INDEX($A$27:$B$246,MATCH(IFERROR(IF(V51+$AW$5&lt;J51,J51,IF(V51+$AW$5&gt;N51,N51,V51+$AW$5)),0),$A$27:$A$246,1),2)</f>
        <v/>
      </c>
      <c r="AY51" s="311">
        <f>INDEX($A$27:$B$246,MATCH(IFERROR(IF(W51+$AW$5&lt;K51,K51,IF(W51+$AW$5&gt;O51,O51,W51+$AW$5)),0),$A$27:$A$246,1),2)</f>
        <v/>
      </c>
      <c r="AZ51" s="311">
        <f>INDEX($A$27:$B$246,MATCH(IFERROR(IF(T51+$BA$5&lt;H51,H51,IF(T51+$BA$5&gt;L51,L51,T51+$BA$5)),0),$A$27:$A$246,1),2)</f>
        <v/>
      </c>
      <c r="BA51" s="311">
        <f>INDEX($A$27:$B$246,MATCH(IFERROR(IF(U51+$BA$5&lt;I51,I51,IF(U51+$BA$5&gt;M51,M51,U51+$BA$5)),0),$A$27:$A$246,1),2)</f>
        <v/>
      </c>
      <c r="BB51" s="311">
        <f>INDEX($A$27:$B$246,MATCH(IFERROR(IF(V51+$BA$5&lt;J51,J51,IF(V51+$BA$5&gt;N51,N51,V51+$BA$5)),0),$A$27:$A$246,1),2)</f>
        <v/>
      </c>
      <c r="BC51" s="311">
        <f>INDEX($A$27:$B$246,MATCH(IFERROR(IF(W51+$BA$5&lt;K51,K51,IF(W51+$BA$5&gt;O51,O51,W51+$BA$5)),0),$A$27:$A$246,1),2)</f>
        <v/>
      </c>
      <c r="BD51" s="311" t="s">
        <v>8</v>
      </c>
      <c r="BE51" s="311" t="s">
        <v>8</v>
      </c>
      <c r="BF51" s="311" t="s">
        <v>8</v>
      </c>
      <c r="BG51" s="311" t="s">
        <v>8</v>
      </c>
    </row>
    <row r="52" spans="1:64">
      <c r="A52" s="313">
        <f>A51+$B$24</f>
        <v/>
      </c>
      <c r="B52" s="313">
        <f>B51+$B$24</f>
        <v/>
      </c>
      <c r="C52" s="314" t="n"/>
      <c r="D52" t="s">
        <v>120</v>
      </c>
      <c r="E52" s="34" t="s">
        <v>120</v>
      </c>
      <c r="F52" s="34" t="s">
        <v>258</v>
      </c>
      <c r="G52" s="34" t="n">
        <v>336</v>
      </c>
      <c r="H52" s="310" t="n">
        <v>1</v>
      </c>
      <c r="I52" s="310" t="n">
        <v>1</v>
      </c>
      <c r="J52" s="310" t="n">
        <v>1</v>
      </c>
      <c r="K52" s="310" t="n">
        <v>1</v>
      </c>
      <c r="L52" s="311">
        <f>H52*$B$1</f>
        <v/>
      </c>
      <c r="M52" s="311">
        <f>I52*$B$1</f>
        <v/>
      </c>
      <c r="N52" s="311">
        <f>J52*$B$1</f>
        <v/>
      </c>
      <c r="O52" s="311">
        <f>K52*$B$1</f>
        <v/>
      </c>
      <c r="P52" s="311">
        <f>IFERROR(MIN(VLOOKUP(E52,Detalle!A:AA,$P$6,0),VLOOKUP(E52,Detalle!A:AA,$P$7,0),VLOOKUP(E52,Detalle!A:AA,$P$4,0)),0)</f>
        <v/>
      </c>
      <c r="Q52" s="311">
        <f>IFERROR(MIN(VLOOKUP(E52,Detalle!A:AA,$Q$6,0),VLOOKUP(E52,Detalle!A:AA,$Q$7,0)),0)</f>
        <v/>
      </c>
      <c r="R52" s="311">
        <f>IFERROR(MIN(VLOOKUP(E52,Detalle!A:AA,$R$6,0),VLOOKUP(E52,Detalle!A:AA,$R$7,0)),0)</f>
        <v/>
      </c>
      <c r="S52" s="311">
        <f>IFERROR(MIN(VLOOKUP(E52,Detalle!A:AA,$S$6,0),VLOOKUP(E52,Detalle!A:AA,$S$7,0)),0)</f>
        <v/>
      </c>
      <c r="T52" s="311">
        <f>IFERROR(MAX(VLOOKUP(E52,Detalle!A:AA,$P$6,0),VLOOKUP(E52,Detalle!A:AA,$P$7,0),VLOOKUP(E52,Detalle!A:AA,$P$4,0)),0)</f>
        <v/>
      </c>
      <c r="U52" s="311">
        <f>IFERROR(MAX(VLOOKUP(E52,Detalle!A:AA,$Q$6,0),VLOOKUP(E52,Detalle!A:AA,$Q$7,0)),0)</f>
        <v/>
      </c>
      <c r="V52" s="311">
        <f>IFERROR(MAX(VLOOKUP(E52,Detalle!A:AA,$R$6,0),VLOOKUP(E52,Detalle!A:AA,$R$7,0)),0)</f>
        <v/>
      </c>
      <c r="W52" s="311">
        <f>IFERROR(MAX(VLOOKUP(E52,Detalle!A:AA,$S$6,0),VLOOKUP(E52,Detalle!A:AA,$S$7,0)),0)</f>
        <v/>
      </c>
      <c r="X52" s="311">
        <f>INDEX($A$27:$B$246,MATCH(IFERROR(IF(P52*(1+$Y$5)&lt;H52,H52,IF(P52*(1+$Y$5)&gt;L52,L52,P52*(1+$Y$5))),0),$A$27:$A$246,1),2)</f>
        <v/>
      </c>
      <c r="Y52" s="311">
        <f>INDEX($A$27:$B$246,MATCH(IFERROR(IF(Q52*(1+$Y$5)&lt;I52,I52,IF(Q52*(1+$Y$5)&gt;M52,M52,Q52*(1+$Y$5))),0),$A$27:$A$246,1),2)</f>
        <v/>
      </c>
      <c r="Z52" s="311">
        <f>INDEX($A$27:$B$246,MATCH(IFERROR(IF(R52*(1+$Y$5)&lt;J52,J52,IF(R52*(1+$Y$5)&gt;N52,N52,R52*(1+$Y$5))),0),$A$27:$A$246,1),2)</f>
        <v/>
      </c>
      <c r="AA52" s="311">
        <f>INDEX($A$27:$B$246,MATCH(IFERROR(IF(S52*(1+$Y$5)&lt;K52,K52,IF(S52*(1+$Y$5)&gt;O52,O52,S52*(1+$Y$5))),0),$A$27:$A$246,1),2)</f>
        <v/>
      </c>
      <c r="AB52" s="311">
        <f>INDEX($A$27:$B$246,MATCH(IFERROR(IF(P52-$AC$5&lt;H52,H52,IF(P52-$AC$5&gt;L52,L52,P52-$AC$5)),0),$A$27:$A$246,1),2)</f>
        <v/>
      </c>
      <c r="AC52" s="311">
        <f>INDEX($A$27:$B$246,MATCH(IFERROR(IF(Q52-$AC$5&lt;I52,I52,IF(Q52-$AC$5&gt;M52,M52,Q52-$AC$5)),0),$A$27:$A$246,1),2)</f>
        <v/>
      </c>
      <c r="AD52" s="311">
        <f>INDEX($A$27:$B$246,MATCH(IFERROR(IF(R52-$AC$5&lt;J52,J52,IF(R52-$AC$5&gt;N52,N52,R52-$AC$5)),0),$A$27:$A$246,1),2)</f>
        <v/>
      </c>
      <c r="AE52" s="311">
        <f>INDEX($A$27:$B$246,MATCH(IFERROR(IF(S52-$AC$5&lt;K52,K52,IF(S52-$AC$5&gt;O52,O52,S52-$AC$5)),0),$A$27:$A$246,1),2)</f>
        <v/>
      </c>
      <c r="AF52" s="311" t="s">
        <v>8</v>
      </c>
      <c r="AG52" s="311" t="s">
        <v>8</v>
      </c>
      <c r="AH52" s="311" t="s">
        <v>8</v>
      </c>
      <c r="AI52" s="311" t="s">
        <v>8</v>
      </c>
      <c r="AJ52" s="311">
        <f>INDEX($A$27:$B$246,MATCH(IFERROR(IF(T52&lt;H52,H52,IF(T52&gt;L52,L52,T52)),0),$A$27:$A$246,1),2)</f>
        <v/>
      </c>
      <c r="AK52" s="311">
        <f>INDEX($A$27:$B$246,MATCH(IFERROR(IF(U52&lt;I52,I52,IF(U52&gt;M52,M52,U52)),0),$A$27:$A$246,1),2)</f>
        <v/>
      </c>
      <c r="AL52" s="311">
        <f>INDEX($A$27:$B$246,MATCH(IFERROR(IF(V52&lt;J52,J52,IF(V52&gt;N52,N52,V52)),0),$A$27:$A$246,1),2)</f>
        <v/>
      </c>
      <c r="AM52" s="311">
        <f>INDEX($A$27:$B$246,MATCH(IFERROR(IF(W52&lt;K52,K52,IF(W52&gt;O52,O52,W52)),0),$A$27:$A$246,1),2)</f>
        <v/>
      </c>
      <c r="AN52" s="311">
        <f>INDEX($A$27:$B$246,MATCH(IFERROR(IF(T52&lt;H52,H52,IF(T52&gt;L52,L52,T52)),0),$A$27:$A$246,1),2)</f>
        <v/>
      </c>
      <c r="AO52" s="311">
        <f>INDEX($A$27:$B$246,MATCH(IFERROR(IF(U52&lt;I52,I52,IF(U52&gt;M52,M52,U52)),0),$A$27:$A$246,1),2)</f>
        <v/>
      </c>
      <c r="AP52" s="311">
        <f>INDEX($A$27:$B$246,MATCH(IFERROR(IF(V52&lt;J52,J52,IF(V52&gt;N52,N52,V52)),0),$A$27:$A$246,1),2)</f>
        <v/>
      </c>
      <c r="AQ52" s="311">
        <f>INDEX($A$27:$B$246,MATCH(IFERROR(IF(W52&lt;K52,K52,IF(W52&gt;O52,O52,W52)),0),$A$27:$A$246,1),2)</f>
        <v/>
      </c>
      <c r="AR52" s="311">
        <f>INDEX($A$27:$B$246,MATCH(IFERROR(IF(T52+$AS$5&lt;H52,H52,IF(T52+$AS$5&gt;L52,L52,T52+$AS$5)),0),$A$27:$A$246,1),2)</f>
        <v/>
      </c>
      <c r="AS52" s="311">
        <f>INDEX($A$27:$B$246,MATCH(IFERROR(IF(U52+$AS$5&lt;I52,I52,IF(U52+$AS$5&gt;M52,M52,U52+$AS$5)),0),$A$27:$A$246,1),2)</f>
        <v/>
      </c>
      <c r="AT52" s="311">
        <f>INDEX($A$27:$B$246,MATCH(IFERROR(IF(V52+$AS$5&lt;J52,J52,IF(V52+$AS$5&gt;N52,N52,V52+$AS$5)),0),$A$27:$A$246,1),2)</f>
        <v/>
      </c>
      <c r="AU52" s="311">
        <f>INDEX($A$27:$B$246,MATCH(IFERROR(IF(W52+$AS$5&lt;K52,K52,IF(W52+$AS$5&gt;O52,O52,W52+$AS$5)),0),$A$27:$A$246,1),2)</f>
        <v/>
      </c>
      <c r="AV52" s="311">
        <f>INDEX($A$27:$B$246,MATCH(IFERROR(IF(T52+$AW$5&lt;H52,H52,IF(T52+$AW$5&gt;L52,L52,T52+$AW$5)),0),$A$27:$A$246,1),2)</f>
        <v/>
      </c>
      <c r="AW52" s="311">
        <f>INDEX($A$27:$B$246,MATCH(IFERROR(IF(U52+$AW$5&lt;I52,I52,IF(U52+$AW$5&gt;M52,M52,U52+$AW$5)),0),$A$27:$A$246,1),2)</f>
        <v/>
      </c>
      <c r="AX52" s="311">
        <f>INDEX($A$27:$B$246,MATCH(IFERROR(IF(V52+$AW$5&lt;J52,J52,IF(V52+$AW$5&gt;N52,N52,V52+$AW$5)),0),$A$27:$A$246,1),2)</f>
        <v/>
      </c>
      <c r="AY52" s="311">
        <f>INDEX($A$27:$B$246,MATCH(IFERROR(IF(W52+$AW$5&lt;K52,K52,IF(W52+$AW$5&gt;O52,O52,W52+$AW$5)),0),$A$27:$A$246,1),2)</f>
        <v/>
      </c>
      <c r="AZ52" s="311">
        <f>INDEX($A$27:$B$246,MATCH(IFERROR(IF(T52+$BA$5&lt;H52,H52,IF(T52+$BA$5&gt;L52,L52,T52+$BA$5)),0),$A$27:$A$246,1),2)</f>
        <v/>
      </c>
      <c r="BA52" s="311">
        <f>INDEX($A$27:$B$246,MATCH(IFERROR(IF(U52+$BA$5&lt;I52,I52,IF(U52+$BA$5&gt;M52,M52,U52+$BA$5)),0),$A$27:$A$246,1),2)</f>
        <v/>
      </c>
      <c r="BB52" s="311">
        <f>INDEX($A$27:$B$246,MATCH(IFERROR(IF(V52+$BA$5&lt;J52,J52,IF(V52+$BA$5&gt;N52,N52,V52+$BA$5)),0),$A$27:$A$246,1),2)</f>
        <v/>
      </c>
      <c r="BC52" s="311">
        <f>INDEX($A$27:$B$246,MATCH(IFERROR(IF(W52+$BA$5&lt;K52,K52,IF(W52+$BA$5&gt;O52,O52,W52+$BA$5)),0),$A$27:$A$246,1),2)</f>
        <v/>
      </c>
      <c r="BD52" s="311" t="s">
        <v>8</v>
      </c>
      <c r="BE52" s="311" t="s">
        <v>8</v>
      </c>
      <c r="BF52" s="311" t="s">
        <v>8</v>
      </c>
      <c r="BG52" s="311" t="s">
        <v>8</v>
      </c>
    </row>
    <row r="53" spans="1:64">
      <c r="A53" s="313">
        <f>A52+$B$24</f>
        <v/>
      </c>
      <c r="B53" s="313">
        <f>B52+$B$24</f>
        <v/>
      </c>
      <c r="C53" s="314" t="n"/>
      <c r="D53" t="s">
        <v>121</v>
      </c>
      <c r="E53" s="34" t="s">
        <v>121</v>
      </c>
      <c r="F53" s="34" t="s">
        <v>260</v>
      </c>
      <c r="G53" s="34" t="n">
        <v>337</v>
      </c>
      <c r="H53" s="310" t="n">
        <v>1</v>
      </c>
      <c r="I53" s="310" t="n">
        <v>1</v>
      </c>
      <c r="J53" s="310" t="n">
        <v>1</v>
      </c>
      <c r="K53" s="310" t="n">
        <v>1</v>
      </c>
      <c r="L53" s="311">
        <f>H53*$B$1</f>
        <v/>
      </c>
      <c r="M53" s="311">
        <f>I53*$B$1</f>
        <v/>
      </c>
      <c r="N53" s="311">
        <f>J53*$B$1</f>
        <v/>
      </c>
      <c r="O53" s="311">
        <f>K53*$B$1</f>
        <v/>
      </c>
      <c r="P53" s="311">
        <f>IFERROR(MIN(VLOOKUP(E53,Detalle!A:AA,$P$6,0),VLOOKUP(E53,Detalle!A:AA,$P$7,0),VLOOKUP(E53,Detalle!A:AA,$P$4,0)),0)</f>
        <v/>
      </c>
      <c r="Q53" s="311">
        <f>IFERROR(MIN(VLOOKUP(E53,Detalle!A:AA,$Q$6,0),VLOOKUP(E53,Detalle!A:AA,$Q$7,0)),0)</f>
        <v/>
      </c>
      <c r="R53" s="311">
        <f>IFERROR(MIN(VLOOKUP(E53,Detalle!A:AA,$R$6,0),VLOOKUP(E53,Detalle!A:AA,$R$7,0)),0)</f>
        <v/>
      </c>
      <c r="S53" s="311">
        <f>IFERROR(MIN(VLOOKUP(E53,Detalle!A:AA,$S$6,0),VLOOKUP(E53,Detalle!A:AA,$S$7,0)),0)</f>
        <v/>
      </c>
      <c r="T53" s="311">
        <f>IFERROR(MAX(VLOOKUP(E53,Detalle!A:AA,$P$6,0),VLOOKUP(E53,Detalle!A:AA,$P$7,0),VLOOKUP(E53,Detalle!A:AA,$P$4,0)),0)</f>
        <v/>
      </c>
      <c r="U53" s="311">
        <f>IFERROR(MAX(VLOOKUP(E53,Detalle!A:AA,$Q$6,0),VLOOKUP(E53,Detalle!A:AA,$Q$7,0)),0)</f>
        <v/>
      </c>
      <c r="V53" s="311">
        <f>IFERROR(MAX(VLOOKUP(E53,Detalle!A:AA,$R$6,0),VLOOKUP(E53,Detalle!A:AA,$R$7,0)),0)</f>
        <v/>
      </c>
      <c r="W53" s="311">
        <f>IFERROR(MAX(VLOOKUP(E53,Detalle!A:AA,$S$6,0),VLOOKUP(E53,Detalle!A:AA,$S$7,0)),0)</f>
        <v/>
      </c>
      <c r="X53" s="311">
        <f>INDEX($A$27:$B$246,MATCH(IFERROR(IF(P53*(1+$Y$5)&lt;H53,H53,IF(P53*(1+$Y$5)&gt;L53,L53,P53*(1+$Y$5))),0),$A$27:$A$246,1),2)</f>
        <v/>
      </c>
      <c r="Y53" s="311">
        <f>INDEX($A$27:$B$246,MATCH(IFERROR(IF(Q53*(1+$Y$5)&lt;I53,I53,IF(Q53*(1+$Y$5)&gt;M53,M53,Q53*(1+$Y$5))),0),$A$27:$A$246,1),2)</f>
        <v/>
      </c>
      <c r="Z53" s="311">
        <f>INDEX($A$27:$B$246,MATCH(IFERROR(IF(R53*(1+$Y$5)&lt;J53,J53,IF(R53*(1+$Y$5)&gt;N53,N53,R53*(1+$Y$5))),0),$A$27:$A$246,1),2)</f>
        <v/>
      </c>
      <c r="AA53" s="311">
        <f>INDEX($A$27:$B$246,MATCH(IFERROR(IF(S53*(1+$Y$5)&lt;K53,K53,IF(S53*(1+$Y$5)&gt;O53,O53,S53*(1+$Y$5))),0),$A$27:$A$246,1),2)</f>
        <v/>
      </c>
      <c r="AB53" s="311">
        <f>INDEX($A$27:$B$246,MATCH(IFERROR(IF(P53-$AC$5&lt;H53,H53,IF(P53-$AC$5&gt;L53,L53,P53-$AC$5)),0),$A$27:$A$246,1),2)</f>
        <v/>
      </c>
      <c r="AC53" s="311">
        <f>INDEX($A$27:$B$246,MATCH(IFERROR(IF(Q53-$AC$5&lt;I53,I53,IF(Q53-$AC$5&gt;M53,M53,Q53-$AC$5)),0),$A$27:$A$246,1),2)</f>
        <v/>
      </c>
      <c r="AD53" s="311">
        <f>INDEX($A$27:$B$246,MATCH(IFERROR(IF(R53-$AC$5&lt;J53,J53,IF(R53-$AC$5&gt;N53,N53,R53-$AC$5)),0),$A$27:$A$246,1),2)</f>
        <v/>
      </c>
      <c r="AE53" s="311">
        <f>INDEX($A$27:$B$246,MATCH(IFERROR(IF(S53-$AC$5&lt;K53,K53,IF(S53-$AC$5&gt;O53,O53,S53-$AC$5)),0),$A$27:$A$246,1),2)</f>
        <v/>
      </c>
      <c r="AF53" s="311" t="s">
        <v>8</v>
      </c>
      <c r="AG53" s="311" t="s">
        <v>8</v>
      </c>
      <c r="AH53" s="311" t="s">
        <v>8</v>
      </c>
      <c r="AI53" s="311" t="s">
        <v>8</v>
      </c>
      <c r="AJ53" s="311">
        <f>INDEX($A$27:$B$246,MATCH(IFERROR(IF(T53&lt;H53,H53,IF(T53&gt;L53,L53,T53)),0),$A$27:$A$246,1),2)</f>
        <v/>
      </c>
      <c r="AK53" s="311">
        <f>INDEX($A$27:$B$246,MATCH(IFERROR(IF(U53&lt;I53,I53,IF(U53&gt;M53,M53,U53)),0),$A$27:$A$246,1),2)</f>
        <v/>
      </c>
      <c r="AL53" s="311">
        <f>INDEX($A$27:$B$246,MATCH(IFERROR(IF(V53&lt;J53,J53,IF(V53&gt;N53,N53,V53)),0),$A$27:$A$246,1),2)</f>
        <v/>
      </c>
      <c r="AM53" s="311">
        <f>INDEX($A$27:$B$246,MATCH(IFERROR(IF(W53&lt;K53,K53,IF(W53&gt;O53,O53,W53)),0),$A$27:$A$246,1),2)</f>
        <v/>
      </c>
      <c r="AN53" s="311">
        <f>INDEX($A$27:$B$246,MATCH(IFERROR(IF(T53&lt;H53,H53,IF(T53&gt;L53,L53,T53)),0),$A$27:$A$246,1),2)</f>
        <v/>
      </c>
      <c r="AO53" s="311">
        <f>INDEX($A$27:$B$246,MATCH(IFERROR(IF(U53&lt;I53,I53,IF(U53&gt;M53,M53,U53)),0),$A$27:$A$246,1),2)</f>
        <v/>
      </c>
      <c r="AP53" s="311">
        <f>INDEX($A$27:$B$246,MATCH(IFERROR(IF(V53&lt;J53,J53,IF(V53&gt;N53,N53,V53)),0),$A$27:$A$246,1),2)</f>
        <v/>
      </c>
      <c r="AQ53" s="311">
        <f>INDEX($A$27:$B$246,MATCH(IFERROR(IF(W53&lt;K53,K53,IF(W53&gt;O53,O53,W53)),0),$A$27:$A$246,1),2)</f>
        <v/>
      </c>
      <c r="AR53" s="311">
        <f>INDEX($A$27:$B$246,MATCH(IFERROR(IF(T53+$AS$5&lt;H53,H53,IF(T53+$AS$5&gt;L53,L53,T53+$AS$5)),0),$A$27:$A$246,1),2)</f>
        <v/>
      </c>
      <c r="AS53" s="311">
        <f>INDEX($A$27:$B$246,MATCH(IFERROR(IF(U53+$AS$5&lt;I53,I53,IF(U53+$AS$5&gt;M53,M53,U53+$AS$5)),0),$A$27:$A$246,1),2)</f>
        <v/>
      </c>
      <c r="AT53" s="311">
        <f>INDEX($A$27:$B$246,MATCH(IFERROR(IF(V53+$AS$5&lt;J53,J53,IF(V53+$AS$5&gt;N53,N53,V53+$AS$5)),0),$A$27:$A$246,1),2)</f>
        <v/>
      </c>
      <c r="AU53" s="311">
        <f>INDEX($A$27:$B$246,MATCH(IFERROR(IF(W53+$AS$5&lt;K53,K53,IF(W53+$AS$5&gt;O53,O53,W53+$AS$5)),0),$A$27:$A$246,1),2)</f>
        <v/>
      </c>
      <c r="AV53" s="311">
        <f>INDEX($A$27:$B$246,MATCH(IFERROR(IF(T53+$AW$5&lt;H53,H53,IF(T53+$AW$5&gt;L53,L53,T53+$AW$5)),0),$A$27:$A$246,1),2)</f>
        <v/>
      </c>
      <c r="AW53" s="311">
        <f>INDEX($A$27:$B$246,MATCH(IFERROR(IF(U53+$AW$5&lt;I53,I53,IF(U53+$AW$5&gt;M53,M53,U53+$AW$5)),0),$A$27:$A$246,1),2)</f>
        <v/>
      </c>
      <c r="AX53" s="311">
        <f>INDEX($A$27:$B$246,MATCH(IFERROR(IF(V53+$AW$5&lt;J53,J53,IF(V53+$AW$5&gt;N53,N53,V53+$AW$5)),0),$A$27:$A$246,1),2)</f>
        <v/>
      </c>
      <c r="AY53" s="311">
        <f>INDEX($A$27:$B$246,MATCH(IFERROR(IF(W53+$AW$5&lt;K53,K53,IF(W53+$AW$5&gt;O53,O53,W53+$AW$5)),0),$A$27:$A$246,1),2)</f>
        <v/>
      </c>
      <c r="AZ53" s="311">
        <f>INDEX($A$27:$B$246,MATCH(IFERROR(IF(T53+$BA$5&lt;H53,H53,IF(T53+$BA$5&gt;L53,L53,T53+$BA$5)),0),$A$27:$A$246,1),2)</f>
        <v/>
      </c>
      <c r="BA53" s="311">
        <f>INDEX($A$27:$B$246,MATCH(IFERROR(IF(U53+$BA$5&lt;I53,I53,IF(U53+$BA$5&gt;M53,M53,U53+$BA$5)),0),$A$27:$A$246,1),2)</f>
        <v/>
      </c>
      <c r="BB53" s="311">
        <f>INDEX($A$27:$B$246,MATCH(IFERROR(IF(V53+$BA$5&lt;J53,J53,IF(V53+$BA$5&gt;N53,N53,V53+$BA$5)),0),$A$27:$A$246,1),2)</f>
        <v/>
      </c>
      <c r="BC53" s="311">
        <f>INDEX($A$27:$B$246,MATCH(IFERROR(IF(W53+$BA$5&lt;K53,K53,IF(W53+$BA$5&gt;O53,O53,W53+$BA$5)),0),$A$27:$A$246,1),2)</f>
        <v/>
      </c>
      <c r="BD53" s="311" t="s">
        <v>8</v>
      </c>
      <c r="BE53" s="311" t="s">
        <v>8</v>
      </c>
      <c r="BF53" s="311" t="s">
        <v>8</v>
      </c>
      <c r="BG53" s="311" t="s">
        <v>8</v>
      </c>
    </row>
    <row r="54" spans="1:64">
      <c r="A54" s="313">
        <f>A53+$B$24</f>
        <v/>
      </c>
      <c r="B54" s="313">
        <f>B53+$B$24</f>
        <v/>
      </c>
      <c r="C54" s="314" t="n"/>
      <c r="D54" t="s">
        <v>122</v>
      </c>
      <c r="E54" s="34" t="s">
        <v>122</v>
      </c>
      <c r="F54" s="34" t="s">
        <v>260</v>
      </c>
      <c r="G54" s="34" t="n">
        <v>338</v>
      </c>
      <c r="H54" s="310" t="n">
        <v>1</v>
      </c>
      <c r="I54" s="310" t="n">
        <v>1</v>
      </c>
      <c r="J54" s="310" t="n">
        <v>1</v>
      </c>
      <c r="K54" s="310" t="n">
        <v>1</v>
      </c>
      <c r="L54" s="311">
        <f>H54*$B$1</f>
        <v/>
      </c>
      <c r="M54" s="311">
        <f>I54*$B$1</f>
        <v/>
      </c>
      <c r="N54" s="311">
        <f>J54*$B$1</f>
        <v/>
      </c>
      <c r="O54" s="311">
        <f>K54*$B$1</f>
        <v/>
      </c>
      <c r="P54" s="311">
        <f>IFERROR(MIN(VLOOKUP(E54,Detalle!A:AA,$P$6,0),VLOOKUP(E54,Detalle!A:AA,$P$7,0),VLOOKUP(E54,Detalle!A:AA,$P$4,0)),0)</f>
        <v/>
      </c>
      <c r="Q54" s="311">
        <f>IFERROR(MIN(VLOOKUP(E54,Detalle!A:AA,$Q$6,0),VLOOKUP(E54,Detalle!A:AA,$Q$7,0)),0)</f>
        <v/>
      </c>
      <c r="R54" s="311">
        <f>IFERROR(MIN(VLOOKUP(E54,Detalle!A:AA,$R$6,0),VLOOKUP(E54,Detalle!A:AA,$R$7,0)),0)</f>
        <v/>
      </c>
      <c r="S54" s="311">
        <f>IFERROR(MIN(VLOOKUP(E54,Detalle!A:AA,$S$6,0),VLOOKUP(E54,Detalle!A:AA,$S$7,0)),0)</f>
        <v/>
      </c>
      <c r="T54" s="311">
        <f>IFERROR(MAX(VLOOKUP(E54,Detalle!A:AA,$P$6,0),VLOOKUP(E54,Detalle!A:AA,$P$7,0),VLOOKUP(E54,Detalle!A:AA,$P$4,0)),0)</f>
        <v/>
      </c>
      <c r="U54" s="311">
        <f>IFERROR(MAX(VLOOKUP(E54,Detalle!A:AA,$Q$6,0),VLOOKUP(E54,Detalle!A:AA,$Q$7,0)),0)</f>
        <v/>
      </c>
      <c r="V54" s="311">
        <f>IFERROR(MAX(VLOOKUP(E54,Detalle!A:AA,$R$6,0),VLOOKUP(E54,Detalle!A:AA,$R$7,0)),0)</f>
        <v/>
      </c>
      <c r="W54" s="311">
        <f>IFERROR(MAX(VLOOKUP(E54,Detalle!A:AA,$S$6,0),VLOOKUP(E54,Detalle!A:AA,$S$7,0)),0)</f>
        <v/>
      </c>
      <c r="X54" s="311">
        <f>INDEX($A$27:$B$246,MATCH(IFERROR(IF(P54*(1+$Y$5)&lt;H54,H54,IF(P54*(1+$Y$5)&gt;L54,L54,P54*(1+$Y$5))),0),$A$27:$A$246,1),2)</f>
        <v/>
      </c>
      <c r="Y54" s="311">
        <f>INDEX($A$27:$B$246,MATCH(IFERROR(IF(Q54*(1+$Y$5)&lt;I54,I54,IF(Q54*(1+$Y$5)&gt;M54,M54,Q54*(1+$Y$5))),0),$A$27:$A$246,1),2)</f>
        <v/>
      </c>
      <c r="Z54" s="311">
        <f>INDEX($A$27:$B$246,MATCH(IFERROR(IF(R54*(1+$Y$5)&lt;J54,J54,IF(R54*(1+$Y$5)&gt;N54,N54,R54*(1+$Y$5))),0),$A$27:$A$246,1),2)</f>
        <v/>
      </c>
      <c r="AA54" s="311">
        <f>INDEX($A$27:$B$246,MATCH(IFERROR(IF(S54*(1+$Y$5)&lt;K54,K54,IF(S54*(1+$Y$5)&gt;O54,O54,S54*(1+$Y$5))),0),$A$27:$A$246,1),2)</f>
        <v/>
      </c>
      <c r="AB54" s="311">
        <f>INDEX($A$27:$B$246,MATCH(IFERROR(IF(P54-$AC$5&lt;H54,H54,IF(P54-$AC$5&gt;L54,L54,P54-$AC$5)),0),$A$27:$A$246,1),2)</f>
        <v/>
      </c>
      <c r="AC54" s="311">
        <f>INDEX($A$27:$B$246,MATCH(IFERROR(IF(Q54-$AC$5&lt;I54,I54,IF(Q54-$AC$5&gt;M54,M54,Q54-$AC$5)),0),$A$27:$A$246,1),2)</f>
        <v/>
      </c>
      <c r="AD54" s="311">
        <f>INDEX($A$27:$B$246,MATCH(IFERROR(IF(R54-$AC$5&lt;J54,J54,IF(R54-$AC$5&gt;N54,N54,R54-$AC$5)),0),$A$27:$A$246,1),2)</f>
        <v/>
      </c>
      <c r="AE54" s="311">
        <f>INDEX($A$27:$B$246,MATCH(IFERROR(IF(S54-$AC$5&lt;K54,K54,IF(S54-$AC$5&gt;O54,O54,S54-$AC$5)),0),$A$27:$A$246,1),2)</f>
        <v/>
      </c>
      <c r="AF54" s="311" t="s">
        <v>8</v>
      </c>
      <c r="AG54" s="311" t="s">
        <v>8</v>
      </c>
      <c r="AH54" s="311" t="s">
        <v>8</v>
      </c>
      <c r="AI54" s="311" t="s">
        <v>8</v>
      </c>
      <c r="AJ54" s="311">
        <f>INDEX($A$27:$B$246,MATCH(IFERROR(IF(T54&lt;H54,H54,IF(T54&gt;L54,L54,T54)),0),$A$27:$A$246,1),2)</f>
        <v/>
      </c>
      <c r="AK54" s="311">
        <f>INDEX($A$27:$B$246,MATCH(IFERROR(IF(U54&lt;I54,I54,IF(U54&gt;M54,M54,U54)),0),$A$27:$A$246,1),2)</f>
        <v/>
      </c>
      <c r="AL54" s="311">
        <f>INDEX($A$27:$B$246,MATCH(IFERROR(IF(V54&lt;J54,J54,IF(V54&gt;N54,N54,V54)),0),$A$27:$A$246,1),2)</f>
        <v/>
      </c>
      <c r="AM54" s="311">
        <f>INDEX($A$27:$B$246,MATCH(IFERROR(IF(W54&lt;K54,K54,IF(W54&gt;O54,O54,W54)),0),$A$27:$A$246,1),2)</f>
        <v/>
      </c>
      <c r="AN54" s="311">
        <f>INDEX($A$27:$B$246,MATCH(IFERROR(IF(T54&lt;H54,H54,IF(T54&gt;L54,L54,T54)),0),$A$27:$A$246,1),2)</f>
        <v/>
      </c>
      <c r="AO54" s="311">
        <f>INDEX($A$27:$B$246,MATCH(IFERROR(IF(U54&lt;I54,I54,IF(U54&gt;M54,M54,U54)),0),$A$27:$A$246,1),2)</f>
        <v/>
      </c>
      <c r="AP54" s="311">
        <f>INDEX($A$27:$B$246,MATCH(IFERROR(IF(V54&lt;J54,J54,IF(V54&gt;N54,N54,V54)),0),$A$27:$A$246,1),2)</f>
        <v/>
      </c>
      <c r="AQ54" s="311">
        <f>INDEX($A$27:$B$246,MATCH(IFERROR(IF(W54&lt;K54,K54,IF(W54&gt;O54,O54,W54)),0),$A$27:$A$246,1),2)</f>
        <v/>
      </c>
      <c r="AR54" s="311">
        <f>INDEX($A$27:$B$246,MATCH(IFERROR(IF(T54+$AS$5&lt;H54,H54,IF(T54+$AS$5&gt;L54,L54,T54+$AS$5)),0),$A$27:$A$246,1),2)</f>
        <v/>
      </c>
      <c r="AS54" s="311">
        <f>INDEX($A$27:$B$246,MATCH(IFERROR(IF(U54+$AS$5&lt;I54,I54,IF(U54+$AS$5&gt;M54,M54,U54+$AS$5)),0),$A$27:$A$246,1),2)</f>
        <v/>
      </c>
      <c r="AT54" s="311">
        <f>INDEX($A$27:$B$246,MATCH(IFERROR(IF(V54+$AS$5&lt;J54,J54,IF(V54+$AS$5&gt;N54,N54,V54+$AS$5)),0),$A$27:$A$246,1),2)</f>
        <v/>
      </c>
      <c r="AU54" s="311">
        <f>INDEX($A$27:$B$246,MATCH(IFERROR(IF(W54+$AS$5&lt;K54,K54,IF(W54+$AS$5&gt;O54,O54,W54+$AS$5)),0),$A$27:$A$246,1),2)</f>
        <v/>
      </c>
      <c r="AV54" s="311">
        <f>INDEX($A$27:$B$246,MATCH(IFERROR(IF(T54+$AW$5&lt;H54,H54,IF(T54+$AW$5&gt;L54,L54,T54+$AW$5)),0),$A$27:$A$246,1),2)</f>
        <v/>
      </c>
      <c r="AW54" s="311">
        <f>INDEX($A$27:$B$246,MATCH(IFERROR(IF(U54+$AW$5&lt;I54,I54,IF(U54+$AW$5&gt;M54,M54,U54+$AW$5)),0),$A$27:$A$246,1),2)</f>
        <v/>
      </c>
      <c r="AX54" s="311">
        <f>INDEX($A$27:$B$246,MATCH(IFERROR(IF(V54+$AW$5&lt;J54,J54,IF(V54+$AW$5&gt;N54,N54,V54+$AW$5)),0),$A$27:$A$246,1),2)</f>
        <v/>
      </c>
      <c r="AY54" s="311">
        <f>INDEX($A$27:$B$246,MATCH(IFERROR(IF(W54+$AW$5&lt;K54,K54,IF(W54+$AW$5&gt;O54,O54,W54+$AW$5)),0),$A$27:$A$246,1),2)</f>
        <v/>
      </c>
      <c r="AZ54" s="311">
        <f>INDEX($A$27:$B$246,MATCH(IFERROR(IF(T54+$BA$5&lt;H54,H54,IF(T54+$BA$5&gt;L54,L54,T54+$BA$5)),0),$A$27:$A$246,1),2)</f>
        <v/>
      </c>
      <c r="BA54" s="311">
        <f>INDEX($A$27:$B$246,MATCH(IFERROR(IF(U54+$BA$5&lt;I54,I54,IF(U54+$BA$5&gt;M54,M54,U54+$BA$5)),0),$A$27:$A$246,1),2)</f>
        <v/>
      </c>
      <c r="BB54" s="311">
        <f>INDEX($A$27:$B$246,MATCH(IFERROR(IF(V54+$BA$5&lt;J54,J54,IF(V54+$BA$5&gt;N54,N54,V54+$BA$5)),0),$A$27:$A$246,1),2)</f>
        <v/>
      </c>
      <c r="BC54" s="311">
        <f>INDEX($A$27:$B$246,MATCH(IFERROR(IF(W54+$BA$5&lt;K54,K54,IF(W54+$BA$5&gt;O54,O54,W54+$BA$5)),0),$A$27:$A$246,1),2)</f>
        <v/>
      </c>
      <c r="BD54" s="311" t="s">
        <v>8</v>
      </c>
      <c r="BE54" s="311" t="s">
        <v>8</v>
      </c>
      <c r="BF54" s="311" t="s">
        <v>8</v>
      </c>
      <c r="BG54" s="311" t="s">
        <v>8</v>
      </c>
    </row>
    <row r="55" spans="1:64">
      <c r="A55" s="313">
        <f>A54+$B$24</f>
        <v/>
      </c>
      <c r="B55" s="313">
        <f>B54+$B$24</f>
        <v/>
      </c>
      <c r="C55" s="314" t="n"/>
      <c r="D55" t="s">
        <v>124</v>
      </c>
      <c r="E55" s="34" t="s">
        <v>124</v>
      </c>
      <c r="F55" s="34" t="s">
        <v>260</v>
      </c>
      <c r="G55" s="34" t="n">
        <v>340</v>
      </c>
      <c r="H55" s="310" t="n">
        <v>1</v>
      </c>
      <c r="I55" s="310" t="n">
        <v>1</v>
      </c>
      <c r="J55" s="310" t="n">
        <v>1</v>
      </c>
      <c r="K55" s="310" t="n">
        <v>1</v>
      </c>
      <c r="L55" s="311">
        <f>H55*$B$1</f>
        <v/>
      </c>
      <c r="M55" s="311">
        <f>I55*$B$1</f>
        <v/>
      </c>
      <c r="N55" s="311">
        <f>J55*$B$1</f>
        <v/>
      </c>
      <c r="O55" s="311">
        <f>K55*$B$1</f>
        <v/>
      </c>
      <c r="P55" s="311">
        <f>IFERROR(MIN(VLOOKUP(E55,Detalle!A:AA,$P$6,0),VLOOKUP(E55,Detalle!A:AA,$P$7,0),VLOOKUP(E55,Detalle!A:AA,$P$4,0)),0)</f>
        <v/>
      </c>
      <c r="Q55" s="311">
        <f>IFERROR(MIN(VLOOKUP(E55,Detalle!A:AA,$Q$6,0),VLOOKUP(E55,Detalle!A:AA,$Q$7,0)),0)</f>
        <v/>
      </c>
      <c r="R55" s="311">
        <f>IFERROR(MIN(VLOOKUP(E55,Detalle!A:AA,$R$6,0),VLOOKUP(E55,Detalle!A:AA,$R$7,0)),0)</f>
        <v/>
      </c>
      <c r="S55" s="311">
        <f>IFERROR(MIN(VLOOKUP(E55,Detalle!A:AA,$S$6,0),VLOOKUP(E55,Detalle!A:AA,$S$7,0)),0)</f>
        <v/>
      </c>
      <c r="T55" s="311">
        <f>IFERROR(MAX(VLOOKUP(E55,Detalle!A:AA,$P$6,0),VLOOKUP(E55,Detalle!A:AA,$P$7,0),VLOOKUP(E55,Detalle!A:AA,$P$4,0)),0)</f>
        <v/>
      </c>
      <c r="U55" s="311">
        <f>IFERROR(MAX(VLOOKUP(E55,Detalle!A:AA,$Q$6,0),VLOOKUP(E55,Detalle!A:AA,$Q$7,0)),0)</f>
        <v/>
      </c>
      <c r="V55" s="311">
        <f>IFERROR(MAX(VLOOKUP(E55,Detalle!A:AA,$R$6,0),VLOOKUP(E55,Detalle!A:AA,$R$7,0)),0)</f>
        <v/>
      </c>
      <c r="W55" s="311">
        <f>IFERROR(MAX(VLOOKUP(E55,Detalle!A:AA,$S$6,0),VLOOKUP(E55,Detalle!A:AA,$S$7,0)),0)</f>
        <v/>
      </c>
      <c r="X55" s="311">
        <f>INDEX($A$27:$B$246,MATCH(IFERROR(IF(P55*(1+$Y$5)&lt;H55,H55,IF(P55*(1+$Y$5)&gt;L55,L55,P55*(1+$Y$5))),0),$A$27:$A$246,1),2)</f>
        <v/>
      </c>
      <c r="Y55" s="311">
        <f>INDEX($A$27:$B$246,MATCH(IFERROR(IF(Q55*(1+$Y$5)&lt;I55,I55,IF(Q55*(1+$Y$5)&gt;M55,M55,Q55*(1+$Y$5))),0),$A$27:$A$246,1),2)</f>
        <v/>
      </c>
      <c r="Z55" s="311">
        <f>INDEX($A$27:$B$246,MATCH(IFERROR(IF(R55*(1+$Y$5)&lt;J55,J55,IF(R55*(1+$Y$5)&gt;N55,N55,R55*(1+$Y$5))),0),$A$27:$A$246,1),2)</f>
        <v/>
      </c>
      <c r="AA55" s="311">
        <f>INDEX($A$27:$B$246,MATCH(IFERROR(IF(S55*(1+$Y$5)&lt;K55,K55,IF(S55*(1+$Y$5)&gt;O55,O55,S55*(1+$Y$5))),0),$A$27:$A$246,1),2)</f>
        <v/>
      </c>
      <c r="AB55" s="311">
        <f>INDEX($A$27:$B$246,MATCH(IFERROR(IF(P55-$AC$5&lt;H55,H55,IF(P55-$AC$5&gt;L55,L55,P55-$AC$5)),0),$A$27:$A$246,1),2)</f>
        <v/>
      </c>
      <c r="AC55" s="311">
        <f>INDEX($A$27:$B$246,MATCH(IFERROR(IF(Q55-$AC$5&lt;I55,I55,IF(Q55-$AC$5&gt;M55,M55,Q55-$AC$5)),0),$A$27:$A$246,1),2)</f>
        <v/>
      </c>
      <c r="AD55" s="311">
        <f>INDEX($A$27:$B$246,MATCH(IFERROR(IF(R55-$AC$5&lt;J55,J55,IF(R55-$AC$5&gt;N55,N55,R55-$AC$5)),0),$A$27:$A$246,1),2)</f>
        <v/>
      </c>
      <c r="AE55" s="311">
        <f>INDEX($A$27:$B$246,MATCH(IFERROR(IF(S55-$AC$5&lt;K55,K55,IF(S55-$AC$5&gt;O55,O55,S55-$AC$5)),0),$A$27:$A$246,1),2)</f>
        <v/>
      </c>
      <c r="AF55" s="311" t="s">
        <v>8</v>
      </c>
      <c r="AG55" s="311" t="s">
        <v>8</v>
      </c>
      <c r="AH55" s="311" t="s">
        <v>8</v>
      </c>
      <c r="AI55" s="311" t="s">
        <v>8</v>
      </c>
      <c r="AJ55" s="311">
        <f>INDEX($A$27:$B$246,MATCH(IFERROR(IF(T55&lt;H55,H55,IF(T55&gt;L55,L55,T55)),0),$A$27:$A$246,1),2)</f>
        <v/>
      </c>
      <c r="AK55" s="311">
        <f>INDEX($A$27:$B$246,MATCH(IFERROR(IF(U55&lt;I55,I55,IF(U55&gt;M55,M55,U55)),0),$A$27:$A$246,1),2)</f>
        <v/>
      </c>
      <c r="AL55" s="311">
        <f>INDEX($A$27:$B$246,MATCH(IFERROR(IF(V55&lt;J55,J55,IF(V55&gt;N55,N55,V55)),0),$A$27:$A$246,1),2)</f>
        <v/>
      </c>
      <c r="AM55" s="311">
        <f>INDEX($A$27:$B$246,MATCH(IFERROR(IF(W55&lt;K55,K55,IF(W55&gt;O55,O55,W55)),0),$A$27:$A$246,1),2)</f>
        <v/>
      </c>
      <c r="AN55" s="311">
        <f>INDEX($A$27:$B$246,MATCH(IFERROR(IF(T55&lt;H55,H55,IF(T55&gt;L55,L55,T55)),0),$A$27:$A$246,1),2)</f>
        <v/>
      </c>
      <c r="AO55" s="311">
        <f>INDEX($A$27:$B$246,MATCH(IFERROR(IF(U55&lt;I55,I55,IF(U55&gt;M55,M55,U55)),0),$A$27:$A$246,1),2)</f>
        <v/>
      </c>
      <c r="AP55" s="311">
        <f>INDEX($A$27:$B$246,MATCH(IFERROR(IF(V55&lt;J55,J55,IF(V55&gt;N55,N55,V55)),0),$A$27:$A$246,1),2)</f>
        <v/>
      </c>
      <c r="AQ55" s="311">
        <f>INDEX($A$27:$B$246,MATCH(IFERROR(IF(W55&lt;K55,K55,IF(W55&gt;O55,O55,W55)),0),$A$27:$A$246,1),2)</f>
        <v/>
      </c>
      <c r="AR55" s="311">
        <f>INDEX($A$27:$B$246,MATCH(IFERROR(IF(T55+$AS$5&lt;H55,H55,IF(T55+$AS$5&gt;L55,L55,T55+$AS$5)),0),$A$27:$A$246,1),2)</f>
        <v/>
      </c>
      <c r="AS55" s="311">
        <f>INDEX($A$27:$B$246,MATCH(IFERROR(IF(U55+$AS$5&lt;I55,I55,IF(U55+$AS$5&gt;M55,M55,U55+$AS$5)),0),$A$27:$A$246,1),2)</f>
        <v/>
      </c>
      <c r="AT55" s="311">
        <f>INDEX($A$27:$B$246,MATCH(IFERROR(IF(V55+$AS$5&lt;J55,J55,IF(V55+$AS$5&gt;N55,N55,V55+$AS$5)),0),$A$27:$A$246,1),2)</f>
        <v/>
      </c>
      <c r="AU55" s="311">
        <f>INDEX($A$27:$B$246,MATCH(IFERROR(IF(W55+$AS$5&lt;K55,K55,IF(W55+$AS$5&gt;O55,O55,W55+$AS$5)),0),$A$27:$A$246,1),2)</f>
        <v/>
      </c>
      <c r="AV55" s="311">
        <f>INDEX($A$27:$B$246,MATCH(IFERROR(IF(T55+$AW$5&lt;H55,H55,IF(T55+$AW$5&gt;L55,L55,T55+$AW$5)),0),$A$27:$A$246,1),2)</f>
        <v/>
      </c>
      <c r="AW55" s="311">
        <f>INDEX($A$27:$B$246,MATCH(IFERROR(IF(U55+$AW$5&lt;I55,I55,IF(U55+$AW$5&gt;M55,M55,U55+$AW$5)),0),$A$27:$A$246,1),2)</f>
        <v/>
      </c>
      <c r="AX55" s="311">
        <f>INDEX($A$27:$B$246,MATCH(IFERROR(IF(V55+$AW$5&lt;J55,J55,IF(V55+$AW$5&gt;N55,N55,V55+$AW$5)),0),$A$27:$A$246,1),2)</f>
        <v/>
      </c>
      <c r="AY55" s="311">
        <f>INDEX($A$27:$B$246,MATCH(IFERROR(IF(W55+$AW$5&lt;K55,K55,IF(W55+$AW$5&gt;O55,O55,W55+$AW$5)),0),$A$27:$A$246,1),2)</f>
        <v/>
      </c>
      <c r="AZ55" s="311">
        <f>INDEX($A$27:$B$246,MATCH(IFERROR(IF(T55+$BA$5&lt;H55,H55,IF(T55+$BA$5&gt;L55,L55,T55+$BA$5)),0),$A$27:$A$246,1),2)</f>
        <v/>
      </c>
      <c r="BA55" s="311">
        <f>INDEX($A$27:$B$246,MATCH(IFERROR(IF(U55+$BA$5&lt;I55,I55,IF(U55+$BA$5&gt;M55,M55,U55+$BA$5)),0),$A$27:$A$246,1),2)</f>
        <v/>
      </c>
      <c r="BB55" s="311">
        <f>INDEX($A$27:$B$246,MATCH(IFERROR(IF(V55+$BA$5&lt;J55,J55,IF(V55+$BA$5&gt;N55,N55,V55+$BA$5)),0),$A$27:$A$246,1),2)</f>
        <v/>
      </c>
      <c r="BC55" s="311">
        <f>INDEX($A$27:$B$246,MATCH(IFERROR(IF(W55+$BA$5&lt;K55,K55,IF(W55+$BA$5&gt;O55,O55,W55+$BA$5)),0),$A$27:$A$246,1),2)</f>
        <v/>
      </c>
      <c r="BD55" s="311" t="s">
        <v>8</v>
      </c>
      <c r="BE55" s="311" t="s">
        <v>8</v>
      </c>
      <c r="BF55" s="311" t="s">
        <v>8</v>
      </c>
      <c r="BG55" s="311" t="s">
        <v>8</v>
      </c>
    </row>
    <row r="56" spans="1:64">
      <c r="A56" s="313">
        <f>A55+$B$24</f>
        <v/>
      </c>
      <c r="B56" s="313">
        <f>B55+$B$24</f>
        <v/>
      </c>
      <c r="C56" s="314" t="n"/>
      <c r="D56" t="s">
        <v>125</v>
      </c>
      <c r="E56" s="34" t="s">
        <v>125</v>
      </c>
      <c r="F56" s="34" t="s">
        <v>260</v>
      </c>
      <c r="G56" s="34" t="n">
        <v>342</v>
      </c>
      <c r="H56" s="310" t="n">
        <v>1</v>
      </c>
      <c r="I56" s="310" t="n">
        <v>1</v>
      </c>
      <c r="J56" s="310" t="n">
        <v>1</v>
      </c>
      <c r="K56" s="310" t="n">
        <v>1</v>
      </c>
      <c r="L56" s="311">
        <f>H56*$B$1</f>
        <v/>
      </c>
      <c r="M56" s="311">
        <f>I56*$B$1</f>
        <v/>
      </c>
      <c r="N56" s="311">
        <f>J56*$B$1</f>
        <v/>
      </c>
      <c r="O56" s="311">
        <f>K56*$B$1</f>
        <v/>
      </c>
      <c r="P56" s="311">
        <f>IFERROR(MIN(VLOOKUP(E56,Detalle!A:AA,$P$6,0),VLOOKUP(E56,Detalle!A:AA,$P$7,0),VLOOKUP(E56,Detalle!A:AA,$P$4,0)),0)</f>
        <v/>
      </c>
      <c r="Q56" s="311">
        <f>IFERROR(MIN(VLOOKUP(E56,Detalle!A:AA,$Q$6,0),VLOOKUP(E56,Detalle!A:AA,$Q$7,0)),0)</f>
        <v/>
      </c>
      <c r="R56" s="311">
        <f>IFERROR(MIN(VLOOKUP(E56,Detalle!A:AA,$R$6,0),VLOOKUP(E56,Detalle!A:AA,$R$7,0)),0)</f>
        <v/>
      </c>
      <c r="S56" s="311">
        <f>IFERROR(MIN(VLOOKUP(E56,Detalle!A:AA,$S$6,0),VLOOKUP(E56,Detalle!A:AA,$S$7,0)),0)</f>
        <v/>
      </c>
      <c r="T56" s="311">
        <f>IFERROR(MAX(VLOOKUP(E56,Detalle!A:AA,$P$6,0),VLOOKUP(E56,Detalle!A:AA,$P$7,0),VLOOKUP(E56,Detalle!A:AA,$P$4,0)),0)</f>
        <v/>
      </c>
      <c r="U56" s="311">
        <f>IFERROR(MAX(VLOOKUP(E56,Detalle!A:AA,$Q$6,0),VLOOKUP(E56,Detalle!A:AA,$Q$7,0)),0)</f>
        <v/>
      </c>
      <c r="V56" s="311">
        <f>IFERROR(MAX(VLOOKUP(E56,Detalle!A:AA,$R$6,0),VLOOKUP(E56,Detalle!A:AA,$R$7,0)),0)</f>
        <v/>
      </c>
      <c r="W56" s="311">
        <f>IFERROR(MAX(VLOOKUP(E56,Detalle!A:AA,$S$6,0),VLOOKUP(E56,Detalle!A:AA,$S$7,0)),0)</f>
        <v/>
      </c>
      <c r="X56" s="311">
        <f>INDEX($A$27:$B$246,MATCH(IFERROR(IF(P56*(1+$Y$5)&lt;H56,H56,IF(P56*(1+$Y$5)&gt;L56,L56,P56*(1+$Y$5))),0),$A$27:$A$246,1),2)</f>
        <v/>
      </c>
      <c r="Y56" s="311">
        <f>INDEX($A$27:$B$246,MATCH(IFERROR(IF(Q56*(1+$Y$5)&lt;I56,I56,IF(Q56*(1+$Y$5)&gt;M56,M56,Q56*(1+$Y$5))),0),$A$27:$A$246,1),2)</f>
        <v/>
      </c>
      <c r="Z56" s="311">
        <f>INDEX($A$27:$B$246,MATCH(IFERROR(IF(R56*(1+$Y$5)&lt;J56,J56,IF(R56*(1+$Y$5)&gt;N56,N56,R56*(1+$Y$5))),0),$A$27:$A$246,1),2)</f>
        <v/>
      </c>
      <c r="AA56" s="311">
        <f>INDEX($A$27:$B$246,MATCH(IFERROR(IF(S56*(1+$Y$5)&lt;K56,K56,IF(S56*(1+$Y$5)&gt;O56,O56,S56*(1+$Y$5))),0),$A$27:$A$246,1),2)</f>
        <v/>
      </c>
      <c r="AB56" s="311">
        <f>INDEX($A$27:$B$246,MATCH(IFERROR(IF(P56-$AC$5&lt;H56,H56,IF(P56-$AC$5&gt;L56,L56,P56-$AC$5)),0),$A$27:$A$246,1),2)</f>
        <v/>
      </c>
      <c r="AC56" s="311">
        <f>INDEX($A$27:$B$246,MATCH(IFERROR(IF(Q56-$AC$5&lt;I56,I56,IF(Q56-$AC$5&gt;M56,M56,Q56-$AC$5)),0),$A$27:$A$246,1),2)</f>
        <v/>
      </c>
      <c r="AD56" s="311">
        <f>INDEX($A$27:$B$246,MATCH(IFERROR(IF(R56-$AC$5&lt;J56,J56,IF(R56-$AC$5&gt;N56,N56,R56-$AC$5)),0),$A$27:$A$246,1),2)</f>
        <v/>
      </c>
      <c r="AE56" s="311">
        <f>INDEX($A$27:$B$246,MATCH(IFERROR(IF(S56-$AC$5&lt;K56,K56,IF(S56-$AC$5&gt;O56,O56,S56-$AC$5)),0),$A$27:$A$246,1),2)</f>
        <v/>
      </c>
      <c r="AF56" s="311" t="s">
        <v>8</v>
      </c>
      <c r="AG56" s="311" t="s">
        <v>8</v>
      </c>
      <c r="AH56" s="311" t="s">
        <v>8</v>
      </c>
      <c r="AI56" s="311" t="s">
        <v>8</v>
      </c>
      <c r="AJ56" s="311">
        <f>INDEX($A$27:$B$246,MATCH(IFERROR(IF(T56&lt;H56,H56,IF(T56&gt;L56,L56,T56)),0),$A$27:$A$246,1),2)</f>
        <v/>
      </c>
      <c r="AK56" s="311">
        <f>INDEX($A$27:$B$246,MATCH(IFERROR(IF(U56&lt;I56,I56,IF(U56&gt;M56,M56,U56)),0),$A$27:$A$246,1),2)</f>
        <v/>
      </c>
      <c r="AL56" s="311">
        <f>INDEX($A$27:$B$246,MATCH(IFERROR(IF(V56&lt;J56,J56,IF(V56&gt;N56,N56,V56)),0),$A$27:$A$246,1),2)</f>
        <v/>
      </c>
      <c r="AM56" s="311">
        <f>INDEX($A$27:$B$246,MATCH(IFERROR(IF(W56&lt;K56,K56,IF(W56&gt;O56,O56,W56)),0),$A$27:$A$246,1),2)</f>
        <v/>
      </c>
      <c r="AN56" s="311">
        <f>INDEX($A$27:$B$246,MATCH(IFERROR(IF(T56&lt;H56,H56,IF(T56&gt;L56,L56,T56)),0),$A$27:$A$246,1),2)</f>
        <v/>
      </c>
      <c r="AO56" s="311">
        <f>INDEX($A$27:$B$246,MATCH(IFERROR(IF(U56&lt;I56,I56,IF(U56&gt;M56,M56,U56)),0),$A$27:$A$246,1),2)</f>
        <v/>
      </c>
      <c r="AP56" s="311">
        <f>INDEX($A$27:$B$246,MATCH(IFERROR(IF(V56&lt;J56,J56,IF(V56&gt;N56,N56,V56)),0),$A$27:$A$246,1),2)</f>
        <v/>
      </c>
      <c r="AQ56" s="311">
        <f>INDEX($A$27:$B$246,MATCH(IFERROR(IF(W56&lt;K56,K56,IF(W56&gt;O56,O56,W56)),0),$A$27:$A$246,1),2)</f>
        <v/>
      </c>
      <c r="AR56" s="311">
        <f>INDEX($A$27:$B$246,MATCH(IFERROR(IF(T56+$AS$5&lt;H56,H56,IF(T56+$AS$5&gt;L56,L56,T56+$AS$5)),0),$A$27:$A$246,1),2)</f>
        <v/>
      </c>
      <c r="AS56" s="311">
        <f>INDEX($A$27:$B$246,MATCH(IFERROR(IF(U56+$AS$5&lt;I56,I56,IF(U56+$AS$5&gt;M56,M56,U56+$AS$5)),0),$A$27:$A$246,1),2)</f>
        <v/>
      </c>
      <c r="AT56" s="311">
        <f>INDEX($A$27:$B$246,MATCH(IFERROR(IF(V56+$AS$5&lt;J56,J56,IF(V56+$AS$5&gt;N56,N56,V56+$AS$5)),0),$A$27:$A$246,1),2)</f>
        <v/>
      </c>
      <c r="AU56" s="311">
        <f>INDEX($A$27:$B$246,MATCH(IFERROR(IF(W56+$AS$5&lt;K56,K56,IF(W56+$AS$5&gt;O56,O56,W56+$AS$5)),0),$A$27:$A$246,1),2)</f>
        <v/>
      </c>
      <c r="AV56" s="311">
        <f>INDEX($A$27:$B$246,MATCH(IFERROR(IF(T56+$AW$5&lt;H56,H56,IF(T56+$AW$5&gt;L56,L56,T56+$AW$5)),0),$A$27:$A$246,1),2)</f>
        <v/>
      </c>
      <c r="AW56" s="311">
        <f>INDEX($A$27:$B$246,MATCH(IFERROR(IF(U56+$AW$5&lt;I56,I56,IF(U56+$AW$5&gt;M56,M56,U56+$AW$5)),0),$A$27:$A$246,1),2)</f>
        <v/>
      </c>
      <c r="AX56" s="311">
        <f>INDEX($A$27:$B$246,MATCH(IFERROR(IF(V56+$AW$5&lt;J56,J56,IF(V56+$AW$5&gt;N56,N56,V56+$AW$5)),0),$A$27:$A$246,1),2)</f>
        <v/>
      </c>
      <c r="AY56" s="311">
        <f>INDEX($A$27:$B$246,MATCH(IFERROR(IF(W56+$AW$5&lt;K56,K56,IF(W56+$AW$5&gt;O56,O56,W56+$AW$5)),0),$A$27:$A$246,1),2)</f>
        <v/>
      </c>
      <c r="AZ56" s="311">
        <f>INDEX($A$27:$B$246,MATCH(IFERROR(IF(T56+$BA$5&lt;H56,H56,IF(T56+$BA$5&gt;L56,L56,T56+$BA$5)),0),$A$27:$A$246,1),2)</f>
        <v/>
      </c>
      <c r="BA56" s="311">
        <f>INDEX($A$27:$B$246,MATCH(IFERROR(IF(U56+$BA$5&lt;I56,I56,IF(U56+$BA$5&gt;M56,M56,U56+$BA$5)),0),$A$27:$A$246,1),2)</f>
        <v/>
      </c>
      <c r="BB56" s="311">
        <f>INDEX($A$27:$B$246,MATCH(IFERROR(IF(V56+$BA$5&lt;J56,J56,IF(V56+$BA$5&gt;N56,N56,V56+$BA$5)),0),$A$27:$A$246,1),2)</f>
        <v/>
      </c>
      <c r="BC56" s="311">
        <f>INDEX($A$27:$B$246,MATCH(IFERROR(IF(W56+$BA$5&lt;K56,K56,IF(W56+$BA$5&gt;O56,O56,W56+$BA$5)),0),$A$27:$A$246,1),2)</f>
        <v/>
      </c>
      <c r="BD56" s="311" t="s">
        <v>8</v>
      </c>
      <c r="BE56" s="311" t="s">
        <v>8</v>
      </c>
      <c r="BF56" s="311" t="s">
        <v>8</v>
      </c>
      <c r="BG56" s="311" t="s">
        <v>8</v>
      </c>
    </row>
    <row r="57" spans="1:64">
      <c r="A57" s="313">
        <f>A56+$B$24</f>
        <v/>
      </c>
      <c r="B57" s="313">
        <f>B56+$B$24</f>
        <v/>
      </c>
      <c r="C57" s="314" t="n"/>
      <c r="D57" t="s">
        <v>126</v>
      </c>
      <c r="E57" s="34" t="s">
        <v>126</v>
      </c>
      <c r="F57" s="34" t="s">
        <v>260</v>
      </c>
      <c r="G57" s="34" t="n">
        <v>344</v>
      </c>
      <c r="H57" s="310" t="n">
        <v>1</v>
      </c>
      <c r="I57" s="310" t="n">
        <v>1</v>
      </c>
      <c r="J57" s="310" t="n">
        <v>1</v>
      </c>
      <c r="K57" s="310" t="n">
        <v>1</v>
      </c>
      <c r="L57" s="311">
        <f>H57*$B$1</f>
        <v/>
      </c>
      <c r="M57" s="311">
        <f>I57*$B$1</f>
        <v/>
      </c>
      <c r="N57" s="311">
        <f>J57*$B$1</f>
        <v/>
      </c>
      <c r="O57" s="311">
        <f>K57*$B$1</f>
        <v/>
      </c>
      <c r="P57" s="311">
        <f>IFERROR(MIN(VLOOKUP(E57,Detalle!A:AA,$P$6,0),VLOOKUP(E57,Detalle!A:AA,$P$7,0),VLOOKUP(E57,Detalle!A:AA,$P$4,0)),0)</f>
        <v/>
      </c>
      <c r="Q57" s="311">
        <f>IFERROR(MIN(VLOOKUP(E57,Detalle!A:AA,$Q$6,0),VLOOKUP(E57,Detalle!A:AA,$Q$7,0)),0)</f>
        <v/>
      </c>
      <c r="R57" s="311">
        <f>IFERROR(MIN(VLOOKUP(E57,Detalle!A:AA,$R$6,0),VLOOKUP(E57,Detalle!A:AA,$R$7,0)),0)</f>
        <v/>
      </c>
      <c r="S57" s="311">
        <f>IFERROR(MIN(VLOOKUP(E57,Detalle!A:AA,$S$6,0),VLOOKUP(E57,Detalle!A:AA,$S$7,0)),0)</f>
        <v/>
      </c>
      <c r="T57" s="311">
        <f>IFERROR(MAX(VLOOKUP(E57,Detalle!A:AA,$P$6,0),VLOOKUP(E57,Detalle!A:AA,$P$7,0),VLOOKUP(E57,Detalle!A:AA,$P$4,0)),0)</f>
        <v/>
      </c>
      <c r="U57" s="311">
        <f>IFERROR(MAX(VLOOKUP(E57,Detalle!A:AA,$Q$6,0),VLOOKUP(E57,Detalle!A:AA,$Q$7,0)),0)</f>
        <v/>
      </c>
      <c r="V57" s="311">
        <f>IFERROR(MAX(VLOOKUP(E57,Detalle!A:AA,$R$6,0),VLOOKUP(E57,Detalle!A:AA,$R$7,0)),0)</f>
        <v/>
      </c>
      <c r="W57" s="311">
        <f>IFERROR(MAX(VLOOKUP(E57,Detalle!A:AA,$S$6,0),VLOOKUP(E57,Detalle!A:AA,$S$7,0)),0)</f>
        <v/>
      </c>
      <c r="X57" s="311">
        <f>INDEX($A$27:$B$246,MATCH(IFERROR(IF(P57*(1+$Y$5)&lt;H57,H57,IF(P57*(1+$Y$5)&gt;L57,L57,P57*(1+$Y$5))),0),$A$27:$A$246,1),2)</f>
        <v/>
      </c>
      <c r="Y57" s="311">
        <f>INDEX($A$27:$B$246,MATCH(IFERROR(IF(Q57*(1+$Y$5)&lt;I57,I57,IF(Q57*(1+$Y$5)&gt;M57,M57,Q57*(1+$Y$5))),0),$A$27:$A$246,1),2)</f>
        <v/>
      </c>
      <c r="Z57" s="311">
        <f>INDEX($A$27:$B$246,MATCH(IFERROR(IF(R57*(1+$Y$5)&lt;J57,J57,IF(R57*(1+$Y$5)&gt;N57,N57,R57*(1+$Y$5))),0),$A$27:$A$246,1),2)</f>
        <v/>
      </c>
      <c r="AA57" s="311">
        <f>INDEX($A$27:$B$246,MATCH(IFERROR(IF(S57*(1+$Y$5)&lt;K57,K57,IF(S57*(1+$Y$5)&gt;O57,O57,S57*(1+$Y$5))),0),$A$27:$A$246,1),2)</f>
        <v/>
      </c>
      <c r="AB57" s="311">
        <f>INDEX($A$27:$B$246,MATCH(IFERROR(IF(P57-$AC$5&lt;H57,H57,IF(P57-$AC$5&gt;L57,L57,P57-$AC$5)),0),$A$27:$A$246,1),2)</f>
        <v/>
      </c>
      <c r="AC57" s="311">
        <f>INDEX($A$27:$B$246,MATCH(IFERROR(IF(Q57-$AC$5&lt;I57,I57,IF(Q57-$AC$5&gt;M57,M57,Q57-$AC$5)),0),$A$27:$A$246,1),2)</f>
        <v/>
      </c>
      <c r="AD57" s="311">
        <f>INDEX($A$27:$B$246,MATCH(IFERROR(IF(R57-$AC$5&lt;J57,J57,IF(R57-$AC$5&gt;N57,N57,R57-$AC$5)),0),$A$27:$A$246,1),2)</f>
        <v/>
      </c>
      <c r="AE57" s="311">
        <f>INDEX($A$27:$B$246,MATCH(IFERROR(IF(S57-$AC$5&lt;K57,K57,IF(S57-$AC$5&gt;O57,O57,S57-$AC$5)),0),$A$27:$A$246,1),2)</f>
        <v/>
      </c>
      <c r="AF57" s="311" t="s">
        <v>8</v>
      </c>
      <c r="AG57" s="311" t="s">
        <v>8</v>
      </c>
      <c r="AH57" s="311" t="s">
        <v>8</v>
      </c>
      <c r="AI57" s="311" t="s">
        <v>8</v>
      </c>
      <c r="AJ57" s="311">
        <f>INDEX($A$27:$B$246,MATCH(IFERROR(IF(T57&lt;H57,H57,IF(T57&gt;L57,L57,T57)),0),$A$27:$A$246,1),2)</f>
        <v/>
      </c>
      <c r="AK57" s="311">
        <f>INDEX($A$27:$B$246,MATCH(IFERROR(IF(U57&lt;I57,I57,IF(U57&gt;M57,M57,U57)),0),$A$27:$A$246,1),2)</f>
        <v/>
      </c>
      <c r="AL57" s="311">
        <f>INDEX($A$27:$B$246,MATCH(IFERROR(IF(V57&lt;J57,J57,IF(V57&gt;N57,N57,V57)),0),$A$27:$A$246,1),2)</f>
        <v/>
      </c>
      <c r="AM57" s="311">
        <f>INDEX($A$27:$B$246,MATCH(IFERROR(IF(W57&lt;K57,K57,IF(W57&gt;O57,O57,W57)),0),$A$27:$A$246,1),2)</f>
        <v/>
      </c>
      <c r="AN57" s="311">
        <f>INDEX($A$27:$B$246,MATCH(IFERROR(IF(T57&lt;H57,H57,IF(T57&gt;L57,L57,T57)),0),$A$27:$A$246,1),2)</f>
        <v/>
      </c>
      <c r="AO57" s="311">
        <f>INDEX($A$27:$B$246,MATCH(IFERROR(IF(U57&lt;I57,I57,IF(U57&gt;M57,M57,U57)),0),$A$27:$A$246,1),2)</f>
        <v/>
      </c>
      <c r="AP57" s="311">
        <f>INDEX($A$27:$B$246,MATCH(IFERROR(IF(V57&lt;J57,J57,IF(V57&gt;N57,N57,V57)),0),$A$27:$A$246,1),2)</f>
        <v/>
      </c>
      <c r="AQ57" s="311">
        <f>INDEX($A$27:$B$246,MATCH(IFERROR(IF(W57&lt;K57,K57,IF(W57&gt;O57,O57,W57)),0),$A$27:$A$246,1),2)</f>
        <v/>
      </c>
      <c r="AR57" s="311">
        <f>INDEX($A$27:$B$246,MATCH(IFERROR(IF(T57+$AS$5&lt;H57,H57,IF(T57+$AS$5&gt;L57,L57,T57+$AS$5)),0),$A$27:$A$246,1),2)</f>
        <v/>
      </c>
      <c r="AS57" s="311">
        <f>INDEX($A$27:$B$246,MATCH(IFERROR(IF(U57+$AS$5&lt;I57,I57,IF(U57+$AS$5&gt;M57,M57,U57+$AS$5)),0),$A$27:$A$246,1),2)</f>
        <v/>
      </c>
      <c r="AT57" s="311">
        <f>INDEX($A$27:$B$246,MATCH(IFERROR(IF(V57+$AS$5&lt;J57,J57,IF(V57+$AS$5&gt;N57,N57,V57+$AS$5)),0),$A$27:$A$246,1),2)</f>
        <v/>
      </c>
      <c r="AU57" s="311">
        <f>INDEX($A$27:$B$246,MATCH(IFERROR(IF(W57+$AS$5&lt;K57,K57,IF(W57+$AS$5&gt;O57,O57,W57+$AS$5)),0),$A$27:$A$246,1),2)</f>
        <v/>
      </c>
      <c r="AV57" s="311">
        <f>INDEX($A$27:$B$246,MATCH(IFERROR(IF(T57+$AW$5&lt;H57,H57,IF(T57+$AW$5&gt;L57,L57,T57+$AW$5)),0),$A$27:$A$246,1),2)</f>
        <v/>
      </c>
      <c r="AW57" s="311">
        <f>INDEX($A$27:$B$246,MATCH(IFERROR(IF(U57+$AW$5&lt;I57,I57,IF(U57+$AW$5&gt;M57,M57,U57+$AW$5)),0),$A$27:$A$246,1),2)</f>
        <v/>
      </c>
      <c r="AX57" s="311">
        <f>INDEX($A$27:$B$246,MATCH(IFERROR(IF(V57+$AW$5&lt;J57,J57,IF(V57+$AW$5&gt;N57,N57,V57+$AW$5)),0),$A$27:$A$246,1),2)</f>
        <v/>
      </c>
      <c r="AY57" s="311">
        <f>INDEX($A$27:$B$246,MATCH(IFERROR(IF(W57+$AW$5&lt;K57,K57,IF(W57+$AW$5&gt;O57,O57,W57+$AW$5)),0),$A$27:$A$246,1),2)</f>
        <v/>
      </c>
      <c r="AZ57" s="311">
        <f>INDEX($A$27:$B$246,MATCH(IFERROR(IF(T57+$BA$5&lt;H57,H57,IF(T57+$BA$5&gt;L57,L57,T57+$BA$5)),0),$A$27:$A$246,1),2)</f>
        <v/>
      </c>
      <c r="BA57" s="311">
        <f>INDEX($A$27:$B$246,MATCH(IFERROR(IF(U57+$BA$5&lt;I57,I57,IF(U57+$BA$5&gt;M57,M57,U57+$BA$5)),0),$A$27:$A$246,1),2)</f>
        <v/>
      </c>
      <c r="BB57" s="311">
        <f>INDEX($A$27:$B$246,MATCH(IFERROR(IF(V57+$BA$5&lt;J57,J57,IF(V57+$BA$5&gt;N57,N57,V57+$BA$5)),0),$A$27:$A$246,1),2)</f>
        <v/>
      </c>
      <c r="BC57" s="311">
        <f>INDEX($A$27:$B$246,MATCH(IFERROR(IF(W57+$BA$5&lt;K57,K57,IF(W57+$BA$5&gt;O57,O57,W57+$BA$5)),0),$A$27:$A$246,1),2)</f>
        <v/>
      </c>
      <c r="BD57" s="311" t="s">
        <v>8</v>
      </c>
      <c r="BE57" s="311" t="s">
        <v>8</v>
      </c>
      <c r="BF57" s="311" t="s">
        <v>8</v>
      </c>
      <c r="BG57" s="311" t="s">
        <v>8</v>
      </c>
    </row>
    <row r="58" spans="1:64">
      <c r="A58" s="313">
        <f>A57+$B$24</f>
        <v/>
      </c>
      <c r="B58" s="313">
        <f>B57+$B$24</f>
        <v/>
      </c>
      <c r="C58" s="314" t="n"/>
      <c r="D58" t="s">
        <v>127</v>
      </c>
      <c r="E58" s="34" t="s">
        <v>127</v>
      </c>
      <c r="F58" s="34" t="s">
        <v>258</v>
      </c>
      <c r="G58" s="34" t="n">
        <v>347</v>
      </c>
      <c r="H58" s="310" t="n">
        <v>1</v>
      </c>
      <c r="I58" s="310" t="n">
        <v>1</v>
      </c>
      <c r="J58" s="310" t="n">
        <v>1</v>
      </c>
      <c r="K58" s="310" t="n">
        <v>1</v>
      </c>
      <c r="L58" s="311">
        <f>H58*$B$1</f>
        <v/>
      </c>
      <c r="M58" s="311">
        <f>I58*$B$1</f>
        <v/>
      </c>
      <c r="N58" s="311">
        <f>J58*$B$1</f>
        <v/>
      </c>
      <c r="O58" s="311">
        <f>K58*$B$1</f>
        <v/>
      </c>
      <c r="P58" s="311">
        <f>IFERROR(MIN(VLOOKUP(E58,Detalle!A:AA,$P$6,0),VLOOKUP(E58,Detalle!A:AA,$P$7,0),VLOOKUP(E58,Detalle!A:AA,$P$4,0)),0)</f>
        <v/>
      </c>
      <c r="Q58" s="311">
        <f>IFERROR(MIN(VLOOKUP(E58,Detalle!A:AA,$Q$6,0),VLOOKUP(E58,Detalle!A:AA,$Q$7,0)),0)</f>
        <v/>
      </c>
      <c r="R58" s="311">
        <f>IFERROR(MIN(VLOOKUP(E58,Detalle!A:AA,$R$6,0),VLOOKUP(E58,Detalle!A:AA,$R$7,0)),0)</f>
        <v/>
      </c>
      <c r="S58" s="311">
        <f>IFERROR(MIN(VLOOKUP(E58,Detalle!A:AA,$S$6,0),VLOOKUP(E58,Detalle!A:AA,$S$7,0)),0)</f>
        <v/>
      </c>
      <c r="T58" s="311">
        <f>IFERROR(MAX(VLOOKUP(E58,Detalle!A:AA,$P$6,0),VLOOKUP(E58,Detalle!A:AA,$P$7,0),VLOOKUP(E58,Detalle!A:AA,$P$4,0)),0)</f>
        <v/>
      </c>
      <c r="U58" s="311">
        <f>IFERROR(MAX(VLOOKUP(E58,Detalle!A:AA,$Q$6,0),VLOOKUP(E58,Detalle!A:AA,$Q$7,0)),0)</f>
        <v/>
      </c>
      <c r="V58" s="311">
        <f>IFERROR(MAX(VLOOKUP(E58,Detalle!A:AA,$R$6,0),VLOOKUP(E58,Detalle!A:AA,$R$7,0)),0)</f>
        <v/>
      </c>
      <c r="W58" s="311">
        <f>IFERROR(MAX(VLOOKUP(E58,Detalle!A:AA,$S$6,0),VLOOKUP(E58,Detalle!A:AA,$S$7,0)),0)</f>
        <v/>
      </c>
      <c r="X58" s="311">
        <f>INDEX($A$27:$B$246,MATCH(IFERROR(IF(P58*(1+$Y$5)&lt;H58,H58,IF(P58*(1+$Y$5)&gt;L58,L58,P58*(1+$Y$5))),0),$A$27:$A$246,1),2)</f>
        <v/>
      </c>
      <c r="Y58" s="311">
        <f>INDEX($A$27:$B$246,MATCH(IFERROR(IF(Q58*(1+$Y$5)&lt;I58,I58,IF(Q58*(1+$Y$5)&gt;M58,M58,Q58*(1+$Y$5))),0),$A$27:$A$246,1),2)</f>
        <v/>
      </c>
      <c r="Z58" s="311">
        <f>INDEX($A$27:$B$246,MATCH(IFERROR(IF(R58*(1+$Y$5)&lt;J58,J58,IF(R58*(1+$Y$5)&gt;N58,N58,R58*(1+$Y$5))),0),$A$27:$A$246,1),2)</f>
        <v/>
      </c>
      <c r="AA58" s="311">
        <f>INDEX($A$27:$B$246,MATCH(IFERROR(IF(S58*(1+$Y$5)&lt;K58,K58,IF(S58*(1+$Y$5)&gt;O58,O58,S58*(1+$Y$5))),0),$A$27:$A$246,1),2)</f>
        <v/>
      </c>
      <c r="AB58" s="311">
        <f>INDEX($A$27:$B$246,MATCH(IFERROR(IF(P58-$AC$5&lt;H58,H58,IF(P58-$AC$5&gt;L58,L58,P58-$AC$5)),0),$A$27:$A$246,1),2)</f>
        <v/>
      </c>
      <c r="AC58" s="311">
        <f>INDEX($A$27:$B$246,MATCH(IFERROR(IF(Q58-$AC$5&lt;I58,I58,IF(Q58-$AC$5&gt;M58,M58,Q58-$AC$5)),0),$A$27:$A$246,1),2)</f>
        <v/>
      </c>
      <c r="AD58" s="311">
        <f>INDEX($A$27:$B$246,MATCH(IFERROR(IF(R58-$AC$5&lt;J58,J58,IF(R58-$AC$5&gt;N58,N58,R58-$AC$5)),0),$A$27:$A$246,1),2)</f>
        <v/>
      </c>
      <c r="AE58" s="311">
        <f>INDEX($A$27:$B$246,MATCH(IFERROR(IF(S58-$AC$5&lt;K58,K58,IF(S58-$AC$5&gt;O58,O58,S58-$AC$5)),0),$A$27:$A$246,1),2)</f>
        <v/>
      </c>
      <c r="AF58" s="311" t="s">
        <v>8</v>
      </c>
      <c r="AG58" s="311" t="s">
        <v>8</v>
      </c>
      <c r="AH58" s="311" t="s">
        <v>8</v>
      </c>
      <c r="AI58" s="311" t="s">
        <v>8</v>
      </c>
      <c r="AJ58" s="311">
        <f>INDEX($A$27:$B$246,MATCH(IFERROR(IF(T58&lt;H58,H58,IF(T58&gt;L58,L58,T58)),0),$A$27:$A$246,1),2)</f>
        <v/>
      </c>
      <c r="AK58" s="311">
        <f>INDEX($A$27:$B$246,MATCH(IFERROR(IF(U58&lt;I58,I58,IF(U58&gt;M58,M58,U58)),0),$A$27:$A$246,1),2)</f>
        <v/>
      </c>
      <c r="AL58" s="311">
        <f>INDEX($A$27:$B$246,MATCH(IFERROR(IF(V58&lt;J58,J58,IF(V58&gt;N58,N58,V58)),0),$A$27:$A$246,1),2)</f>
        <v/>
      </c>
      <c r="AM58" s="311">
        <f>INDEX($A$27:$B$246,MATCH(IFERROR(IF(W58&lt;K58,K58,IF(W58&gt;O58,O58,W58)),0),$A$27:$A$246,1),2)</f>
        <v/>
      </c>
      <c r="AN58" s="311">
        <f>INDEX($A$27:$B$246,MATCH(IFERROR(IF(T58&lt;H58,H58,IF(T58&gt;L58,L58,T58)),0),$A$27:$A$246,1),2)</f>
        <v/>
      </c>
      <c r="AO58" s="311">
        <f>INDEX($A$27:$B$246,MATCH(IFERROR(IF(U58&lt;I58,I58,IF(U58&gt;M58,M58,U58)),0),$A$27:$A$246,1),2)</f>
        <v/>
      </c>
      <c r="AP58" s="311">
        <f>INDEX($A$27:$B$246,MATCH(IFERROR(IF(V58&lt;J58,J58,IF(V58&gt;N58,N58,V58)),0),$A$27:$A$246,1),2)</f>
        <v/>
      </c>
      <c r="AQ58" s="311">
        <f>INDEX($A$27:$B$246,MATCH(IFERROR(IF(W58&lt;K58,K58,IF(W58&gt;O58,O58,W58)),0),$A$27:$A$246,1),2)</f>
        <v/>
      </c>
      <c r="AR58" s="311">
        <f>INDEX($A$27:$B$246,MATCH(IFERROR(IF(T58+$AS$5&lt;H58,H58,IF(T58+$AS$5&gt;L58,L58,T58+$AS$5)),0),$A$27:$A$246,1),2)</f>
        <v/>
      </c>
      <c r="AS58" s="311">
        <f>INDEX($A$27:$B$246,MATCH(IFERROR(IF(U58+$AS$5&lt;I58,I58,IF(U58+$AS$5&gt;M58,M58,U58+$AS$5)),0),$A$27:$A$246,1),2)</f>
        <v/>
      </c>
      <c r="AT58" s="311">
        <f>INDEX($A$27:$B$246,MATCH(IFERROR(IF(V58+$AS$5&lt;J58,J58,IF(V58+$AS$5&gt;N58,N58,V58+$AS$5)),0),$A$27:$A$246,1),2)</f>
        <v/>
      </c>
      <c r="AU58" s="311">
        <f>INDEX($A$27:$B$246,MATCH(IFERROR(IF(W58+$AS$5&lt;K58,K58,IF(W58+$AS$5&gt;O58,O58,W58+$AS$5)),0),$A$27:$A$246,1),2)</f>
        <v/>
      </c>
      <c r="AV58" s="311">
        <f>INDEX($A$27:$B$246,MATCH(IFERROR(IF(T58+$AW$5&lt;H58,H58,IF(T58+$AW$5&gt;L58,L58,T58+$AW$5)),0),$A$27:$A$246,1),2)</f>
        <v/>
      </c>
      <c r="AW58" s="311">
        <f>INDEX($A$27:$B$246,MATCH(IFERROR(IF(U58+$AW$5&lt;I58,I58,IF(U58+$AW$5&gt;M58,M58,U58+$AW$5)),0),$A$27:$A$246,1),2)</f>
        <v/>
      </c>
      <c r="AX58" s="311">
        <f>INDEX($A$27:$B$246,MATCH(IFERROR(IF(V58+$AW$5&lt;J58,J58,IF(V58+$AW$5&gt;N58,N58,V58+$AW$5)),0),$A$27:$A$246,1),2)</f>
        <v/>
      </c>
      <c r="AY58" s="311">
        <f>INDEX($A$27:$B$246,MATCH(IFERROR(IF(W58+$AW$5&lt;K58,K58,IF(W58+$AW$5&gt;O58,O58,W58+$AW$5)),0),$A$27:$A$246,1),2)</f>
        <v/>
      </c>
      <c r="AZ58" s="311">
        <f>INDEX($A$27:$B$246,MATCH(IFERROR(IF(T58+$BA$5&lt;H58,H58,IF(T58+$BA$5&gt;L58,L58,T58+$BA$5)),0),$A$27:$A$246,1),2)</f>
        <v/>
      </c>
      <c r="BA58" s="311">
        <f>INDEX($A$27:$B$246,MATCH(IFERROR(IF(U58+$BA$5&lt;I58,I58,IF(U58+$BA$5&gt;M58,M58,U58+$BA$5)),0),$A$27:$A$246,1),2)</f>
        <v/>
      </c>
      <c r="BB58" s="311">
        <f>INDEX($A$27:$B$246,MATCH(IFERROR(IF(V58+$BA$5&lt;J58,J58,IF(V58+$BA$5&gt;N58,N58,V58+$BA$5)),0),$A$27:$A$246,1),2)</f>
        <v/>
      </c>
      <c r="BC58" s="311">
        <f>INDEX($A$27:$B$246,MATCH(IFERROR(IF(W58+$BA$5&lt;K58,K58,IF(W58+$BA$5&gt;O58,O58,W58+$BA$5)),0),$A$27:$A$246,1),2)</f>
        <v/>
      </c>
      <c r="BD58" s="311" t="s">
        <v>8</v>
      </c>
      <c r="BE58" s="311" t="s">
        <v>8</v>
      </c>
      <c r="BF58" s="311" t="s">
        <v>8</v>
      </c>
      <c r="BG58" s="311" t="s">
        <v>8</v>
      </c>
    </row>
    <row r="59" spans="1:64">
      <c r="A59" s="313">
        <f>A58+$B$24</f>
        <v/>
      </c>
      <c r="B59" s="313">
        <f>B58+$B$24</f>
        <v/>
      </c>
      <c r="C59" s="314" t="n"/>
      <c r="D59" t="s">
        <v>128</v>
      </c>
      <c r="E59" s="34" t="s">
        <v>226</v>
      </c>
      <c r="F59" s="34" t="s">
        <v>260</v>
      </c>
      <c r="G59" s="34" t="n">
        <v>314</v>
      </c>
      <c r="H59" s="310" t="n">
        <v>1</v>
      </c>
      <c r="I59" s="310" t="n">
        <v>1</v>
      </c>
      <c r="J59" s="310" t="n">
        <v>1</v>
      </c>
      <c r="K59" s="310" t="n">
        <v>1</v>
      </c>
      <c r="L59" s="311">
        <f>H59*$B$1</f>
        <v/>
      </c>
      <c r="M59" s="311">
        <f>I59*$B$1</f>
        <v/>
      </c>
      <c r="N59" s="311">
        <f>J59*$B$1</f>
        <v/>
      </c>
      <c r="O59" s="311">
        <f>K59*$B$1</f>
        <v/>
      </c>
      <c r="P59" s="311">
        <f>IFERROR(MIN(VLOOKUP(E59,Detalle!A:AA,$P$6,0),VLOOKUP(E59,Detalle!A:AA,$P$7,0),VLOOKUP(E59,Detalle!A:AA,$P$4,0)),0)</f>
        <v/>
      </c>
      <c r="Q59" s="311">
        <f>IFERROR(MIN(VLOOKUP(E59,Detalle!A:AA,$Q$6,0),VLOOKUP(E59,Detalle!A:AA,$Q$7,0)),0)</f>
        <v/>
      </c>
      <c r="R59" s="311">
        <f>IFERROR(MIN(VLOOKUP(E59,Detalle!A:AA,$R$6,0),VLOOKUP(E59,Detalle!A:AA,$R$7,0)),0)</f>
        <v/>
      </c>
      <c r="S59" s="311">
        <f>IFERROR(MIN(VLOOKUP(E59,Detalle!A:AA,$S$6,0),VLOOKUP(E59,Detalle!A:AA,$S$7,0)),0)</f>
        <v/>
      </c>
      <c r="T59" s="311">
        <f>IFERROR(MAX(VLOOKUP(E59,Detalle!A:AA,$P$6,0),VLOOKUP(E59,Detalle!A:AA,$P$7,0),VLOOKUP(E59,Detalle!A:AA,$P$4,0)),0)</f>
        <v/>
      </c>
      <c r="U59" s="311">
        <f>IFERROR(MAX(VLOOKUP(E59,Detalle!A:AA,$Q$6,0),VLOOKUP(E59,Detalle!A:AA,$Q$7,0)),0)</f>
        <v/>
      </c>
      <c r="V59" s="311">
        <f>IFERROR(MAX(VLOOKUP(E59,Detalle!A:AA,$R$6,0),VLOOKUP(E59,Detalle!A:AA,$R$7,0)),0)</f>
        <v/>
      </c>
      <c r="W59" s="311">
        <f>IFERROR(MAX(VLOOKUP(E59,Detalle!A:AA,$S$6,0),VLOOKUP(E59,Detalle!A:AA,$S$7,0)),0)</f>
        <v/>
      </c>
      <c r="X59" s="311">
        <f>INDEX($A$27:$B$246,MATCH(IFERROR(IF(P59*(1+$Y$5)&lt;H59,H59,IF(P59*(1+$Y$5)&gt;L59,L59,P59*(1+$Y$5))),0),$A$27:$A$246,1),2)</f>
        <v/>
      </c>
      <c r="Y59" s="311">
        <f>INDEX($A$27:$B$246,MATCH(IFERROR(IF(Q59*(1+$Y$5)&lt;I59,I59,IF(Q59*(1+$Y$5)&gt;M59,M59,Q59*(1+$Y$5))),0),$A$27:$A$246,1),2)</f>
        <v/>
      </c>
      <c r="Z59" s="311">
        <f>INDEX($A$27:$B$246,MATCH(IFERROR(IF(R59*(1+$Y$5)&lt;J59,J59,IF(R59*(1+$Y$5)&gt;N59,N59,R59*(1+$Y$5))),0),$A$27:$A$246,1),2)</f>
        <v/>
      </c>
      <c r="AA59" s="311">
        <f>INDEX($A$27:$B$246,MATCH(IFERROR(IF(S59*(1+$Y$5)&lt;K59,K59,IF(S59*(1+$Y$5)&gt;O59,O59,S59*(1+$Y$5))),0),$A$27:$A$246,1),2)</f>
        <v/>
      </c>
      <c r="AB59" s="311">
        <f>INDEX($A$27:$B$246,MATCH(IFERROR(IF(P59-$AC$5&lt;H59,H59,IF(P59-$AC$5&gt;L59,L59,P59-$AC$5)),0),$A$27:$A$246,1),2)</f>
        <v/>
      </c>
      <c r="AC59" s="311">
        <f>INDEX($A$27:$B$246,MATCH(IFERROR(IF(Q59-$AC$5&lt;I59,I59,IF(Q59-$AC$5&gt;M59,M59,Q59-$AC$5)),0),$A$27:$A$246,1),2)</f>
        <v/>
      </c>
      <c r="AD59" s="311">
        <f>INDEX($A$27:$B$246,MATCH(IFERROR(IF(R59-$AC$5&lt;J59,J59,IF(R59-$AC$5&gt;N59,N59,R59-$AC$5)),0),$A$27:$A$246,1),2)</f>
        <v/>
      </c>
      <c r="AE59" s="311">
        <f>INDEX($A$27:$B$246,MATCH(IFERROR(IF(S59-$AC$5&lt;K59,K59,IF(S59-$AC$5&gt;O59,O59,S59-$AC$5)),0),$A$27:$A$246,1),2)</f>
        <v/>
      </c>
      <c r="AF59" s="311" t="s">
        <v>8</v>
      </c>
      <c r="AG59" s="311" t="s">
        <v>8</v>
      </c>
      <c r="AH59" s="311" t="s">
        <v>8</v>
      </c>
      <c r="AI59" s="311" t="s">
        <v>8</v>
      </c>
      <c r="AJ59" s="311">
        <f>INDEX($A$27:$B$246,MATCH(IFERROR(IF(T59&lt;H59,H59,IF(T59&gt;L59,L59,T59)),0),$A$27:$A$246,1),2)</f>
        <v/>
      </c>
      <c r="AK59" s="311">
        <f>INDEX($A$27:$B$246,MATCH(IFERROR(IF(U59&lt;I59,I59,IF(U59&gt;M59,M59,U59)),0),$A$27:$A$246,1),2)</f>
        <v/>
      </c>
      <c r="AL59" s="311">
        <f>INDEX($A$27:$B$246,MATCH(IFERROR(IF(V59&lt;J59,J59,IF(V59&gt;N59,N59,V59)),0),$A$27:$A$246,1),2)</f>
        <v/>
      </c>
      <c r="AM59" s="311">
        <f>INDEX($A$27:$B$246,MATCH(IFERROR(IF(W59&lt;K59,K59,IF(W59&gt;O59,O59,W59)),0),$A$27:$A$246,1),2)</f>
        <v/>
      </c>
      <c r="AN59" s="311">
        <f>INDEX($A$27:$B$246,MATCH(IFERROR(IF(T59&lt;H59,H59,IF(T59&gt;L59,L59,T59)),0),$A$27:$A$246,1),2)</f>
        <v/>
      </c>
      <c r="AO59" s="311">
        <f>INDEX($A$27:$B$246,MATCH(IFERROR(IF(U59&lt;I59,I59,IF(U59&gt;M59,M59,U59)),0),$A$27:$A$246,1),2)</f>
        <v/>
      </c>
      <c r="AP59" s="311">
        <f>INDEX($A$27:$B$246,MATCH(IFERROR(IF(V59&lt;J59,J59,IF(V59&gt;N59,N59,V59)),0),$A$27:$A$246,1),2)</f>
        <v/>
      </c>
      <c r="AQ59" s="311">
        <f>INDEX($A$27:$B$246,MATCH(IFERROR(IF(W59&lt;K59,K59,IF(W59&gt;O59,O59,W59)),0),$A$27:$A$246,1),2)</f>
        <v/>
      </c>
      <c r="AR59" s="311">
        <f>INDEX($A$27:$B$246,MATCH(IFERROR(IF(T59+$AS$5&lt;H59,H59,IF(T59+$AS$5&gt;L59,L59,T59+$AS$5)),0),$A$27:$A$246,1),2)</f>
        <v/>
      </c>
      <c r="AS59" s="311">
        <f>INDEX($A$27:$B$246,MATCH(IFERROR(IF(U59+$AS$5&lt;I59,I59,IF(U59+$AS$5&gt;M59,M59,U59+$AS$5)),0),$A$27:$A$246,1),2)</f>
        <v/>
      </c>
      <c r="AT59" s="311">
        <f>INDEX($A$27:$B$246,MATCH(IFERROR(IF(V59+$AS$5&lt;J59,J59,IF(V59+$AS$5&gt;N59,N59,V59+$AS$5)),0),$A$27:$A$246,1),2)</f>
        <v/>
      </c>
      <c r="AU59" s="311">
        <f>INDEX($A$27:$B$246,MATCH(IFERROR(IF(W59+$AS$5&lt;K59,K59,IF(W59+$AS$5&gt;O59,O59,W59+$AS$5)),0),$A$27:$A$246,1),2)</f>
        <v/>
      </c>
      <c r="AV59" s="311">
        <f>INDEX($A$27:$B$246,MATCH(IFERROR(IF(T59+$AW$5&lt;H59,H59,IF(T59+$AW$5&gt;L59,L59,T59+$AW$5)),0),$A$27:$A$246,1),2)</f>
        <v/>
      </c>
      <c r="AW59" s="311">
        <f>INDEX($A$27:$B$246,MATCH(IFERROR(IF(U59+$AW$5&lt;I59,I59,IF(U59+$AW$5&gt;M59,M59,U59+$AW$5)),0),$A$27:$A$246,1),2)</f>
        <v/>
      </c>
      <c r="AX59" s="311">
        <f>INDEX($A$27:$B$246,MATCH(IFERROR(IF(V59+$AW$5&lt;J59,J59,IF(V59+$AW$5&gt;N59,N59,V59+$AW$5)),0),$A$27:$A$246,1),2)</f>
        <v/>
      </c>
      <c r="AY59" s="311">
        <f>INDEX($A$27:$B$246,MATCH(IFERROR(IF(W59+$AW$5&lt;K59,K59,IF(W59+$AW$5&gt;O59,O59,W59+$AW$5)),0),$A$27:$A$246,1),2)</f>
        <v/>
      </c>
      <c r="AZ59" s="311">
        <f>INDEX($A$27:$B$246,MATCH(IFERROR(IF(T59+$BA$5&lt;H59,H59,IF(T59+$BA$5&gt;L59,L59,T59+$BA$5)),0),$A$27:$A$246,1),2)</f>
        <v/>
      </c>
      <c r="BA59" s="311">
        <f>INDEX($A$27:$B$246,MATCH(IFERROR(IF(U59+$BA$5&lt;I59,I59,IF(U59+$BA$5&gt;M59,M59,U59+$BA$5)),0),$A$27:$A$246,1),2)</f>
        <v/>
      </c>
      <c r="BB59" s="311">
        <f>INDEX($A$27:$B$246,MATCH(IFERROR(IF(V59+$BA$5&lt;J59,J59,IF(V59+$BA$5&gt;N59,N59,V59+$BA$5)),0),$A$27:$A$246,1),2)</f>
        <v/>
      </c>
      <c r="BC59" s="311">
        <f>INDEX($A$27:$B$246,MATCH(IFERROR(IF(W59+$BA$5&lt;K59,K59,IF(W59+$BA$5&gt;O59,O59,W59+$BA$5)),0),$A$27:$A$246,1),2)</f>
        <v/>
      </c>
      <c r="BD59" s="311" t="s">
        <v>8</v>
      </c>
      <c r="BE59" s="311" t="s">
        <v>8</v>
      </c>
      <c r="BF59" s="311" t="s">
        <v>8</v>
      </c>
      <c r="BG59" s="311" t="s">
        <v>8</v>
      </c>
    </row>
    <row r="60" spans="1:64">
      <c r="A60" s="313">
        <f>A59+$B$24</f>
        <v/>
      </c>
      <c r="B60" s="313">
        <f>B59+$B$24</f>
        <v/>
      </c>
      <c r="C60" s="314" t="n"/>
      <c r="D60" t="s">
        <v>131</v>
      </c>
      <c r="E60" s="34" t="s">
        <v>131</v>
      </c>
      <c r="F60" s="34" t="s">
        <v>260</v>
      </c>
      <c r="G60" s="34" t="n">
        <v>352</v>
      </c>
      <c r="H60" s="310" t="n">
        <v>1</v>
      </c>
      <c r="I60" s="310" t="n">
        <v>1</v>
      </c>
      <c r="J60" s="310" t="n">
        <v>1</v>
      </c>
      <c r="K60" s="310" t="n">
        <v>1</v>
      </c>
      <c r="L60" s="311">
        <f>H60*$B$1</f>
        <v/>
      </c>
      <c r="M60" s="311">
        <f>I60*$B$1</f>
        <v/>
      </c>
      <c r="N60" s="311">
        <f>J60*$B$1</f>
        <v/>
      </c>
      <c r="O60" s="311">
        <f>K60*$B$1</f>
        <v/>
      </c>
      <c r="P60" s="311">
        <f>IFERROR(MIN(VLOOKUP(E60,Detalle!A:AA,$P$6,0),VLOOKUP(E60,Detalle!A:AA,$P$7,0),VLOOKUP(E60,Detalle!A:AA,$P$4,0)),0)</f>
        <v/>
      </c>
      <c r="Q60" s="311">
        <f>IFERROR(MIN(VLOOKUP(E60,Detalle!A:AA,$Q$6,0),VLOOKUP(E60,Detalle!A:AA,$Q$7,0)),0)</f>
        <v/>
      </c>
      <c r="R60" s="311">
        <f>IFERROR(MIN(VLOOKUP(E60,Detalle!A:AA,$R$6,0),VLOOKUP(E60,Detalle!A:AA,$R$7,0)),0)</f>
        <v/>
      </c>
      <c r="S60" s="311">
        <f>IFERROR(MIN(VLOOKUP(E60,Detalle!A:AA,$S$6,0),VLOOKUP(E60,Detalle!A:AA,$S$7,0)),0)</f>
        <v/>
      </c>
      <c r="T60" s="311">
        <f>IFERROR(MAX(VLOOKUP(E60,Detalle!A:AA,$P$6,0),VLOOKUP(E60,Detalle!A:AA,$P$7,0),VLOOKUP(E60,Detalle!A:AA,$P$4,0)),0)</f>
        <v/>
      </c>
      <c r="U60" s="311">
        <f>IFERROR(MAX(VLOOKUP(E60,Detalle!A:AA,$Q$6,0),VLOOKUP(E60,Detalle!A:AA,$Q$7,0)),0)</f>
        <v/>
      </c>
      <c r="V60" s="311">
        <f>IFERROR(MAX(VLOOKUP(E60,Detalle!A:AA,$R$6,0),VLOOKUP(E60,Detalle!A:AA,$R$7,0)),0)</f>
        <v/>
      </c>
      <c r="W60" s="311">
        <f>IFERROR(MAX(VLOOKUP(E60,Detalle!A:AA,$S$6,0),VLOOKUP(E60,Detalle!A:AA,$S$7,0)),0)</f>
        <v/>
      </c>
      <c r="X60" s="311">
        <f>INDEX($A$27:$B$246,MATCH(IFERROR(IF(P60*(1+$Y$5)&lt;H60,H60,IF(P60*(1+$Y$5)&gt;L60,L60,P60*(1+$Y$5))),0),$A$27:$A$246,1),2)</f>
        <v/>
      </c>
      <c r="Y60" s="311">
        <f>INDEX($A$27:$B$246,MATCH(IFERROR(IF(Q60*(1+$Y$5)&lt;I60,I60,IF(Q60*(1+$Y$5)&gt;M60,M60,Q60*(1+$Y$5))),0),$A$27:$A$246,1),2)</f>
        <v/>
      </c>
      <c r="Z60" s="311">
        <f>INDEX($A$27:$B$246,MATCH(IFERROR(IF(R60*(1+$Y$5)&lt;J60,J60,IF(R60*(1+$Y$5)&gt;N60,N60,R60*(1+$Y$5))),0),$A$27:$A$246,1),2)</f>
        <v/>
      </c>
      <c r="AA60" s="311">
        <f>INDEX($A$27:$B$246,MATCH(IFERROR(IF(S60*(1+$Y$5)&lt;K60,K60,IF(S60*(1+$Y$5)&gt;O60,O60,S60*(1+$Y$5))),0),$A$27:$A$246,1),2)</f>
        <v/>
      </c>
      <c r="AB60" s="311">
        <f>INDEX($A$27:$B$246,MATCH(IFERROR(IF(P60-$AC$5&lt;H60,H60,IF(P60-$AC$5&gt;L60,L60,P60-$AC$5)),0),$A$27:$A$246,1),2)</f>
        <v/>
      </c>
      <c r="AC60" s="311">
        <f>INDEX($A$27:$B$246,MATCH(IFERROR(IF(Q60-$AC$5&lt;I60,I60,IF(Q60-$AC$5&gt;M60,M60,Q60-$AC$5)),0),$A$27:$A$246,1),2)</f>
        <v/>
      </c>
      <c r="AD60" s="311">
        <f>INDEX($A$27:$B$246,MATCH(IFERROR(IF(R60-$AC$5&lt;J60,J60,IF(R60-$AC$5&gt;N60,N60,R60-$AC$5)),0),$A$27:$A$246,1),2)</f>
        <v/>
      </c>
      <c r="AE60" s="311">
        <f>INDEX($A$27:$B$246,MATCH(IFERROR(IF(S60-$AC$5&lt;K60,K60,IF(S60-$AC$5&gt;O60,O60,S60-$AC$5)),0),$A$27:$A$246,1),2)</f>
        <v/>
      </c>
      <c r="AF60" s="311" t="s">
        <v>8</v>
      </c>
      <c r="AG60" s="311" t="s">
        <v>8</v>
      </c>
      <c r="AH60" s="311" t="s">
        <v>8</v>
      </c>
      <c r="AI60" s="311" t="s">
        <v>8</v>
      </c>
      <c r="AJ60" s="311">
        <f>INDEX($A$27:$B$246,MATCH(IFERROR(IF(T60&lt;H60,H60,IF(T60&gt;L60,L60,T60)),0),$A$27:$A$246,1),2)</f>
        <v/>
      </c>
      <c r="AK60" s="311">
        <f>INDEX($A$27:$B$246,MATCH(IFERROR(IF(U60&lt;I60,I60,IF(U60&gt;M60,M60,U60)),0),$A$27:$A$246,1),2)</f>
        <v/>
      </c>
      <c r="AL60" s="311">
        <f>INDEX($A$27:$B$246,MATCH(IFERROR(IF(V60&lt;J60,J60,IF(V60&gt;N60,N60,V60)),0),$A$27:$A$246,1),2)</f>
        <v/>
      </c>
      <c r="AM60" s="311">
        <f>INDEX($A$27:$B$246,MATCH(IFERROR(IF(W60&lt;K60,K60,IF(W60&gt;O60,O60,W60)),0),$A$27:$A$246,1),2)</f>
        <v/>
      </c>
      <c r="AN60" s="311">
        <f>INDEX($A$27:$B$246,MATCH(IFERROR(IF(T60&lt;H60,H60,IF(T60&gt;L60,L60,T60)),0),$A$27:$A$246,1),2)</f>
        <v/>
      </c>
      <c r="AO60" s="311">
        <f>INDEX($A$27:$B$246,MATCH(IFERROR(IF(U60&lt;I60,I60,IF(U60&gt;M60,M60,U60)),0),$A$27:$A$246,1),2)</f>
        <v/>
      </c>
      <c r="AP60" s="311">
        <f>INDEX($A$27:$B$246,MATCH(IFERROR(IF(V60&lt;J60,J60,IF(V60&gt;N60,N60,V60)),0),$A$27:$A$246,1),2)</f>
        <v/>
      </c>
      <c r="AQ60" s="311">
        <f>INDEX($A$27:$B$246,MATCH(IFERROR(IF(W60&lt;K60,K60,IF(W60&gt;O60,O60,W60)),0),$A$27:$A$246,1),2)</f>
        <v/>
      </c>
      <c r="AR60" s="311">
        <f>INDEX($A$27:$B$246,MATCH(IFERROR(IF(T60+$AS$5&lt;H60,H60,IF(T60+$AS$5&gt;L60,L60,T60+$AS$5)),0),$A$27:$A$246,1),2)</f>
        <v/>
      </c>
      <c r="AS60" s="311">
        <f>INDEX($A$27:$B$246,MATCH(IFERROR(IF(U60+$AS$5&lt;I60,I60,IF(U60+$AS$5&gt;M60,M60,U60+$AS$5)),0),$A$27:$A$246,1),2)</f>
        <v/>
      </c>
      <c r="AT60" s="311">
        <f>INDEX($A$27:$B$246,MATCH(IFERROR(IF(V60+$AS$5&lt;J60,J60,IF(V60+$AS$5&gt;N60,N60,V60+$AS$5)),0),$A$27:$A$246,1),2)</f>
        <v/>
      </c>
      <c r="AU60" s="311">
        <f>INDEX($A$27:$B$246,MATCH(IFERROR(IF(W60+$AS$5&lt;K60,K60,IF(W60+$AS$5&gt;O60,O60,W60+$AS$5)),0),$A$27:$A$246,1),2)</f>
        <v/>
      </c>
      <c r="AV60" s="311">
        <f>INDEX($A$27:$B$246,MATCH(IFERROR(IF(T60+$AW$5&lt;H60,H60,IF(T60+$AW$5&gt;L60,L60,T60+$AW$5)),0),$A$27:$A$246,1),2)</f>
        <v/>
      </c>
      <c r="AW60" s="311">
        <f>INDEX($A$27:$B$246,MATCH(IFERROR(IF(U60+$AW$5&lt;I60,I60,IF(U60+$AW$5&gt;M60,M60,U60+$AW$5)),0),$A$27:$A$246,1),2)</f>
        <v/>
      </c>
      <c r="AX60" s="311">
        <f>INDEX($A$27:$B$246,MATCH(IFERROR(IF(V60+$AW$5&lt;J60,J60,IF(V60+$AW$5&gt;N60,N60,V60+$AW$5)),0),$A$27:$A$246,1),2)</f>
        <v/>
      </c>
      <c r="AY60" s="311">
        <f>INDEX($A$27:$B$246,MATCH(IFERROR(IF(W60+$AW$5&lt;K60,K60,IF(W60+$AW$5&gt;O60,O60,W60+$AW$5)),0),$A$27:$A$246,1),2)</f>
        <v/>
      </c>
      <c r="AZ60" s="311">
        <f>INDEX($A$27:$B$246,MATCH(IFERROR(IF(T60+$BA$5&lt;H60,H60,IF(T60+$BA$5&gt;L60,L60,T60+$BA$5)),0),$A$27:$A$246,1),2)</f>
        <v/>
      </c>
      <c r="BA60" s="311">
        <f>INDEX($A$27:$B$246,MATCH(IFERROR(IF(U60+$BA$5&lt;I60,I60,IF(U60+$BA$5&gt;M60,M60,U60+$BA$5)),0),$A$27:$A$246,1),2)</f>
        <v/>
      </c>
      <c r="BB60" s="311">
        <f>INDEX($A$27:$B$246,MATCH(IFERROR(IF(V60+$BA$5&lt;J60,J60,IF(V60+$BA$5&gt;N60,N60,V60+$BA$5)),0),$A$27:$A$246,1),2)</f>
        <v/>
      </c>
      <c r="BC60" s="311">
        <f>INDEX($A$27:$B$246,MATCH(IFERROR(IF(W60+$BA$5&lt;K60,K60,IF(W60+$BA$5&gt;O60,O60,W60+$BA$5)),0),$A$27:$A$246,1),2)</f>
        <v/>
      </c>
      <c r="BD60" s="311" t="s">
        <v>8</v>
      </c>
      <c r="BE60" s="311" t="s">
        <v>8</v>
      </c>
      <c r="BF60" s="311" t="s">
        <v>8</v>
      </c>
      <c r="BG60" s="311" t="s">
        <v>8</v>
      </c>
    </row>
    <row r="61" spans="1:64">
      <c r="A61" s="313">
        <f>A60+$B$24</f>
        <v/>
      </c>
      <c r="B61" s="313">
        <f>B60+$B$24</f>
        <v/>
      </c>
      <c r="C61" s="314" t="n"/>
      <c r="D61" t="s">
        <v>132</v>
      </c>
      <c r="E61" s="34" t="s">
        <v>270</v>
      </c>
      <c r="F61" s="34" t="s">
        <v>258</v>
      </c>
      <c r="G61" s="34" t="n">
        <v>350</v>
      </c>
      <c r="H61" s="310" t="n">
        <v>1</v>
      </c>
      <c r="I61" s="310" t="n">
        <v>1</v>
      </c>
      <c r="J61" s="310" t="n">
        <v>1</v>
      </c>
      <c r="K61" s="310" t="n">
        <v>1</v>
      </c>
      <c r="L61" s="311">
        <f>H61*$B$1</f>
        <v/>
      </c>
      <c r="M61" s="311">
        <f>I61*$B$1</f>
        <v/>
      </c>
      <c r="N61" s="311">
        <f>J61*$B$1</f>
        <v/>
      </c>
      <c r="O61" s="311">
        <f>K61*$B$1</f>
        <v/>
      </c>
      <c r="P61" s="311">
        <f>IFERROR(MIN(VLOOKUP(E61,Detalle!A:AA,$P$6,0),VLOOKUP(E61,Detalle!A:AA,$P$7,0),VLOOKUP(E61,Detalle!A:AA,$P$4,0)),0)</f>
        <v/>
      </c>
      <c r="Q61" s="311">
        <f>IFERROR(MIN(VLOOKUP(E61,Detalle!A:AA,$Q$6,0),VLOOKUP(E61,Detalle!A:AA,$Q$7,0)),0)</f>
        <v/>
      </c>
      <c r="R61" s="311">
        <f>IFERROR(MIN(VLOOKUP(E61,Detalle!A:AA,$R$6,0),VLOOKUP(E61,Detalle!A:AA,$R$7,0)),0)</f>
        <v/>
      </c>
      <c r="S61" s="311">
        <f>IFERROR(MIN(VLOOKUP(E61,Detalle!A:AA,$S$6,0),VLOOKUP(E61,Detalle!A:AA,$S$7,0)),0)</f>
        <v/>
      </c>
      <c r="T61" s="311">
        <f>IFERROR(MAX(VLOOKUP(E61,Detalle!A:AA,$P$6,0),VLOOKUP(E61,Detalle!A:AA,$P$7,0),VLOOKUP(E61,Detalle!A:AA,$P$4,0)),0)</f>
        <v/>
      </c>
      <c r="U61" s="311">
        <f>IFERROR(MAX(VLOOKUP(E61,Detalle!A:AA,$Q$6,0),VLOOKUP(E61,Detalle!A:AA,$Q$7,0)),0)</f>
        <v/>
      </c>
      <c r="V61" s="311">
        <f>IFERROR(MAX(VLOOKUP(E61,Detalle!A:AA,$R$6,0),VLOOKUP(E61,Detalle!A:AA,$R$7,0)),0)</f>
        <v/>
      </c>
      <c r="W61" s="311">
        <f>IFERROR(MAX(VLOOKUP(E61,Detalle!A:AA,$S$6,0),VLOOKUP(E61,Detalle!A:AA,$S$7,0)),0)</f>
        <v/>
      </c>
      <c r="X61" s="311">
        <f>INDEX($A$27:$B$246,MATCH(IFERROR(IF(P61*(1+$Y$5)&lt;H61,H61,IF(P61*(1+$Y$5)&gt;L61,L61,P61*(1+$Y$5))),0),$A$27:$A$246,1),2)</f>
        <v/>
      </c>
      <c r="Y61" s="311">
        <f>INDEX($A$27:$B$246,MATCH(IFERROR(IF(Q61*(1+$Y$5)&lt;I61,I61,IF(Q61*(1+$Y$5)&gt;M61,M61,Q61*(1+$Y$5))),0),$A$27:$A$246,1),2)</f>
        <v/>
      </c>
      <c r="Z61" s="311">
        <f>INDEX($A$27:$B$246,MATCH(IFERROR(IF(R61*(1+$Y$5)&lt;J61,J61,IF(R61*(1+$Y$5)&gt;N61,N61,R61*(1+$Y$5))),0),$A$27:$A$246,1),2)</f>
        <v/>
      </c>
      <c r="AA61" s="311">
        <f>INDEX($A$27:$B$246,MATCH(IFERROR(IF(S61*(1+$Y$5)&lt;K61,K61,IF(S61*(1+$Y$5)&gt;O61,O61,S61*(1+$Y$5))),0),$A$27:$A$246,1),2)</f>
        <v/>
      </c>
      <c r="AB61" s="311">
        <f>INDEX($A$27:$B$246,MATCH(IFERROR(IF(P61-$AC$5&lt;H61,H61,IF(P61-$AC$5&gt;L61,L61,P61-$AC$5)),0),$A$27:$A$246,1),2)</f>
        <v/>
      </c>
      <c r="AC61" s="311">
        <f>INDEX($A$27:$B$246,MATCH(IFERROR(IF(Q61-$AC$5&lt;I61,I61,IF(Q61-$AC$5&gt;M61,M61,Q61-$AC$5)),0),$A$27:$A$246,1),2)</f>
        <v/>
      </c>
      <c r="AD61" s="311">
        <f>INDEX($A$27:$B$246,MATCH(IFERROR(IF(R61-$AC$5&lt;J61,J61,IF(R61-$AC$5&gt;N61,N61,R61-$AC$5)),0),$A$27:$A$246,1),2)</f>
        <v/>
      </c>
      <c r="AE61" s="311">
        <f>INDEX($A$27:$B$246,MATCH(IFERROR(IF(S61-$AC$5&lt;K61,K61,IF(S61-$AC$5&gt;O61,O61,S61-$AC$5)),0),$A$27:$A$246,1),2)</f>
        <v/>
      </c>
      <c r="AF61" s="311" t="s">
        <v>8</v>
      </c>
      <c r="AG61" s="311" t="s">
        <v>8</v>
      </c>
      <c r="AH61" s="311" t="s">
        <v>8</v>
      </c>
      <c r="AI61" s="311" t="s">
        <v>8</v>
      </c>
      <c r="AJ61" s="311">
        <f>INDEX($A$27:$B$246,MATCH(IFERROR(IF(T61&lt;H61,H61,IF(T61&gt;L61,L61,T61)),0),$A$27:$A$246,1),2)</f>
        <v/>
      </c>
      <c r="AK61" s="311">
        <f>INDEX($A$27:$B$246,MATCH(IFERROR(IF(U61&lt;I61,I61,IF(U61&gt;M61,M61,U61)),0),$A$27:$A$246,1),2)</f>
        <v/>
      </c>
      <c r="AL61" s="311">
        <f>INDEX($A$27:$B$246,MATCH(IFERROR(IF(V61&lt;J61,J61,IF(V61&gt;N61,N61,V61)),0),$A$27:$A$246,1),2)</f>
        <v/>
      </c>
      <c r="AM61" s="311">
        <f>INDEX($A$27:$B$246,MATCH(IFERROR(IF(W61&lt;K61,K61,IF(W61&gt;O61,O61,W61)),0),$A$27:$A$246,1),2)</f>
        <v/>
      </c>
      <c r="AN61" s="311">
        <f>INDEX($A$27:$B$246,MATCH(IFERROR(IF(T61&lt;H61,H61,IF(T61&gt;L61,L61,T61)),0),$A$27:$A$246,1),2)</f>
        <v/>
      </c>
      <c r="AO61" s="311">
        <f>INDEX($A$27:$B$246,MATCH(IFERROR(IF(U61&lt;I61,I61,IF(U61&gt;M61,M61,U61)),0),$A$27:$A$246,1),2)</f>
        <v/>
      </c>
      <c r="AP61" s="311">
        <f>INDEX($A$27:$B$246,MATCH(IFERROR(IF(V61&lt;J61,J61,IF(V61&gt;N61,N61,V61)),0),$A$27:$A$246,1),2)</f>
        <v/>
      </c>
      <c r="AQ61" s="311">
        <f>INDEX($A$27:$B$246,MATCH(IFERROR(IF(W61&lt;K61,K61,IF(W61&gt;O61,O61,W61)),0),$A$27:$A$246,1),2)</f>
        <v/>
      </c>
      <c r="AR61" s="311">
        <f>INDEX($A$27:$B$246,MATCH(IFERROR(IF(T61+$AS$5&lt;H61,H61,IF(T61+$AS$5&gt;L61,L61,T61+$AS$5)),0),$A$27:$A$246,1),2)</f>
        <v/>
      </c>
      <c r="AS61" s="311">
        <f>INDEX($A$27:$B$246,MATCH(IFERROR(IF(U61+$AS$5&lt;I61,I61,IF(U61+$AS$5&gt;M61,M61,U61+$AS$5)),0),$A$27:$A$246,1),2)</f>
        <v/>
      </c>
      <c r="AT61" s="311">
        <f>INDEX($A$27:$B$246,MATCH(IFERROR(IF(V61+$AS$5&lt;J61,J61,IF(V61+$AS$5&gt;N61,N61,V61+$AS$5)),0),$A$27:$A$246,1),2)</f>
        <v/>
      </c>
      <c r="AU61" s="311">
        <f>INDEX($A$27:$B$246,MATCH(IFERROR(IF(W61+$AS$5&lt;K61,K61,IF(W61+$AS$5&gt;O61,O61,W61+$AS$5)),0),$A$27:$A$246,1),2)</f>
        <v/>
      </c>
      <c r="AV61" s="311">
        <f>INDEX($A$27:$B$246,MATCH(IFERROR(IF(T61+$AW$5&lt;H61,H61,IF(T61+$AW$5&gt;L61,L61,T61+$AW$5)),0),$A$27:$A$246,1),2)</f>
        <v/>
      </c>
      <c r="AW61" s="311">
        <f>INDEX($A$27:$B$246,MATCH(IFERROR(IF(U61+$AW$5&lt;I61,I61,IF(U61+$AW$5&gt;M61,M61,U61+$AW$5)),0),$A$27:$A$246,1),2)</f>
        <v/>
      </c>
      <c r="AX61" s="311">
        <f>INDEX($A$27:$B$246,MATCH(IFERROR(IF(V61+$AW$5&lt;J61,J61,IF(V61+$AW$5&gt;N61,N61,V61+$AW$5)),0),$A$27:$A$246,1),2)</f>
        <v/>
      </c>
      <c r="AY61" s="311">
        <f>INDEX($A$27:$B$246,MATCH(IFERROR(IF(W61+$AW$5&lt;K61,K61,IF(W61+$AW$5&gt;O61,O61,W61+$AW$5)),0),$A$27:$A$246,1),2)</f>
        <v/>
      </c>
      <c r="AZ61" s="311">
        <f>INDEX($A$27:$B$246,MATCH(IFERROR(IF(T61+$BA$5&lt;H61,H61,IF(T61+$BA$5&gt;L61,L61,T61+$BA$5)),0),$A$27:$A$246,1),2)</f>
        <v/>
      </c>
      <c r="BA61" s="311">
        <f>INDEX($A$27:$B$246,MATCH(IFERROR(IF(U61+$BA$5&lt;I61,I61,IF(U61+$BA$5&gt;M61,M61,U61+$BA$5)),0),$A$27:$A$246,1),2)</f>
        <v/>
      </c>
      <c r="BB61" s="311">
        <f>INDEX($A$27:$B$246,MATCH(IFERROR(IF(V61+$BA$5&lt;J61,J61,IF(V61+$BA$5&gt;N61,N61,V61+$BA$5)),0),$A$27:$A$246,1),2)</f>
        <v/>
      </c>
      <c r="BC61" s="311">
        <f>INDEX($A$27:$B$246,MATCH(IFERROR(IF(W61+$BA$5&lt;K61,K61,IF(W61+$BA$5&gt;O61,O61,W61+$BA$5)),0),$A$27:$A$246,1),2)</f>
        <v/>
      </c>
      <c r="BD61" s="311" t="s">
        <v>8</v>
      </c>
      <c r="BE61" s="311" t="s">
        <v>8</v>
      </c>
      <c r="BF61" s="311" t="s">
        <v>8</v>
      </c>
      <c r="BG61" s="311" t="s">
        <v>8</v>
      </c>
    </row>
    <row r="62" spans="1:64">
      <c r="A62" s="313">
        <f>A61+$B$24</f>
        <v/>
      </c>
      <c r="B62" s="313">
        <f>B61+$B$24</f>
        <v/>
      </c>
      <c r="C62" s="314" t="n"/>
      <c r="D62" t="s">
        <v>133</v>
      </c>
      <c r="E62" s="34" t="s">
        <v>234</v>
      </c>
      <c r="F62" s="34" t="s">
        <v>260</v>
      </c>
      <c r="G62" s="34" t="n">
        <v>351</v>
      </c>
      <c r="H62" s="310" t="n">
        <v>1</v>
      </c>
      <c r="I62" s="310" t="n">
        <v>1</v>
      </c>
      <c r="J62" s="310" t="n">
        <v>1</v>
      </c>
      <c r="K62" s="310" t="n">
        <v>1</v>
      </c>
      <c r="L62" s="311">
        <f>H62*$B$1</f>
        <v/>
      </c>
      <c r="M62" s="311">
        <f>I62*$B$1</f>
        <v/>
      </c>
      <c r="N62" s="311">
        <f>J62*$B$1</f>
        <v/>
      </c>
      <c r="O62" s="311">
        <f>K62*$B$1</f>
        <v/>
      </c>
      <c r="P62" s="311">
        <f>IFERROR(MIN(VLOOKUP(E62,Detalle!A:AA,$P$6,0),VLOOKUP(E62,Detalle!A:AA,$P$7,0),VLOOKUP(E62,Detalle!A:AA,$P$4,0)),0)</f>
        <v/>
      </c>
      <c r="Q62" s="311">
        <f>IFERROR(MIN(VLOOKUP(E62,Detalle!A:AA,$Q$6,0),VLOOKUP(E62,Detalle!A:AA,$Q$7,0)),0)</f>
        <v/>
      </c>
      <c r="R62" s="311">
        <f>IFERROR(MIN(VLOOKUP(E62,Detalle!A:AA,$R$6,0),VLOOKUP(E62,Detalle!A:AA,$R$7,0)),0)</f>
        <v/>
      </c>
      <c r="S62" s="311">
        <f>IFERROR(MIN(VLOOKUP(E62,Detalle!A:AA,$S$6,0),VLOOKUP(E62,Detalle!A:AA,$S$7,0)),0)</f>
        <v/>
      </c>
      <c r="T62" s="311">
        <f>IFERROR(MAX(VLOOKUP(E62,Detalle!A:AA,$P$6,0),VLOOKUP(E62,Detalle!A:AA,$P$7,0),VLOOKUP(E62,Detalle!A:AA,$P$4,0)),0)</f>
        <v/>
      </c>
      <c r="U62" s="311">
        <f>IFERROR(MAX(VLOOKUP(E62,Detalle!A:AA,$Q$6,0),VLOOKUP(E62,Detalle!A:AA,$Q$7,0)),0)</f>
        <v/>
      </c>
      <c r="V62" s="311">
        <f>IFERROR(MAX(VLOOKUP(E62,Detalle!A:AA,$R$6,0),VLOOKUP(E62,Detalle!A:AA,$R$7,0)),0)</f>
        <v/>
      </c>
      <c r="W62" s="311">
        <f>IFERROR(MAX(VLOOKUP(E62,Detalle!A:AA,$S$6,0),VLOOKUP(E62,Detalle!A:AA,$S$7,0)),0)</f>
        <v/>
      </c>
      <c r="X62" s="311">
        <f>INDEX($A$27:$B$246,MATCH(IFERROR(IF(P62*(1+$Y$5)&lt;H62,H62,IF(P62*(1+$Y$5)&gt;L62,L62,P62*(1+$Y$5))),0),$A$27:$A$246,1),2)</f>
        <v/>
      </c>
      <c r="Y62" s="311">
        <f>INDEX($A$27:$B$246,MATCH(IFERROR(IF(Q62*(1+$Y$5)&lt;I62,I62,IF(Q62*(1+$Y$5)&gt;M62,M62,Q62*(1+$Y$5))),0),$A$27:$A$246,1),2)</f>
        <v/>
      </c>
      <c r="Z62" s="311">
        <f>INDEX($A$27:$B$246,MATCH(IFERROR(IF(R62*(1+$Y$5)&lt;J62,J62,IF(R62*(1+$Y$5)&gt;N62,N62,R62*(1+$Y$5))),0),$A$27:$A$246,1),2)</f>
        <v/>
      </c>
      <c r="AA62" s="311">
        <f>INDEX($A$27:$B$246,MATCH(IFERROR(IF(S62*(1+$Y$5)&lt;K62,K62,IF(S62*(1+$Y$5)&gt;O62,O62,S62*(1+$Y$5))),0),$A$27:$A$246,1),2)</f>
        <v/>
      </c>
      <c r="AB62" s="311">
        <f>INDEX($A$27:$B$246,MATCH(IFERROR(IF(P62-$AC$5&lt;H62,H62,IF(P62-$AC$5&gt;L62,L62,P62-$AC$5)),0),$A$27:$A$246,1),2)</f>
        <v/>
      </c>
      <c r="AC62" s="311">
        <f>INDEX($A$27:$B$246,MATCH(IFERROR(IF(Q62-$AC$5&lt;I62,I62,IF(Q62-$AC$5&gt;M62,M62,Q62-$AC$5)),0),$A$27:$A$246,1),2)</f>
        <v/>
      </c>
      <c r="AD62" s="311">
        <f>INDEX($A$27:$B$246,MATCH(IFERROR(IF(R62-$AC$5&lt;J62,J62,IF(R62-$AC$5&gt;N62,N62,R62-$AC$5)),0),$A$27:$A$246,1),2)</f>
        <v/>
      </c>
      <c r="AE62" s="311">
        <f>INDEX($A$27:$B$246,MATCH(IFERROR(IF(S62-$AC$5&lt;K62,K62,IF(S62-$AC$5&gt;O62,O62,S62-$AC$5)),0),$A$27:$A$246,1),2)</f>
        <v/>
      </c>
      <c r="AF62" s="311" t="s">
        <v>8</v>
      </c>
      <c r="AG62" s="311" t="s">
        <v>8</v>
      </c>
      <c r="AH62" s="311" t="s">
        <v>8</v>
      </c>
      <c r="AI62" s="311" t="s">
        <v>8</v>
      </c>
      <c r="AJ62" s="311">
        <f>INDEX($A$27:$B$246,MATCH(IFERROR(IF(T62&lt;H62,H62,IF(T62&gt;L62,L62,T62)),0),$A$27:$A$246,1),2)</f>
        <v/>
      </c>
      <c r="AK62" s="311">
        <f>INDEX($A$27:$B$246,MATCH(IFERROR(IF(U62&lt;I62,I62,IF(U62&gt;M62,M62,U62)),0),$A$27:$A$246,1),2)</f>
        <v/>
      </c>
      <c r="AL62" s="311">
        <f>INDEX($A$27:$B$246,MATCH(IFERROR(IF(V62&lt;J62,J62,IF(V62&gt;N62,N62,V62)),0),$A$27:$A$246,1),2)</f>
        <v/>
      </c>
      <c r="AM62" s="311">
        <f>INDEX($A$27:$B$246,MATCH(IFERROR(IF(W62&lt;K62,K62,IF(W62&gt;O62,O62,W62)),0),$A$27:$A$246,1),2)</f>
        <v/>
      </c>
      <c r="AN62" s="311">
        <f>INDEX($A$27:$B$246,MATCH(IFERROR(IF(T62&lt;H62,H62,IF(T62&gt;L62,L62,T62)),0),$A$27:$A$246,1),2)</f>
        <v/>
      </c>
      <c r="AO62" s="311">
        <f>INDEX($A$27:$B$246,MATCH(IFERROR(IF(U62&lt;I62,I62,IF(U62&gt;M62,M62,U62)),0),$A$27:$A$246,1),2)</f>
        <v/>
      </c>
      <c r="AP62" s="311">
        <f>INDEX($A$27:$B$246,MATCH(IFERROR(IF(V62&lt;J62,J62,IF(V62&gt;N62,N62,V62)),0),$A$27:$A$246,1),2)</f>
        <v/>
      </c>
      <c r="AQ62" s="311">
        <f>INDEX($A$27:$B$246,MATCH(IFERROR(IF(W62&lt;K62,K62,IF(W62&gt;O62,O62,W62)),0),$A$27:$A$246,1),2)</f>
        <v/>
      </c>
      <c r="AR62" s="311">
        <f>INDEX($A$27:$B$246,MATCH(IFERROR(IF(T62+$AS$5&lt;H62,H62,IF(T62+$AS$5&gt;L62,L62,T62+$AS$5)),0),$A$27:$A$246,1),2)</f>
        <v/>
      </c>
      <c r="AS62" s="311">
        <f>INDEX($A$27:$B$246,MATCH(IFERROR(IF(U62+$AS$5&lt;I62,I62,IF(U62+$AS$5&gt;M62,M62,U62+$AS$5)),0),$A$27:$A$246,1),2)</f>
        <v/>
      </c>
      <c r="AT62" s="311">
        <f>INDEX($A$27:$B$246,MATCH(IFERROR(IF(V62+$AS$5&lt;J62,J62,IF(V62+$AS$5&gt;N62,N62,V62+$AS$5)),0),$A$27:$A$246,1),2)</f>
        <v/>
      </c>
      <c r="AU62" s="311">
        <f>INDEX($A$27:$B$246,MATCH(IFERROR(IF(W62+$AS$5&lt;K62,K62,IF(W62+$AS$5&gt;O62,O62,W62+$AS$5)),0),$A$27:$A$246,1),2)</f>
        <v/>
      </c>
      <c r="AV62" s="311">
        <f>INDEX($A$27:$B$246,MATCH(IFERROR(IF(T62+$AW$5&lt;H62,H62,IF(T62+$AW$5&gt;L62,L62,T62+$AW$5)),0),$A$27:$A$246,1),2)</f>
        <v/>
      </c>
      <c r="AW62" s="311">
        <f>INDEX($A$27:$B$246,MATCH(IFERROR(IF(U62+$AW$5&lt;I62,I62,IF(U62+$AW$5&gt;M62,M62,U62+$AW$5)),0),$A$27:$A$246,1),2)</f>
        <v/>
      </c>
      <c r="AX62" s="311">
        <f>INDEX($A$27:$B$246,MATCH(IFERROR(IF(V62+$AW$5&lt;J62,J62,IF(V62+$AW$5&gt;N62,N62,V62+$AW$5)),0),$A$27:$A$246,1),2)</f>
        <v/>
      </c>
      <c r="AY62" s="311">
        <f>INDEX($A$27:$B$246,MATCH(IFERROR(IF(W62+$AW$5&lt;K62,K62,IF(W62+$AW$5&gt;O62,O62,W62+$AW$5)),0),$A$27:$A$246,1),2)</f>
        <v/>
      </c>
      <c r="AZ62" s="311">
        <f>INDEX($A$27:$B$246,MATCH(IFERROR(IF(T62+$BA$5&lt;H62,H62,IF(T62+$BA$5&gt;L62,L62,T62+$BA$5)),0),$A$27:$A$246,1),2)</f>
        <v/>
      </c>
      <c r="BA62" s="311">
        <f>INDEX($A$27:$B$246,MATCH(IFERROR(IF(U62+$BA$5&lt;I62,I62,IF(U62+$BA$5&gt;M62,M62,U62+$BA$5)),0),$A$27:$A$246,1),2)</f>
        <v/>
      </c>
      <c r="BB62" s="311">
        <f>INDEX($A$27:$B$246,MATCH(IFERROR(IF(V62+$BA$5&lt;J62,J62,IF(V62+$BA$5&gt;N62,N62,V62+$BA$5)),0),$A$27:$A$246,1),2)</f>
        <v/>
      </c>
      <c r="BC62" s="311">
        <f>INDEX($A$27:$B$246,MATCH(IFERROR(IF(W62+$BA$5&lt;K62,K62,IF(W62+$BA$5&gt;O62,O62,W62+$BA$5)),0),$A$27:$A$246,1),2)</f>
        <v/>
      </c>
      <c r="BD62" s="311" t="s">
        <v>8</v>
      </c>
      <c r="BE62" s="311" t="s">
        <v>8</v>
      </c>
      <c r="BF62" s="311" t="s">
        <v>8</v>
      </c>
      <c r="BG62" s="311" t="s">
        <v>8</v>
      </c>
    </row>
    <row r="63" spans="1:64">
      <c r="A63" s="313">
        <f>A62+$B$24</f>
        <v/>
      </c>
      <c r="B63" s="313">
        <f>B62+$B$24</f>
        <v/>
      </c>
      <c r="C63" s="314" t="n"/>
      <c r="D63" t="s">
        <v>134</v>
      </c>
      <c r="E63" s="34" t="s">
        <v>134</v>
      </c>
      <c r="F63" s="34" t="s">
        <v>260</v>
      </c>
      <c r="G63" s="34" t="n">
        <v>354</v>
      </c>
      <c r="H63" s="310" t="n">
        <v>1</v>
      </c>
      <c r="I63" s="310" t="n">
        <v>1</v>
      </c>
      <c r="J63" s="310" t="n">
        <v>1</v>
      </c>
      <c r="K63" s="310" t="n">
        <v>1</v>
      </c>
      <c r="L63" s="311">
        <f>H63*$B$1</f>
        <v/>
      </c>
      <c r="M63" s="311">
        <f>I63*$B$1</f>
        <v/>
      </c>
      <c r="N63" s="311">
        <f>J63*$B$1</f>
        <v/>
      </c>
      <c r="O63" s="311">
        <f>K63*$B$1</f>
        <v/>
      </c>
      <c r="P63" s="311">
        <f>IFERROR(MIN(VLOOKUP(E63,Detalle!A:AA,$P$6,0),VLOOKUP(E63,Detalle!A:AA,$P$7,0),VLOOKUP(E63,Detalle!A:AA,$P$4,0)),0)</f>
        <v/>
      </c>
      <c r="Q63" s="311">
        <f>IFERROR(MIN(VLOOKUP(E63,Detalle!A:AA,$Q$6,0),VLOOKUP(E63,Detalle!A:AA,$Q$7,0)),0)</f>
        <v/>
      </c>
      <c r="R63" s="311">
        <f>IFERROR(MIN(VLOOKUP(E63,Detalle!A:AA,$R$6,0),VLOOKUP(E63,Detalle!A:AA,$R$7,0)),0)</f>
        <v/>
      </c>
      <c r="S63" s="311">
        <f>IFERROR(MIN(VLOOKUP(E63,Detalle!A:AA,$S$6,0),VLOOKUP(E63,Detalle!A:AA,$S$7,0)),0)</f>
        <v/>
      </c>
      <c r="T63" s="311">
        <f>IFERROR(MAX(VLOOKUP(E63,Detalle!A:AA,$P$6,0),VLOOKUP(E63,Detalle!A:AA,$P$7,0),VLOOKUP(E63,Detalle!A:AA,$P$4,0)),0)</f>
        <v/>
      </c>
      <c r="U63" s="311">
        <f>IFERROR(MAX(VLOOKUP(E63,Detalle!A:AA,$Q$6,0),VLOOKUP(E63,Detalle!A:AA,$Q$7,0)),0)</f>
        <v/>
      </c>
      <c r="V63" s="311">
        <f>IFERROR(MAX(VLOOKUP(E63,Detalle!A:AA,$R$6,0),VLOOKUP(E63,Detalle!A:AA,$R$7,0)),0)</f>
        <v/>
      </c>
      <c r="W63" s="311">
        <f>IFERROR(MAX(VLOOKUP(E63,Detalle!A:AA,$S$6,0),VLOOKUP(E63,Detalle!A:AA,$S$7,0)),0)</f>
        <v/>
      </c>
      <c r="X63" s="311">
        <f>INDEX($A$27:$B$246,MATCH(IFERROR(IF(P63*(1+$Y$5)&lt;H63,H63,IF(P63*(1+$Y$5)&gt;L63,L63,P63*(1+$Y$5))),0),$A$27:$A$246,1),2)</f>
        <v/>
      </c>
      <c r="Y63" s="311">
        <f>INDEX($A$27:$B$246,MATCH(IFERROR(IF(Q63*(1+$Y$5)&lt;I63,I63,IF(Q63*(1+$Y$5)&gt;M63,M63,Q63*(1+$Y$5))),0),$A$27:$A$246,1),2)</f>
        <v/>
      </c>
      <c r="Z63" s="311">
        <f>INDEX($A$27:$B$246,MATCH(IFERROR(IF(R63*(1+$Y$5)&lt;J63,J63,IF(R63*(1+$Y$5)&gt;N63,N63,R63*(1+$Y$5))),0),$A$27:$A$246,1),2)</f>
        <v/>
      </c>
      <c r="AA63" s="311">
        <f>INDEX($A$27:$B$246,MATCH(IFERROR(IF(S63*(1+$Y$5)&lt;K63,K63,IF(S63*(1+$Y$5)&gt;O63,O63,S63*(1+$Y$5))),0),$A$27:$A$246,1),2)</f>
        <v/>
      </c>
      <c r="AB63" s="311">
        <f>INDEX($A$27:$B$246,MATCH(IFERROR(IF(P63-$AC$5&lt;H63,H63,IF(P63-$AC$5&gt;L63,L63,P63-$AC$5)),0),$A$27:$A$246,1),2)</f>
        <v/>
      </c>
      <c r="AC63" s="311">
        <f>INDEX($A$27:$B$246,MATCH(IFERROR(IF(Q63-$AC$5&lt;I63,I63,IF(Q63-$AC$5&gt;M63,M63,Q63-$AC$5)),0),$A$27:$A$246,1),2)</f>
        <v/>
      </c>
      <c r="AD63" s="311">
        <f>INDEX($A$27:$B$246,MATCH(IFERROR(IF(R63-$AC$5&lt;J63,J63,IF(R63-$AC$5&gt;N63,N63,R63-$AC$5)),0),$A$27:$A$246,1),2)</f>
        <v/>
      </c>
      <c r="AE63" s="311">
        <f>INDEX($A$27:$B$246,MATCH(IFERROR(IF(S63-$AC$5&lt;K63,K63,IF(S63-$AC$5&gt;O63,O63,S63-$AC$5)),0),$A$27:$A$246,1),2)</f>
        <v/>
      </c>
      <c r="AF63" s="311" t="s">
        <v>8</v>
      </c>
      <c r="AG63" s="311" t="s">
        <v>8</v>
      </c>
      <c r="AH63" s="311" t="s">
        <v>8</v>
      </c>
      <c r="AI63" s="311" t="s">
        <v>8</v>
      </c>
      <c r="AJ63" s="311">
        <f>INDEX($A$27:$B$246,MATCH(IFERROR(IF(T63&lt;H63,H63,IF(T63&gt;L63,L63,T63)),0),$A$27:$A$246,1),2)</f>
        <v/>
      </c>
      <c r="AK63" s="311">
        <f>INDEX($A$27:$B$246,MATCH(IFERROR(IF(U63&lt;I63,I63,IF(U63&gt;M63,M63,U63)),0),$A$27:$A$246,1),2)</f>
        <v/>
      </c>
      <c r="AL63" s="311">
        <f>INDEX($A$27:$B$246,MATCH(IFERROR(IF(V63&lt;J63,J63,IF(V63&gt;N63,N63,V63)),0),$A$27:$A$246,1),2)</f>
        <v/>
      </c>
      <c r="AM63" s="311">
        <f>INDEX($A$27:$B$246,MATCH(IFERROR(IF(W63&lt;K63,K63,IF(W63&gt;O63,O63,W63)),0),$A$27:$A$246,1),2)</f>
        <v/>
      </c>
      <c r="AN63" s="311">
        <f>INDEX($A$27:$B$246,MATCH(IFERROR(IF(T63&lt;H63,H63,IF(T63&gt;L63,L63,T63)),0),$A$27:$A$246,1),2)</f>
        <v/>
      </c>
      <c r="AO63" s="311">
        <f>INDEX($A$27:$B$246,MATCH(IFERROR(IF(U63&lt;I63,I63,IF(U63&gt;M63,M63,U63)),0),$A$27:$A$246,1),2)</f>
        <v/>
      </c>
      <c r="AP63" s="311">
        <f>INDEX($A$27:$B$246,MATCH(IFERROR(IF(V63&lt;J63,J63,IF(V63&gt;N63,N63,V63)),0),$A$27:$A$246,1),2)</f>
        <v/>
      </c>
      <c r="AQ63" s="311">
        <f>INDEX($A$27:$B$246,MATCH(IFERROR(IF(W63&lt;K63,K63,IF(W63&gt;O63,O63,W63)),0),$A$27:$A$246,1),2)</f>
        <v/>
      </c>
      <c r="AR63" s="311">
        <f>INDEX($A$27:$B$246,MATCH(IFERROR(IF(T63+$AS$5&lt;H63,H63,IF(T63+$AS$5&gt;L63,L63,T63+$AS$5)),0),$A$27:$A$246,1),2)</f>
        <v/>
      </c>
      <c r="AS63" s="311">
        <f>INDEX($A$27:$B$246,MATCH(IFERROR(IF(U63+$AS$5&lt;I63,I63,IF(U63+$AS$5&gt;M63,M63,U63+$AS$5)),0),$A$27:$A$246,1),2)</f>
        <v/>
      </c>
      <c r="AT63" s="311">
        <f>INDEX($A$27:$B$246,MATCH(IFERROR(IF(V63+$AS$5&lt;J63,J63,IF(V63+$AS$5&gt;N63,N63,V63+$AS$5)),0),$A$27:$A$246,1),2)</f>
        <v/>
      </c>
      <c r="AU63" s="311">
        <f>INDEX($A$27:$B$246,MATCH(IFERROR(IF(W63+$AS$5&lt;K63,K63,IF(W63+$AS$5&gt;O63,O63,W63+$AS$5)),0),$A$27:$A$246,1),2)</f>
        <v/>
      </c>
      <c r="AV63" s="311">
        <f>INDEX($A$27:$B$246,MATCH(IFERROR(IF(T63+$AW$5&lt;H63,H63,IF(T63+$AW$5&gt;L63,L63,T63+$AW$5)),0),$A$27:$A$246,1),2)</f>
        <v/>
      </c>
      <c r="AW63" s="311">
        <f>INDEX($A$27:$B$246,MATCH(IFERROR(IF(U63+$AW$5&lt;I63,I63,IF(U63+$AW$5&gt;M63,M63,U63+$AW$5)),0),$A$27:$A$246,1),2)</f>
        <v/>
      </c>
      <c r="AX63" s="311">
        <f>INDEX($A$27:$B$246,MATCH(IFERROR(IF(V63+$AW$5&lt;J63,J63,IF(V63+$AW$5&gt;N63,N63,V63+$AW$5)),0),$A$27:$A$246,1),2)</f>
        <v/>
      </c>
      <c r="AY63" s="311">
        <f>INDEX($A$27:$B$246,MATCH(IFERROR(IF(W63+$AW$5&lt;K63,K63,IF(W63+$AW$5&gt;O63,O63,W63+$AW$5)),0),$A$27:$A$246,1),2)</f>
        <v/>
      </c>
      <c r="AZ63" s="311">
        <f>INDEX($A$27:$B$246,MATCH(IFERROR(IF(T63+$BA$5&lt;H63,H63,IF(T63+$BA$5&gt;L63,L63,T63+$BA$5)),0),$A$27:$A$246,1),2)</f>
        <v/>
      </c>
      <c r="BA63" s="311">
        <f>INDEX($A$27:$B$246,MATCH(IFERROR(IF(U63+$BA$5&lt;I63,I63,IF(U63+$BA$5&gt;M63,M63,U63+$BA$5)),0),$A$27:$A$246,1),2)</f>
        <v/>
      </c>
      <c r="BB63" s="311">
        <f>INDEX($A$27:$B$246,MATCH(IFERROR(IF(V63+$BA$5&lt;J63,J63,IF(V63+$BA$5&gt;N63,N63,V63+$BA$5)),0),$A$27:$A$246,1),2)</f>
        <v/>
      </c>
      <c r="BC63" s="311">
        <f>INDEX($A$27:$B$246,MATCH(IFERROR(IF(W63+$BA$5&lt;K63,K63,IF(W63+$BA$5&gt;O63,O63,W63+$BA$5)),0),$A$27:$A$246,1),2)</f>
        <v/>
      </c>
      <c r="BD63" s="311" t="s">
        <v>8</v>
      </c>
      <c r="BE63" s="311" t="s">
        <v>8</v>
      </c>
      <c r="BF63" s="311" t="s">
        <v>8</v>
      </c>
      <c r="BG63" s="311" t="s">
        <v>8</v>
      </c>
    </row>
    <row r="64" spans="1:64">
      <c r="A64" s="313">
        <f>A63+$B$24</f>
        <v/>
      </c>
      <c r="B64" s="313">
        <f>B63+$B$24</f>
        <v/>
      </c>
      <c r="C64" s="314" t="n"/>
      <c r="D64" t="s">
        <v>135</v>
      </c>
      <c r="E64" s="34" t="s">
        <v>135</v>
      </c>
      <c r="F64" s="34" t="s">
        <v>260</v>
      </c>
      <c r="G64" s="34" t="n">
        <v>355</v>
      </c>
      <c r="H64" s="310" t="n">
        <v>1</v>
      </c>
      <c r="I64" s="310" t="n">
        <v>1</v>
      </c>
      <c r="J64" s="310" t="n">
        <v>1</v>
      </c>
      <c r="K64" s="310" t="n">
        <v>1</v>
      </c>
      <c r="L64" s="311">
        <f>H64*$B$1</f>
        <v/>
      </c>
      <c r="M64" s="311">
        <f>I64*$B$1</f>
        <v/>
      </c>
      <c r="N64" s="311">
        <f>J64*$B$1</f>
        <v/>
      </c>
      <c r="O64" s="311">
        <f>K64*$B$1</f>
        <v/>
      </c>
      <c r="P64" s="311">
        <f>IFERROR(MIN(VLOOKUP(E64,Detalle!A:AA,$P$6,0),VLOOKUP(E64,Detalle!A:AA,$P$7,0),VLOOKUP(E64,Detalle!A:AA,$P$4,0)),0)</f>
        <v/>
      </c>
      <c r="Q64" s="311">
        <f>IFERROR(MIN(VLOOKUP(E64,Detalle!A:AA,$Q$6,0),VLOOKUP(E64,Detalle!A:AA,$Q$7,0)),0)</f>
        <v/>
      </c>
      <c r="R64" s="311">
        <f>IFERROR(MIN(VLOOKUP(E64,Detalle!A:AA,$R$6,0),VLOOKUP(E64,Detalle!A:AA,$R$7,0)),0)</f>
        <v/>
      </c>
      <c r="S64" s="311">
        <f>IFERROR(MIN(VLOOKUP(E64,Detalle!A:AA,$S$6,0),VLOOKUP(E64,Detalle!A:AA,$S$7,0)),0)</f>
        <v/>
      </c>
      <c r="T64" s="311">
        <f>IFERROR(MAX(VLOOKUP(E64,Detalle!A:AA,$P$6,0),VLOOKUP(E64,Detalle!A:AA,$P$7,0),VLOOKUP(E64,Detalle!A:AA,$P$4,0)),0)</f>
        <v/>
      </c>
      <c r="U64" s="311">
        <f>IFERROR(MAX(VLOOKUP(E64,Detalle!A:AA,$Q$6,0),VLOOKUP(E64,Detalle!A:AA,$Q$7,0)),0)</f>
        <v/>
      </c>
      <c r="V64" s="311">
        <f>IFERROR(MAX(VLOOKUP(E64,Detalle!A:AA,$R$6,0),VLOOKUP(E64,Detalle!A:AA,$R$7,0)),0)</f>
        <v/>
      </c>
      <c r="W64" s="311">
        <f>IFERROR(MAX(VLOOKUP(E64,Detalle!A:AA,$S$6,0),VLOOKUP(E64,Detalle!A:AA,$S$7,0)),0)</f>
        <v/>
      </c>
      <c r="X64" s="311">
        <f>INDEX($A$27:$B$246,MATCH(IFERROR(IF(P64*(1+$Y$5)&lt;H64,H64,IF(P64*(1+$Y$5)&gt;L64,L64,P64*(1+$Y$5))),0),$A$27:$A$246,1),2)</f>
        <v/>
      </c>
      <c r="Y64" s="311">
        <f>INDEX($A$27:$B$246,MATCH(IFERROR(IF(Q64*(1+$Y$5)&lt;I64,I64,IF(Q64*(1+$Y$5)&gt;M64,M64,Q64*(1+$Y$5))),0),$A$27:$A$246,1),2)</f>
        <v/>
      </c>
      <c r="Z64" s="311">
        <f>INDEX($A$27:$B$246,MATCH(IFERROR(IF(R64*(1+$Y$5)&lt;J64,J64,IF(R64*(1+$Y$5)&gt;N64,N64,R64*(1+$Y$5))),0),$A$27:$A$246,1),2)</f>
        <v/>
      </c>
      <c r="AA64" s="311">
        <f>INDEX($A$27:$B$246,MATCH(IFERROR(IF(S64*(1+$Y$5)&lt;K64,K64,IF(S64*(1+$Y$5)&gt;O64,O64,S64*(1+$Y$5))),0),$A$27:$A$246,1),2)</f>
        <v/>
      </c>
      <c r="AB64" s="311">
        <f>INDEX($A$27:$B$246,MATCH(IFERROR(IF(P64-$AC$5&lt;H64,H64,IF(P64-$AC$5&gt;L64,L64,P64-$AC$5)),0),$A$27:$A$246,1),2)</f>
        <v/>
      </c>
      <c r="AC64" s="311">
        <f>INDEX($A$27:$B$246,MATCH(IFERROR(IF(Q64-$AC$5&lt;I64,I64,IF(Q64-$AC$5&gt;M64,M64,Q64-$AC$5)),0),$A$27:$A$246,1),2)</f>
        <v/>
      </c>
      <c r="AD64" s="311">
        <f>INDEX($A$27:$B$246,MATCH(IFERROR(IF(R64-$AC$5&lt;J64,J64,IF(R64-$AC$5&gt;N64,N64,R64-$AC$5)),0),$A$27:$A$246,1),2)</f>
        <v/>
      </c>
      <c r="AE64" s="311">
        <f>INDEX($A$27:$B$246,MATCH(IFERROR(IF(S64-$AC$5&lt;K64,K64,IF(S64-$AC$5&gt;O64,O64,S64-$AC$5)),0),$A$27:$A$246,1),2)</f>
        <v/>
      </c>
      <c r="AF64" s="311" t="s">
        <v>8</v>
      </c>
      <c r="AG64" s="311" t="s">
        <v>8</v>
      </c>
      <c r="AH64" s="311" t="s">
        <v>8</v>
      </c>
      <c r="AI64" s="311" t="s">
        <v>8</v>
      </c>
      <c r="AJ64" s="311">
        <f>INDEX($A$27:$B$246,MATCH(IFERROR(IF(T64&lt;H64,H64,IF(T64&gt;L64,L64,T64)),0),$A$27:$A$246,1),2)</f>
        <v/>
      </c>
      <c r="AK64" s="311">
        <f>INDEX($A$27:$B$246,MATCH(IFERROR(IF(U64&lt;I64,I64,IF(U64&gt;M64,M64,U64)),0),$A$27:$A$246,1),2)</f>
        <v/>
      </c>
      <c r="AL64" s="311">
        <f>INDEX($A$27:$B$246,MATCH(IFERROR(IF(V64&lt;J64,J64,IF(V64&gt;N64,N64,V64)),0),$A$27:$A$246,1),2)</f>
        <v/>
      </c>
      <c r="AM64" s="311">
        <f>INDEX($A$27:$B$246,MATCH(IFERROR(IF(W64&lt;K64,K64,IF(W64&gt;O64,O64,W64)),0),$A$27:$A$246,1),2)</f>
        <v/>
      </c>
      <c r="AN64" s="311">
        <f>INDEX($A$27:$B$246,MATCH(IFERROR(IF(T64&lt;H64,H64,IF(T64&gt;L64,L64,T64)),0),$A$27:$A$246,1),2)</f>
        <v/>
      </c>
      <c r="AO64" s="311">
        <f>INDEX($A$27:$B$246,MATCH(IFERROR(IF(U64&lt;I64,I64,IF(U64&gt;M64,M64,U64)),0),$A$27:$A$246,1),2)</f>
        <v/>
      </c>
      <c r="AP64" s="311">
        <f>INDEX($A$27:$B$246,MATCH(IFERROR(IF(V64&lt;J64,J64,IF(V64&gt;N64,N64,V64)),0),$A$27:$A$246,1),2)</f>
        <v/>
      </c>
      <c r="AQ64" s="311">
        <f>INDEX($A$27:$B$246,MATCH(IFERROR(IF(W64&lt;K64,K64,IF(W64&gt;O64,O64,W64)),0),$A$27:$A$246,1),2)</f>
        <v/>
      </c>
      <c r="AR64" s="311">
        <f>INDEX($A$27:$B$246,MATCH(IFERROR(IF(T64+$AS$5&lt;H64,H64,IF(T64+$AS$5&gt;L64,L64,T64+$AS$5)),0),$A$27:$A$246,1),2)</f>
        <v/>
      </c>
      <c r="AS64" s="311">
        <f>INDEX($A$27:$B$246,MATCH(IFERROR(IF(U64+$AS$5&lt;I64,I64,IF(U64+$AS$5&gt;M64,M64,U64+$AS$5)),0),$A$27:$A$246,1),2)</f>
        <v/>
      </c>
      <c r="AT64" s="311">
        <f>INDEX($A$27:$B$246,MATCH(IFERROR(IF(V64+$AS$5&lt;J64,J64,IF(V64+$AS$5&gt;N64,N64,V64+$AS$5)),0),$A$27:$A$246,1),2)</f>
        <v/>
      </c>
      <c r="AU64" s="311">
        <f>INDEX($A$27:$B$246,MATCH(IFERROR(IF(W64+$AS$5&lt;K64,K64,IF(W64+$AS$5&gt;O64,O64,W64+$AS$5)),0),$A$27:$A$246,1),2)</f>
        <v/>
      </c>
      <c r="AV64" s="311">
        <f>INDEX($A$27:$B$246,MATCH(IFERROR(IF(T64+$AW$5&lt;H64,H64,IF(T64+$AW$5&gt;L64,L64,T64+$AW$5)),0),$A$27:$A$246,1),2)</f>
        <v/>
      </c>
      <c r="AW64" s="311">
        <f>INDEX($A$27:$B$246,MATCH(IFERROR(IF(U64+$AW$5&lt;I64,I64,IF(U64+$AW$5&gt;M64,M64,U64+$AW$5)),0),$A$27:$A$246,1),2)</f>
        <v/>
      </c>
      <c r="AX64" s="311">
        <f>INDEX($A$27:$B$246,MATCH(IFERROR(IF(V64+$AW$5&lt;J64,J64,IF(V64+$AW$5&gt;N64,N64,V64+$AW$5)),0),$A$27:$A$246,1),2)</f>
        <v/>
      </c>
      <c r="AY64" s="311">
        <f>INDEX($A$27:$B$246,MATCH(IFERROR(IF(W64+$AW$5&lt;K64,K64,IF(W64+$AW$5&gt;O64,O64,W64+$AW$5)),0),$A$27:$A$246,1),2)</f>
        <v/>
      </c>
      <c r="AZ64" s="311">
        <f>INDEX($A$27:$B$246,MATCH(IFERROR(IF(T64+$BA$5&lt;H64,H64,IF(T64+$BA$5&gt;L64,L64,T64+$BA$5)),0),$A$27:$A$246,1),2)</f>
        <v/>
      </c>
      <c r="BA64" s="311">
        <f>INDEX($A$27:$B$246,MATCH(IFERROR(IF(U64+$BA$5&lt;I64,I64,IF(U64+$BA$5&gt;M64,M64,U64+$BA$5)),0),$A$27:$A$246,1),2)</f>
        <v/>
      </c>
      <c r="BB64" s="311">
        <f>INDEX($A$27:$B$246,MATCH(IFERROR(IF(V64+$BA$5&lt;J64,J64,IF(V64+$BA$5&gt;N64,N64,V64+$BA$5)),0),$A$27:$A$246,1),2)</f>
        <v/>
      </c>
      <c r="BC64" s="311">
        <f>INDEX($A$27:$B$246,MATCH(IFERROR(IF(W64+$BA$5&lt;K64,K64,IF(W64+$BA$5&gt;O64,O64,W64+$BA$5)),0),$A$27:$A$246,1),2)</f>
        <v/>
      </c>
      <c r="BD64" s="311" t="s">
        <v>8</v>
      </c>
      <c r="BE64" s="311" t="s">
        <v>8</v>
      </c>
      <c r="BF64" s="311" t="s">
        <v>8</v>
      </c>
      <c r="BG64" s="311" t="s">
        <v>8</v>
      </c>
    </row>
    <row r="65" spans="1:64">
      <c r="A65" s="313">
        <f>A64+$B$24</f>
        <v/>
      </c>
      <c r="B65" s="313">
        <f>B64+$B$24</f>
        <v/>
      </c>
      <c r="C65" s="314" t="n"/>
      <c r="D65" t="s">
        <v>136</v>
      </c>
      <c r="E65" s="34" t="s">
        <v>136</v>
      </c>
      <c r="F65" s="34" t="s">
        <v>260</v>
      </c>
      <c r="G65" s="34" t="n">
        <v>356</v>
      </c>
      <c r="H65" s="310" t="n">
        <v>1</v>
      </c>
      <c r="I65" s="310" t="n">
        <v>1</v>
      </c>
      <c r="J65" s="310" t="n">
        <v>1</v>
      </c>
      <c r="K65" s="310" t="n">
        <v>1</v>
      </c>
      <c r="L65" s="311">
        <f>H65*$B$1</f>
        <v/>
      </c>
      <c r="M65" s="311">
        <f>I65*$B$1</f>
        <v/>
      </c>
      <c r="N65" s="311">
        <f>J65*$B$1</f>
        <v/>
      </c>
      <c r="O65" s="311">
        <f>K65*$B$1</f>
        <v/>
      </c>
      <c r="P65" s="311">
        <f>IFERROR(MIN(VLOOKUP(E65,Detalle!A:AA,$P$6,0),VLOOKUP(E65,Detalle!A:AA,$P$7,0),VLOOKUP(E65,Detalle!A:AA,$P$4,0)),0)</f>
        <v/>
      </c>
      <c r="Q65" s="311">
        <f>IFERROR(MIN(VLOOKUP(E65,Detalle!A:AA,$Q$6,0),VLOOKUP(E65,Detalle!A:AA,$Q$7,0)),0)</f>
        <v/>
      </c>
      <c r="R65" s="311">
        <f>IFERROR(MIN(VLOOKUP(E65,Detalle!A:AA,$R$6,0),VLOOKUP(E65,Detalle!A:AA,$R$7,0)),0)</f>
        <v/>
      </c>
      <c r="S65" s="311">
        <f>IFERROR(MIN(VLOOKUP(E65,Detalle!A:AA,$S$6,0),VLOOKUP(E65,Detalle!A:AA,$S$7,0)),0)</f>
        <v/>
      </c>
      <c r="T65" s="311">
        <f>IFERROR(MAX(VLOOKUP(E65,Detalle!A:AA,$P$6,0),VLOOKUP(E65,Detalle!A:AA,$P$7,0),VLOOKUP(E65,Detalle!A:AA,$P$4,0)),0)</f>
        <v/>
      </c>
      <c r="U65" s="311">
        <f>IFERROR(MAX(VLOOKUP(E65,Detalle!A:AA,$Q$6,0),VLOOKUP(E65,Detalle!A:AA,$Q$7,0)),0)</f>
        <v/>
      </c>
      <c r="V65" s="311">
        <f>IFERROR(MAX(VLOOKUP(E65,Detalle!A:AA,$R$6,0),VLOOKUP(E65,Detalle!A:AA,$R$7,0)),0)</f>
        <v/>
      </c>
      <c r="W65" s="311">
        <f>IFERROR(MAX(VLOOKUP(E65,Detalle!A:AA,$S$6,0),VLOOKUP(E65,Detalle!A:AA,$S$7,0)),0)</f>
        <v/>
      </c>
      <c r="X65" s="311">
        <f>INDEX($A$27:$B$246,MATCH(IFERROR(IF(P65*(1+$Y$5)&lt;H65,H65,IF(P65*(1+$Y$5)&gt;L65,L65,P65*(1+$Y$5))),0),$A$27:$A$246,1),2)</f>
        <v/>
      </c>
      <c r="Y65" s="311">
        <f>INDEX($A$27:$B$246,MATCH(IFERROR(IF(Q65*(1+$Y$5)&lt;I65,I65,IF(Q65*(1+$Y$5)&gt;M65,M65,Q65*(1+$Y$5))),0),$A$27:$A$246,1),2)</f>
        <v/>
      </c>
      <c r="Z65" s="311">
        <f>INDEX($A$27:$B$246,MATCH(IFERROR(IF(R65*(1+$Y$5)&lt;J65,J65,IF(R65*(1+$Y$5)&gt;N65,N65,R65*(1+$Y$5))),0),$A$27:$A$246,1),2)</f>
        <v/>
      </c>
      <c r="AA65" s="311">
        <f>INDEX($A$27:$B$246,MATCH(IFERROR(IF(S65*(1+$Y$5)&lt;K65,K65,IF(S65*(1+$Y$5)&gt;O65,O65,S65*(1+$Y$5))),0),$A$27:$A$246,1),2)</f>
        <v/>
      </c>
      <c r="AB65" s="311">
        <f>INDEX($A$27:$B$246,MATCH(IFERROR(IF(P65-$AC$5&lt;H65,H65,IF(P65-$AC$5&gt;L65,L65,P65-$AC$5)),0),$A$27:$A$246,1),2)</f>
        <v/>
      </c>
      <c r="AC65" s="311">
        <f>INDEX($A$27:$B$246,MATCH(IFERROR(IF(Q65-$AC$5&lt;I65,I65,IF(Q65-$AC$5&gt;M65,M65,Q65-$AC$5)),0),$A$27:$A$246,1),2)</f>
        <v/>
      </c>
      <c r="AD65" s="311">
        <f>INDEX($A$27:$B$246,MATCH(IFERROR(IF(R65-$AC$5&lt;J65,J65,IF(R65-$AC$5&gt;N65,N65,R65-$AC$5)),0),$A$27:$A$246,1),2)</f>
        <v/>
      </c>
      <c r="AE65" s="311">
        <f>INDEX($A$27:$B$246,MATCH(IFERROR(IF(S65-$AC$5&lt;K65,K65,IF(S65-$AC$5&gt;O65,O65,S65-$AC$5)),0),$A$27:$A$246,1),2)</f>
        <v/>
      </c>
      <c r="AF65" s="311" t="s">
        <v>8</v>
      </c>
      <c r="AG65" s="311" t="s">
        <v>8</v>
      </c>
      <c r="AH65" s="311" t="s">
        <v>8</v>
      </c>
      <c r="AI65" s="311" t="s">
        <v>8</v>
      </c>
      <c r="AJ65" s="311">
        <f>INDEX($A$27:$B$246,MATCH(IFERROR(IF(T65&lt;H65,H65,IF(T65&gt;L65,L65,T65)),0),$A$27:$A$246,1),2)</f>
        <v/>
      </c>
      <c r="AK65" s="311">
        <f>INDEX($A$27:$B$246,MATCH(IFERROR(IF(U65&lt;I65,I65,IF(U65&gt;M65,M65,U65)),0),$A$27:$A$246,1),2)</f>
        <v/>
      </c>
      <c r="AL65" s="311">
        <f>INDEX($A$27:$B$246,MATCH(IFERROR(IF(V65&lt;J65,J65,IF(V65&gt;N65,N65,V65)),0),$A$27:$A$246,1),2)</f>
        <v/>
      </c>
      <c r="AM65" s="311">
        <f>INDEX($A$27:$B$246,MATCH(IFERROR(IF(W65&lt;K65,K65,IF(W65&gt;O65,O65,W65)),0),$A$27:$A$246,1),2)</f>
        <v/>
      </c>
      <c r="AN65" s="311">
        <f>INDEX($A$27:$B$246,MATCH(IFERROR(IF(T65&lt;H65,H65,IF(T65&gt;L65,L65,T65)),0),$A$27:$A$246,1),2)</f>
        <v/>
      </c>
      <c r="AO65" s="311">
        <f>INDEX($A$27:$B$246,MATCH(IFERROR(IF(U65&lt;I65,I65,IF(U65&gt;M65,M65,U65)),0),$A$27:$A$246,1),2)</f>
        <v/>
      </c>
      <c r="AP65" s="311">
        <f>INDEX($A$27:$B$246,MATCH(IFERROR(IF(V65&lt;J65,J65,IF(V65&gt;N65,N65,V65)),0),$A$27:$A$246,1),2)</f>
        <v/>
      </c>
      <c r="AQ65" s="311">
        <f>INDEX($A$27:$B$246,MATCH(IFERROR(IF(W65&lt;K65,K65,IF(W65&gt;O65,O65,W65)),0),$A$27:$A$246,1),2)</f>
        <v/>
      </c>
      <c r="AR65" s="311">
        <f>INDEX($A$27:$B$246,MATCH(IFERROR(IF(T65+$AS$5&lt;H65,H65,IF(T65+$AS$5&gt;L65,L65,T65+$AS$5)),0),$A$27:$A$246,1),2)</f>
        <v/>
      </c>
      <c r="AS65" s="311">
        <f>INDEX($A$27:$B$246,MATCH(IFERROR(IF(U65+$AS$5&lt;I65,I65,IF(U65+$AS$5&gt;M65,M65,U65+$AS$5)),0),$A$27:$A$246,1),2)</f>
        <v/>
      </c>
      <c r="AT65" s="311">
        <f>INDEX($A$27:$B$246,MATCH(IFERROR(IF(V65+$AS$5&lt;J65,J65,IF(V65+$AS$5&gt;N65,N65,V65+$AS$5)),0),$A$27:$A$246,1),2)</f>
        <v/>
      </c>
      <c r="AU65" s="311">
        <f>INDEX($A$27:$B$246,MATCH(IFERROR(IF(W65+$AS$5&lt;K65,K65,IF(W65+$AS$5&gt;O65,O65,W65+$AS$5)),0),$A$27:$A$246,1),2)</f>
        <v/>
      </c>
      <c r="AV65" s="311">
        <f>INDEX($A$27:$B$246,MATCH(IFERROR(IF(T65+$AW$5&lt;H65,H65,IF(T65+$AW$5&gt;L65,L65,T65+$AW$5)),0),$A$27:$A$246,1),2)</f>
        <v/>
      </c>
      <c r="AW65" s="311">
        <f>INDEX($A$27:$B$246,MATCH(IFERROR(IF(U65+$AW$5&lt;I65,I65,IF(U65+$AW$5&gt;M65,M65,U65+$AW$5)),0),$A$27:$A$246,1),2)</f>
        <v/>
      </c>
      <c r="AX65" s="311">
        <f>INDEX($A$27:$B$246,MATCH(IFERROR(IF(V65+$AW$5&lt;J65,J65,IF(V65+$AW$5&gt;N65,N65,V65+$AW$5)),0),$A$27:$A$246,1),2)</f>
        <v/>
      </c>
      <c r="AY65" s="311">
        <f>INDEX($A$27:$B$246,MATCH(IFERROR(IF(W65+$AW$5&lt;K65,K65,IF(W65+$AW$5&gt;O65,O65,W65+$AW$5)),0),$A$27:$A$246,1),2)</f>
        <v/>
      </c>
      <c r="AZ65" s="311">
        <f>INDEX($A$27:$B$246,MATCH(IFERROR(IF(T65+$BA$5&lt;H65,H65,IF(T65+$BA$5&gt;L65,L65,T65+$BA$5)),0),$A$27:$A$246,1),2)</f>
        <v/>
      </c>
      <c r="BA65" s="311">
        <f>INDEX($A$27:$B$246,MATCH(IFERROR(IF(U65+$BA$5&lt;I65,I65,IF(U65+$BA$5&gt;M65,M65,U65+$BA$5)),0),$A$27:$A$246,1),2)</f>
        <v/>
      </c>
      <c r="BB65" s="311">
        <f>INDEX($A$27:$B$246,MATCH(IFERROR(IF(V65+$BA$5&lt;J65,J65,IF(V65+$BA$5&gt;N65,N65,V65+$BA$5)),0),$A$27:$A$246,1),2)</f>
        <v/>
      </c>
      <c r="BC65" s="311">
        <f>INDEX($A$27:$B$246,MATCH(IFERROR(IF(W65+$BA$5&lt;K65,K65,IF(W65+$BA$5&gt;O65,O65,W65+$BA$5)),0),$A$27:$A$246,1),2)</f>
        <v/>
      </c>
      <c r="BD65" s="311" t="s">
        <v>8</v>
      </c>
      <c r="BE65" s="311" t="s">
        <v>8</v>
      </c>
      <c r="BF65" s="311" t="s">
        <v>8</v>
      </c>
      <c r="BG65" s="311" t="s">
        <v>8</v>
      </c>
    </row>
    <row r="66" spans="1:64">
      <c r="A66" s="313">
        <f>A65+$B$24</f>
        <v/>
      </c>
      <c r="B66" s="313">
        <f>B65+$B$24</f>
        <v/>
      </c>
      <c r="C66" s="314" t="n"/>
      <c r="D66" t="s">
        <v>137</v>
      </c>
      <c r="E66" s="34" t="s">
        <v>137</v>
      </c>
      <c r="F66" s="34" t="s">
        <v>260</v>
      </c>
      <c r="G66" s="34" t="n">
        <v>358</v>
      </c>
      <c r="H66" s="310" t="n">
        <v>1</v>
      </c>
      <c r="I66" s="310" t="n">
        <v>1</v>
      </c>
      <c r="J66" s="310" t="n">
        <v>1</v>
      </c>
      <c r="K66" s="310" t="n">
        <v>1</v>
      </c>
      <c r="L66" s="311">
        <f>H66*$B$1</f>
        <v/>
      </c>
      <c r="M66" s="311">
        <f>I66*$B$1</f>
        <v/>
      </c>
      <c r="N66" s="311">
        <f>J66*$B$1</f>
        <v/>
      </c>
      <c r="O66" s="311">
        <f>K66*$B$1</f>
        <v/>
      </c>
      <c r="P66" s="311">
        <f>IFERROR(MIN(VLOOKUP(E66,Detalle!A:AA,$P$6,0),VLOOKUP(E66,Detalle!A:AA,$P$7,0),VLOOKUP(E66,Detalle!A:AA,$P$4,0)),0)</f>
        <v/>
      </c>
      <c r="Q66" s="311">
        <f>IFERROR(MIN(VLOOKUP(E66,Detalle!A:AA,$Q$6,0),VLOOKUP(E66,Detalle!A:AA,$Q$7,0)),0)</f>
        <v/>
      </c>
      <c r="R66" s="311">
        <f>IFERROR(MIN(VLOOKUP(E66,Detalle!A:AA,$R$6,0),VLOOKUP(E66,Detalle!A:AA,$R$7,0)),0)</f>
        <v/>
      </c>
      <c r="S66" s="311">
        <f>IFERROR(MIN(VLOOKUP(E66,Detalle!A:AA,$S$6,0),VLOOKUP(E66,Detalle!A:AA,$S$7,0)),0)</f>
        <v/>
      </c>
      <c r="T66" s="311">
        <f>IFERROR(MAX(VLOOKUP(E66,Detalle!A:AA,$P$6,0),VLOOKUP(E66,Detalle!A:AA,$P$7,0),VLOOKUP(E66,Detalle!A:AA,$P$4,0)),0)</f>
        <v/>
      </c>
      <c r="U66" s="311">
        <f>IFERROR(MAX(VLOOKUP(E66,Detalle!A:AA,$Q$6,0),VLOOKUP(E66,Detalle!A:AA,$Q$7,0)),0)</f>
        <v/>
      </c>
      <c r="V66" s="311">
        <f>IFERROR(MAX(VLOOKUP(E66,Detalle!A:AA,$R$6,0),VLOOKUP(E66,Detalle!A:AA,$R$7,0)),0)</f>
        <v/>
      </c>
      <c r="W66" s="311">
        <f>IFERROR(MAX(VLOOKUP(E66,Detalle!A:AA,$S$6,0),VLOOKUP(E66,Detalle!A:AA,$S$7,0)),0)</f>
        <v/>
      </c>
      <c r="X66" s="311">
        <f>INDEX($A$27:$B$246,MATCH(IFERROR(IF(P66*(1+$Y$5)&lt;H66,H66,IF(P66*(1+$Y$5)&gt;L66,L66,P66*(1+$Y$5))),0),$A$27:$A$246,1),2)</f>
        <v/>
      </c>
      <c r="Y66" s="311">
        <f>INDEX($A$27:$B$246,MATCH(IFERROR(IF(Q66*(1+$Y$5)&lt;I66,I66,IF(Q66*(1+$Y$5)&gt;M66,M66,Q66*(1+$Y$5))),0),$A$27:$A$246,1),2)</f>
        <v/>
      </c>
      <c r="Z66" s="311">
        <f>INDEX($A$27:$B$246,MATCH(IFERROR(IF(R66*(1+$Y$5)&lt;J66,J66,IF(R66*(1+$Y$5)&gt;N66,N66,R66*(1+$Y$5))),0),$A$27:$A$246,1),2)</f>
        <v/>
      </c>
      <c r="AA66" s="311">
        <f>INDEX($A$27:$B$246,MATCH(IFERROR(IF(S66*(1+$Y$5)&lt;K66,K66,IF(S66*(1+$Y$5)&gt;O66,O66,S66*(1+$Y$5))),0),$A$27:$A$246,1),2)</f>
        <v/>
      </c>
      <c r="AB66" s="311">
        <f>INDEX($A$27:$B$246,MATCH(IFERROR(IF(P66-$AC$5&lt;H66,H66,IF(P66-$AC$5&gt;L66,L66,P66-$AC$5)),0),$A$27:$A$246,1),2)</f>
        <v/>
      </c>
      <c r="AC66" s="311">
        <f>INDEX($A$27:$B$246,MATCH(IFERROR(IF(Q66-$AC$5&lt;I66,I66,IF(Q66-$AC$5&gt;M66,M66,Q66-$AC$5)),0),$A$27:$A$246,1),2)</f>
        <v/>
      </c>
      <c r="AD66" s="311">
        <f>INDEX($A$27:$B$246,MATCH(IFERROR(IF(R66-$AC$5&lt;J66,J66,IF(R66-$AC$5&gt;N66,N66,R66-$AC$5)),0),$A$27:$A$246,1),2)</f>
        <v/>
      </c>
      <c r="AE66" s="311">
        <f>INDEX($A$27:$B$246,MATCH(IFERROR(IF(S66-$AC$5&lt;K66,K66,IF(S66-$AC$5&gt;O66,O66,S66-$AC$5)),0),$A$27:$A$246,1),2)</f>
        <v/>
      </c>
      <c r="AF66" s="311" t="s">
        <v>8</v>
      </c>
      <c r="AG66" s="311" t="s">
        <v>8</v>
      </c>
      <c r="AH66" s="311" t="s">
        <v>8</v>
      </c>
      <c r="AI66" s="311" t="s">
        <v>8</v>
      </c>
      <c r="AJ66" s="311">
        <f>INDEX($A$27:$B$246,MATCH(IFERROR(IF(T66&lt;H66,H66,IF(T66&gt;L66,L66,T66)),0),$A$27:$A$246,1),2)</f>
        <v/>
      </c>
      <c r="AK66" s="311">
        <f>INDEX($A$27:$B$246,MATCH(IFERROR(IF(U66&lt;I66,I66,IF(U66&gt;M66,M66,U66)),0),$A$27:$A$246,1),2)</f>
        <v/>
      </c>
      <c r="AL66" s="311">
        <f>INDEX($A$27:$B$246,MATCH(IFERROR(IF(V66&lt;J66,J66,IF(V66&gt;N66,N66,V66)),0),$A$27:$A$246,1),2)</f>
        <v/>
      </c>
      <c r="AM66" s="311">
        <f>INDEX($A$27:$B$246,MATCH(IFERROR(IF(W66&lt;K66,K66,IF(W66&gt;O66,O66,W66)),0),$A$27:$A$246,1),2)</f>
        <v/>
      </c>
      <c r="AN66" s="311">
        <f>INDEX($A$27:$B$246,MATCH(IFERROR(IF(T66&lt;H66,H66,IF(T66&gt;L66,L66,T66)),0),$A$27:$A$246,1),2)</f>
        <v/>
      </c>
      <c r="AO66" s="311">
        <f>INDEX($A$27:$B$246,MATCH(IFERROR(IF(U66&lt;I66,I66,IF(U66&gt;M66,M66,U66)),0),$A$27:$A$246,1),2)</f>
        <v/>
      </c>
      <c r="AP66" s="311">
        <f>INDEX($A$27:$B$246,MATCH(IFERROR(IF(V66&lt;J66,J66,IF(V66&gt;N66,N66,V66)),0),$A$27:$A$246,1),2)</f>
        <v/>
      </c>
      <c r="AQ66" s="311">
        <f>INDEX($A$27:$B$246,MATCH(IFERROR(IF(W66&lt;K66,K66,IF(W66&gt;O66,O66,W66)),0),$A$27:$A$246,1),2)</f>
        <v/>
      </c>
      <c r="AR66" s="311">
        <f>INDEX($A$27:$B$246,MATCH(IFERROR(IF(T66+$AS$5&lt;H66,H66,IF(T66+$AS$5&gt;L66,L66,T66+$AS$5)),0),$A$27:$A$246,1),2)</f>
        <v/>
      </c>
      <c r="AS66" s="311">
        <f>INDEX($A$27:$B$246,MATCH(IFERROR(IF(U66+$AS$5&lt;I66,I66,IF(U66+$AS$5&gt;M66,M66,U66+$AS$5)),0),$A$27:$A$246,1),2)</f>
        <v/>
      </c>
      <c r="AT66" s="311">
        <f>INDEX($A$27:$B$246,MATCH(IFERROR(IF(V66+$AS$5&lt;J66,J66,IF(V66+$AS$5&gt;N66,N66,V66+$AS$5)),0),$A$27:$A$246,1),2)</f>
        <v/>
      </c>
      <c r="AU66" s="311">
        <f>INDEX($A$27:$B$246,MATCH(IFERROR(IF(W66+$AS$5&lt;K66,K66,IF(W66+$AS$5&gt;O66,O66,W66+$AS$5)),0),$A$27:$A$246,1),2)</f>
        <v/>
      </c>
      <c r="AV66" s="311">
        <f>INDEX($A$27:$B$246,MATCH(IFERROR(IF(T66+$AW$5&lt;H66,H66,IF(T66+$AW$5&gt;L66,L66,T66+$AW$5)),0),$A$27:$A$246,1),2)</f>
        <v/>
      </c>
      <c r="AW66" s="311">
        <f>INDEX($A$27:$B$246,MATCH(IFERROR(IF(U66+$AW$5&lt;I66,I66,IF(U66+$AW$5&gt;M66,M66,U66+$AW$5)),0),$A$27:$A$246,1),2)</f>
        <v/>
      </c>
      <c r="AX66" s="311">
        <f>INDEX($A$27:$B$246,MATCH(IFERROR(IF(V66+$AW$5&lt;J66,J66,IF(V66+$AW$5&gt;N66,N66,V66+$AW$5)),0),$A$27:$A$246,1),2)</f>
        <v/>
      </c>
      <c r="AY66" s="311">
        <f>INDEX($A$27:$B$246,MATCH(IFERROR(IF(W66+$AW$5&lt;K66,K66,IF(W66+$AW$5&gt;O66,O66,W66+$AW$5)),0),$A$27:$A$246,1),2)</f>
        <v/>
      </c>
      <c r="AZ66" s="311">
        <f>INDEX($A$27:$B$246,MATCH(IFERROR(IF(T66+$BA$5&lt;H66,H66,IF(T66+$BA$5&gt;L66,L66,T66+$BA$5)),0),$A$27:$A$246,1),2)</f>
        <v/>
      </c>
      <c r="BA66" s="311">
        <f>INDEX($A$27:$B$246,MATCH(IFERROR(IF(U66+$BA$5&lt;I66,I66,IF(U66+$BA$5&gt;M66,M66,U66+$BA$5)),0),$A$27:$A$246,1),2)</f>
        <v/>
      </c>
      <c r="BB66" s="311">
        <f>INDEX($A$27:$B$246,MATCH(IFERROR(IF(V66+$BA$5&lt;J66,J66,IF(V66+$BA$5&gt;N66,N66,V66+$BA$5)),0),$A$27:$A$246,1),2)</f>
        <v/>
      </c>
      <c r="BC66" s="311">
        <f>INDEX($A$27:$B$246,MATCH(IFERROR(IF(W66+$BA$5&lt;K66,K66,IF(W66+$BA$5&gt;O66,O66,W66+$BA$5)),0),$A$27:$A$246,1),2)</f>
        <v/>
      </c>
      <c r="BD66" s="311" t="s">
        <v>8</v>
      </c>
      <c r="BE66" s="311" t="s">
        <v>8</v>
      </c>
      <c r="BF66" s="311" t="s">
        <v>8</v>
      </c>
      <c r="BG66" s="311" t="s">
        <v>8</v>
      </c>
    </row>
    <row r="67" spans="1:64">
      <c r="A67" s="313">
        <f>A66+$B$24</f>
        <v/>
      </c>
      <c r="B67" s="313">
        <f>B66+$B$24</f>
        <v/>
      </c>
      <c r="C67" s="314" t="n"/>
      <c r="D67" t="s">
        <v>138</v>
      </c>
      <c r="E67" s="34" t="s">
        <v>138</v>
      </c>
      <c r="F67" s="34" t="s">
        <v>260</v>
      </c>
      <c r="G67" s="34" t="n">
        <v>357</v>
      </c>
      <c r="H67" s="310" t="n">
        <v>1</v>
      </c>
      <c r="I67" s="310" t="n">
        <v>1</v>
      </c>
      <c r="J67" s="310" t="n">
        <v>1</v>
      </c>
      <c r="K67" s="310" t="n">
        <v>1</v>
      </c>
      <c r="L67" s="311">
        <f>H67*$B$1</f>
        <v/>
      </c>
      <c r="M67" s="311">
        <f>I67*$B$1</f>
        <v/>
      </c>
      <c r="N67" s="311">
        <f>J67*$B$1</f>
        <v/>
      </c>
      <c r="O67" s="311">
        <f>K67*$B$1</f>
        <v/>
      </c>
      <c r="P67" s="311">
        <f>IFERROR(MIN(VLOOKUP(E67,Detalle!A:AA,$P$6,0),VLOOKUP(E67,Detalle!A:AA,$P$7,0),VLOOKUP(E67,Detalle!A:AA,$P$4,0)),0)</f>
        <v/>
      </c>
      <c r="Q67" s="311">
        <f>IFERROR(MIN(VLOOKUP(E67,Detalle!A:AA,$Q$6,0),VLOOKUP(E67,Detalle!A:AA,$Q$7,0)),0)</f>
        <v/>
      </c>
      <c r="R67" s="311">
        <f>IFERROR(MIN(VLOOKUP(E67,Detalle!A:AA,$R$6,0),VLOOKUP(E67,Detalle!A:AA,$R$7,0)),0)</f>
        <v/>
      </c>
      <c r="S67" s="311">
        <f>IFERROR(MIN(VLOOKUP(E67,Detalle!A:AA,$S$6,0),VLOOKUP(E67,Detalle!A:AA,$S$7,0)),0)</f>
        <v/>
      </c>
      <c r="T67" s="311">
        <f>IFERROR(MAX(VLOOKUP(E67,Detalle!A:AA,$P$6,0),VLOOKUP(E67,Detalle!A:AA,$P$7,0),VLOOKUP(E67,Detalle!A:AA,$P$4,0)),0)</f>
        <v/>
      </c>
      <c r="U67" s="311">
        <f>IFERROR(MAX(VLOOKUP(E67,Detalle!A:AA,$Q$6,0),VLOOKUP(E67,Detalle!A:AA,$Q$7,0)),0)</f>
        <v/>
      </c>
      <c r="V67" s="311">
        <f>IFERROR(MAX(VLOOKUP(E67,Detalle!A:AA,$R$6,0),VLOOKUP(E67,Detalle!A:AA,$R$7,0)),0)</f>
        <v/>
      </c>
      <c r="W67" s="311">
        <f>IFERROR(MAX(VLOOKUP(E67,Detalle!A:AA,$S$6,0),VLOOKUP(E67,Detalle!A:AA,$S$7,0)),0)</f>
        <v/>
      </c>
      <c r="X67" s="311">
        <f>INDEX($A$27:$B$246,MATCH(IFERROR(IF(P67*(1+$Y$5)&lt;H67,H67,IF(P67*(1+$Y$5)&gt;L67,L67,P67*(1+$Y$5))),0),$A$27:$A$246,1),2)</f>
        <v/>
      </c>
      <c r="Y67" s="311">
        <f>INDEX($A$27:$B$246,MATCH(IFERROR(IF(Q67*(1+$Y$5)&lt;I67,I67,IF(Q67*(1+$Y$5)&gt;M67,M67,Q67*(1+$Y$5))),0),$A$27:$A$246,1),2)</f>
        <v/>
      </c>
      <c r="Z67" s="311">
        <f>INDEX($A$27:$B$246,MATCH(IFERROR(IF(R67*(1+$Y$5)&lt;J67,J67,IF(R67*(1+$Y$5)&gt;N67,N67,R67*(1+$Y$5))),0),$A$27:$A$246,1),2)</f>
        <v/>
      </c>
      <c r="AA67" s="311">
        <f>INDEX($A$27:$B$246,MATCH(IFERROR(IF(S67*(1+$Y$5)&lt;K67,K67,IF(S67*(1+$Y$5)&gt;O67,O67,S67*(1+$Y$5))),0),$A$27:$A$246,1),2)</f>
        <v/>
      </c>
      <c r="AB67" s="311">
        <f>INDEX($A$27:$B$246,MATCH(IFERROR(IF(P67-$AC$5&lt;H67,H67,IF(P67-$AC$5&gt;L67,L67,P67-$AC$5)),0),$A$27:$A$246,1),2)</f>
        <v/>
      </c>
      <c r="AC67" s="311">
        <f>INDEX($A$27:$B$246,MATCH(IFERROR(IF(Q67-$AC$5&lt;I67,I67,IF(Q67-$AC$5&gt;M67,M67,Q67-$AC$5)),0),$A$27:$A$246,1),2)</f>
        <v/>
      </c>
      <c r="AD67" s="311">
        <f>INDEX($A$27:$B$246,MATCH(IFERROR(IF(R67-$AC$5&lt;J67,J67,IF(R67-$AC$5&gt;N67,N67,R67-$AC$5)),0),$A$27:$A$246,1),2)</f>
        <v/>
      </c>
      <c r="AE67" s="311">
        <f>INDEX($A$27:$B$246,MATCH(IFERROR(IF(S67-$AC$5&lt;K67,K67,IF(S67-$AC$5&gt;O67,O67,S67-$AC$5)),0),$A$27:$A$246,1),2)</f>
        <v/>
      </c>
      <c r="AF67" s="311" t="s">
        <v>8</v>
      </c>
      <c r="AG67" s="311" t="s">
        <v>8</v>
      </c>
      <c r="AH67" s="311" t="s">
        <v>8</v>
      </c>
      <c r="AI67" s="311" t="s">
        <v>8</v>
      </c>
      <c r="AJ67" s="311">
        <f>INDEX($A$27:$B$246,MATCH(IFERROR(IF(T67&lt;H67,H67,IF(T67&gt;L67,L67,T67)),0),$A$27:$A$246,1),2)</f>
        <v/>
      </c>
      <c r="AK67" s="311">
        <f>INDEX($A$27:$B$246,MATCH(IFERROR(IF(U67&lt;I67,I67,IF(U67&gt;M67,M67,U67)),0),$A$27:$A$246,1),2)</f>
        <v/>
      </c>
      <c r="AL67" s="311">
        <f>INDEX($A$27:$B$246,MATCH(IFERROR(IF(V67&lt;J67,J67,IF(V67&gt;N67,N67,V67)),0),$A$27:$A$246,1),2)</f>
        <v/>
      </c>
      <c r="AM67" s="311">
        <f>INDEX($A$27:$B$246,MATCH(IFERROR(IF(W67&lt;K67,K67,IF(W67&gt;O67,O67,W67)),0),$A$27:$A$246,1),2)</f>
        <v/>
      </c>
      <c r="AN67" s="311">
        <f>INDEX($A$27:$B$246,MATCH(IFERROR(IF(T67&lt;H67,H67,IF(T67&gt;L67,L67,T67)),0),$A$27:$A$246,1),2)</f>
        <v/>
      </c>
      <c r="AO67" s="311">
        <f>INDEX($A$27:$B$246,MATCH(IFERROR(IF(U67&lt;I67,I67,IF(U67&gt;M67,M67,U67)),0),$A$27:$A$246,1),2)</f>
        <v/>
      </c>
      <c r="AP67" s="311">
        <f>INDEX($A$27:$B$246,MATCH(IFERROR(IF(V67&lt;J67,J67,IF(V67&gt;N67,N67,V67)),0),$A$27:$A$246,1),2)</f>
        <v/>
      </c>
      <c r="AQ67" s="311">
        <f>INDEX($A$27:$B$246,MATCH(IFERROR(IF(W67&lt;K67,K67,IF(W67&gt;O67,O67,W67)),0),$A$27:$A$246,1),2)</f>
        <v/>
      </c>
      <c r="AR67" s="311">
        <f>INDEX($A$27:$B$246,MATCH(IFERROR(IF(T67+$AS$5&lt;H67,H67,IF(T67+$AS$5&gt;L67,L67,T67+$AS$5)),0),$A$27:$A$246,1),2)</f>
        <v/>
      </c>
      <c r="AS67" s="311">
        <f>INDEX($A$27:$B$246,MATCH(IFERROR(IF(U67+$AS$5&lt;I67,I67,IF(U67+$AS$5&gt;M67,M67,U67+$AS$5)),0),$A$27:$A$246,1),2)</f>
        <v/>
      </c>
      <c r="AT67" s="311">
        <f>INDEX($A$27:$B$246,MATCH(IFERROR(IF(V67+$AS$5&lt;J67,J67,IF(V67+$AS$5&gt;N67,N67,V67+$AS$5)),0),$A$27:$A$246,1),2)</f>
        <v/>
      </c>
      <c r="AU67" s="311">
        <f>INDEX($A$27:$B$246,MATCH(IFERROR(IF(W67+$AS$5&lt;K67,K67,IF(W67+$AS$5&gt;O67,O67,W67+$AS$5)),0),$A$27:$A$246,1),2)</f>
        <v/>
      </c>
      <c r="AV67" s="311">
        <f>INDEX($A$27:$B$246,MATCH(IFERROR(IF(T67+$AW$5&lt;H67,H67,IF(T67+$AW$5&gt;L67,L67,T67+$AW$5)),0),$A$27:$A$246,1),2)</f>
        <v/>
      </c>
      <c r="AW67" s="311">
        <f>INDEX($A$27:$B$246,MATCH(IFERROR(IF(U67+$AW$5&lt;I67,I67,IF(U67+$AW$5&gt;M67,M67,U67+$AW$5)),0),$A$27:$A$246,1),2)</f>
        <v/>
      </c>
      <c r="AX67" s="311">
        <f>INDEX($A$27:$B$246,MATCH(IFERROR(IF(V67+$AW$5&lt;J67,J67,IF(V67+$AW$5&gt;N67,N67,V67+$AW$5)),0),$A$27:$A$246,1),2)</f>
        <v/>
      </c>
      <c r="AY67" s="311">
        <f>INDEX($A$27:$B$246,MATCH(IFERROR(IF(W67+$AW$5&lt;K67,K67,IF(W67+$AW$5&gt;O67,O67,W67+$AW$5)),0),$A$27:$A$246,1),2)</f>
        <v/>
      </c>
      <c r="AZ67" s="311">
        <f>INDEX($A$27:$B$246,MATCH(IFERROR(IF(T67+$BA$5&lt;H67,H67,IF(T67+$BA$5&gt;L67,L67,T67+$BA$5)),0),$A$27:$A$246,1),2)</f>
        <v/>
      </c>
      <c r="BA67" s="311">
        <f>INDEX($A$27:$B$246,MATCH(IFERROR(IF(U67+$BA$5&lt;I67,I67,IF(U67+$BA$5&gt;M67,M67,U67+$BA$5)),0),$A$27:$A$246,1),2)</f>
        <v/>
      </c>
      <c r="BB67" s="311">
        <f>INDEX($A$27:$B$246,MATCH(IFERROR(IF(V67+$BA$5&lt;J67,J67,IF(V67+$BA$5&gt;N67,N67,V67+$BA$5)),0),$A$27:$A$246,1),2)</f>
        <v/>
      </c>
      <c r="BC67" s="311">
        <f>INDEX($A$27:$B$246,MATCH(IFERROR(IF(W67+$BA$5&lt;K67,K67,IF(W67+$BA$5&gt;O67,O67,W67+$BA$5)),0),$A$27:$A$246,1),2)</f>
        <v/>
      </c>
      <c r="BD67" s="311" t="s">
        <v>8</v>
      </c>
      <c r="BE67" s="311" t="s">
        <v>8</v>
      </c>
      <c r="BF67" s="311" t="s">
        <v>8</v>
      </c>
      <c r="BG67" s="311" t="s">
        <v>8</v>
      </c>
    </row>
    <row r="68" spans="1:64">
      <c r="A68" s="313">
        <f>A67+$B$24</f>
        <v/>
      </c>
      <c r="B68" s="313">
        <f>B67+$B$24</f>
        <v/>
      </c>
      <c r="C68" s="314" t="n"/>
      <c r="D68" t="s">
        <v>139</v>
      </c>
      <c r="E68" s="34" t="s">
        <v>139</v>
      </c>
      <c r="F68" s="34" t="s">
        <v>260</v>
      </c>
      <c r="G68" s="34" t="n">
        <v>359</v>
      </c>
      <c r="H68" s="310" t="n">
        <v>1</v>
      </c>
      <c r="I68" s="310" t="n">
        <v>1</v>
      </c>
      <c r="J68" s="310" t="n">
        <v>1</v>
      </c>
      <c r="K68" s="310" t="n">
        <v>1</v>
      </c>
      <c r="L68" s="311">
        <f>H68*$B$1</f>
        <v/>
      </c>
      <c r="M68" s="311">
        <f>I68*$B$1</f>
        <v/>
      </c>
      <c r="N68" s="311">
        <f>J68*$B$1</f>
        <v/>
      </c>
      <c r="O68" s="311">
        <f>K68*$B$1</f>
        <v/>
      </c>
      <c r="P68" s="311">
        <f>IFERROR(MIN(VLOOKUP(E68,Detalle!A:AA,$P$6,0),VLOOKUP(E68,Detalle!A:AA,$P$7,0),VLOOKUP(E68,Detalle!A:AA,$P$4,0)),0)</f>
        <v/>
      </c>
      <c r="Q68" s="311">
        <f>IFERROR(MIN(VLOOKUP(E68,Detalle!A:AA,$Q$6,0),VLOOKUP(E68,Detalle!A:AA,$Q$7,0)),0)</f>
        <v/>
      </c>
      <c r="R68" s="311">
        <f>IFERROR(MIN(VLOOKUP(E68,Detalle!A:AA,$R$6,0),VLOOKUP(E68,Detalle!A:AA,$R$7,0)),0)</f>
        <v/>
      </c>
      <c r="S68" s="311">
        <f>IFERROR(MIN(VLOOKUP(E68,Detalle!A:AA,$S$6,0),VLOOKUP(E68,Detalle!A:AA,$S$7,0)),0)</f>
        <v/>
      </c>
      <c r="T68" s="311">
        <f>IFERROR(MAX(VLOOKUP(E68,Detalle!A:AA,$P$6,0),VLOOKUP(E68,Detalle!A:AA,$P$7,0),VLOOKUP(E68,Detalle!A:AA,$P$4,0)),0)</f>
        <v/>
      </c>
      <c r="U68" s="311">
        <f>IFERROR(MAX(VLOOKUP(E68,Detalle!A:AA,$Q$6,0),VLOOKUP(E68,Detalle!A:AA,$Q$7,0)),0)</f>
        <v/>
      </c>
      <c r="V68" s="311">
        <f>IFERROR(MAX(VLOOKUP(E68,Detalle!A:AA,$R$6,0),VLOOKUP(E68,Detalle!A:AA,$R$7,0)),0)</f>
        <v/>
      </c>
      <c r="W68" s="311">
        <f>IFERROR(MAX(VLOOKUP(E68,Detalle!A:AA,$S$6,0),VLOOKUP(E68,Detalle!A:AA,$S$7,0)),0)</f>
        <v/>
      </c>
      <c r="X68" s="311">
        <f>INDEX($A$27:$B$246,MATCH(IFERROR(IF(P68*(1+$Y$5)&lt;H68,H68,IF(P68*(1+$Y$5)&gt;L68,L68,P68*(1+$Y$5))),0),$A$27:$A$246,1),2)</f>
        <v/>
      </c>
      <c r="Y68" s="311">
        <f>INDEX($A$27:$B$246,MATCH(IFERROR(IF(Q68*(1+$Y$5)&lt;I68,I68,IF(Q68*(1+$Y$5)&gt;M68,M68,Q68*(1+$Y$5))),0),$A$27:$A$246,1),2)</f>
        <v/>
      </c>
      <c r="Z68" s="311">
        <f>INDEX($A$27:$B$246,MATCH(IFERROR(IF(R68*(1+$Y$5)&lt;J68,J68,IF(R68*(1+$Y$5)&gt;N68,N68,R68*(1+$Y$5))),0),$A$27:$A$246,1),2)</f>
        <v/>
      </c>
      <c r="AA68" s="311">
        <f>INDEX($A$27:$B$246,MATCH(IFERROR(IF(S68*(1+$Y$5)&lt;K68,K68,IF(S68*(1+$Y$5)&gt;O68,O68,S68*(1+$Y$5))),0),$A$27:$A$246,1),2)</f>
        <v/>
      </c>
      <c r="AB68" s="311">
        <f>INDEX($A$27:$B$246,MATCH(IFERROR(IF(P68-$AC$5&lt;H68,H68,IF(P68-$AC$5&gt;L68,L68,P68-$AC$5)),0),$A$27:$A$246,1),2)</f>
        <v/>
      </c>
      <c r="AC68" s="311">
        <f>INDEX($A$27:$B$246,MATCH(IFERROR(IF(Q68-$AC$5&lt;I68,I68,IF(Q68-$AC$5&gt;M68,M68,Q68-$AC$5)),0),$A$27:$A$246,1),2)</f>
        <v/>
      </c>
      <c r="AD68" s="311">
        <f>INDEX($A$27:$B$246,MATCH(IFERROR(IF(R68-$AC$5&lt;J68,J68,IF(R68-$AC$5&gt;N68,N68,R68-$AC$5)),0),$A$27:$A$246,1),2)</f>
        <v/>
      </c>
      <c r="AE68" s="311">
        <f>INDEX($A$27:$B$246,MATCH(IFERROR(IF(S68-$AC$5&lt;K68,K68,IF(S68-$AC$5&gt;O68,O68,S68-$AC$5)),0),$A$27:$A$246,1),2)</f>
        <v/>
      </c>
      <c r="AF68" s="311" t="s">
        <v>8</v>
      </c>
      <c r="AG68" s="311" t="s">
        <v>8</v>
      </c>
      <c r="AH68" s="311" t="s">
        <v>8</v>
      </c>
      <c r="AI68" s="311" t="s">
        <v>8</v>
      </c>
      <c r="AJ68" s="311">
        <f>INDEX($A$27:$B$246,MATCH(IFERROR(IF(T68&lt;H68,H68,IF(T68&gt;L68,L68,T68)),0),$A$27:$A$246,1),2)</f>
        <v/>
      </c>
      <c r="AK68" s="311">
        <f>INDEX($A$27:$B$246,MATCH(IFERROR(IF(U68&lt;I68,I68,IF(U68&gt;M68,M68,U68)),0),$A$27:$A$246,1),2)</f>
        <v/>
      </c>
      <c r="AL68" s="311">
        <f>INDEX($A$27:$B$246,MATCH(IFERROR(IF(V68&lt;J68,J68,IF(V68&gt;N68,N68,V68)),0),$A$27:$A$246,1),2)</f>
        <v/>
      </c>
      <c r="AM68" s="311">
        <f>INDEX($A$27:$B$246,MATCH(IFERROR(IF(W68&lt;K68,K68,IF(W68&gt;O68,O68,W68)),0),$A$27:$A$246,1),2)</f>
        <v/>
      </c>
      <c r="AN68" s="311">
        <f>INDEX($A$27:$B$246,MATCH(IFERROR(IF(T68&lt;H68,H68,IF(T68&gt;L68,L68,T68)),0),$A$27:$A$246,1),2)</f>
        <v/>
      </c>
      <c r="AO68" s="311">
        <f>INDEX($A$27:$B$246,MATCH(IFERROR(IF(U68&lt;I68,I68,IF(U68&gt;M68,M68,U68)),0),$A$27:$A$246,1),2)</f>
        <v/>
      </c>
      <c r="AP68" s="311">
        <f>INDEX($A$27:$B$246,MATCH(IFERROR(IF(V68&lt;J68,J68,IF(V68&gt;N68,N68,V68)),0),$A$27:$A$246,1),2)</f>
        <v/>
      </c>
      <c r="AQ68" s="311">
        <f>INDEX($A$27:$B$246,MATCH(IFERROR(IF(W68&lt;K68,K68,IF(W68&gt;O68,O68,W68)),0),$A$27:$A$246,1),2)</f>
        <v/>
      </c>
      <c r="AR68" s="311">
        <f>INDEX($A$27:$B$246,MATCH(IFERROR(IF(T68+$AS$5&lt;H68,H68,IF(T68+$AS$5&gt;L68,L68,T68+$AS$5)),0),$A$27:$A$246,1),2)</f>
        <v/>
      </c>
      <c r="AS68" s="311">
        <f>INDEX($A$27:$B$246,MATCH(IFERROR(IF(U68+$AS$5&lt;I68,I68,IF(U68+$AS$5&gt;M68,M68,U68+$AS$5)),0),$A$27:$A$246,1),2)</f>
        <v/>
      </c>
      <c r="AT68" s="311">
        <f>INDEX($A$27:$B$246,MATCH(IFERROR(IF(V68+$AS$5&lt;J68,J68,IF(V68+$AS$5&gt;N68,N68,V68+$AS$5)),0),$A$27:$A$246,1),2)</f>
        <v/>
      </c>
      <c r="AU68" s="311">
        <f>INDEX($A$27:$B$246,MATCH(IFERROR(IF(W68+$AS$5&lt;K68,K68,IF(W68+$AS$5&gt;O68,O68,W68+$AS$5)),0),$A$27:$A$246,1),2)</f>
        <v/>
      </c>
      <c r="AV68" s="311">
        <f>INDEX($A$27:$B$246,MATCH(IFERROR(IF(T68+$AW$5&lt;H68,H68,IF(T68+$AW$5&gt;L68,L68,T68+$AW$5)),0),$A$27:$A$246,1),2)</f>
        <v/>
      </c>
      <c r="AW68" s="311">
        <f>INDEX($A$27:$B$246,MATCH(IFERROR(IF(U68+$AW$5&lt;I68,I68,IF(U68+$AW$5&gt;M68,M68,U68+$AW$5)),0),$A$27:$A$246,1),2)</f>
        <v/>
      </c>
      <c r="AX68" s="311">
        <f>INDEX($A$27:$B$246,MATCH(IFERROR(IF(V68+$AW$5&lt;J68,J68,IF(V68+$AW$5&gt;N68,N68,V68+$AW$5)),0),$A$27:$A$246,1),2)</f>
        <v/>
      </c>
      <c r="AY68" s="311">
        <f>INDEX($A$27:$B$246,MATCH(IFERROR(IF(W68+$AW$5&lt;K68,K68,IF(W68+$AW$5&gt;O68,O68,W68+$AW$5)),0),$A$27:$A$246,1),2)</f>
        <v/>
      </c>
      <c r="AZ68" s="311">
        <f>INDEX($A$27:$B$246,MATCH(IFERROR(IF(T68+$BA$5&lt;H68,H68,IF(T68+$BA$5&gt;L68,L68,T68+$BA$5)),0),$A$27:$A$246,1),2)</f>
        <v/>
      </c>
      <c r="BA68" s="311">
        <f>INDEX($A$27:$B$246,MATCH(IFERROR(IF(U68+$BA$5&lt;I68,I68,IF(U68+$BA$5&gt;M68,M68,U68+$BA$5)),0),$A$27:$A$246,1),2)</f>
        <v/>
      </c>
      <c r="BB68" s="311">
        <f>INDEX($A$27:$B$246,MATCH(IFERROR(IF(V68+$BA$5&lt;J68,J68,IF(V68+$BA$5&gt;N68,N68,V68+$BA$5)),0),$A$27:$A$246,1),2)</f>
        <v/>
      </c>
      <c r="BC68" s="311">
        <f>INDEX($A$27:$B$246,MATCH(IFERROR(IF(W68+$BA$5&lt;K68,K68,IF(W68+$BA$5&gt;O68,O68,W68+$BA$5)),0),$A$27:$A$246,1),2)</f>
        <v/>
      </c>
      <c r="BD68" s="311" t="s">
        <v>8</v>
      </c>
      <c r="BE68" s="311" t="s">
        <v>8</v>
      </c>
      <c r="BF68" s="311" t="s">
        <v>8</v>
      </c>
      <c r="BG68" s="311" t="s">
        <v>8</v>
      </c>
    </row>
    <row r="69" spans="1:64">
      <c r="A69" s="313">
        <f>A68+$B$24</f>
        <v/>
      </c>
      <c r="B69" s="313">
        <f>B68+$B$24</f>
        <v/>
      </c>
      <c r="C69" s="314" t="n"/>
      <c r="D69" t="s">
        <v>140</v>
      </c>
      <c r="E69" s="34" t="s">
        <v>140</v>
      </c>
      <c r="F69" s="34" t="s">
        <v>260</v>
      </c>
      <c r="G69" s="34" t="n">
        <v>360</v>
      </c>
      <c r="H69" s="310" t="n">
        <v>1</v>
      </c>
      <c r="I69" s="310" t="n">
        <v>1</v>
      </c>
      <c r="J69" s="310" t="n">
        <v>1</v>
      </c>
      <c r="K69" s="310" t="n">
        <v>1</v>
      </c>
      <c r="L69" s="311">
        <f>H69*$B$1</f>
        <v/>
      </c>
      <c r="M69" s="311">
        <f>I69*$B$1</f>
        <v/>
      </c>
      <c r="N69" s="311">
        <f>J69*$B$1</f>
        <v/>
      </c>
      <c r="O69" s="311">
        <f>K69*$B$1</f>
        <v/>
      </c>
      <c r="P69" s="311">
        <f>IFERROR(MIN(VLOOKUP(E69,Detalle!A:AA,$P$6,0),VLOOKUP(E69,Detalle!A:AA,$P$7,0),VLOOKUP(E69,Detalle!A:AA,$P$4,0)),0)</f>
        <v/>
      </c>
      <c r="Q69" s="311">
        <f>IFERROR(MIN(VLOOKUP(E69,Detalle!A:AA,$Q$6,0),VLOOKUP(E69,Detalle!A:AA,$Q$7,0)),0)</f>
        <v/>
      </c>
      <c r="R69" s="311">
        <f>IFERROR(MIN(VLOOKUP(E69,Detalle!A:AA,$R$6,0),VLOOKUP(E69,Detalle!A:AA,$R$7,0)),0)</f>
        <v/>
      </c>
      <c r="S69" s="311">
        <f>IFERROR(MIN(VLOOKUP(E69,Detalle!A:AA,$S$6,0),VLOOKUP(E69,Detalle!A:AA,$S$7,0)),0)</f>
        <v/>
      </c>
      <c r="T69" s="311">
        <f>IFERROR(MAX(VLOOKUP(E69,Detalle!A:AA,$P$6,0),VLOOKUP(E69,Detalle!A:AA,$P$7,0),VLOOKUP(E69,Detalle!A:AA,$P$4,0)),0)</f>
        <v/>
      </c>
      <c r="U69" s="311">
        <f>IFERROR(MAX(VLOOKUP(E69,Detalle!A:AA,$Q$6,0),VLOOKUP(E69,Detalle!A:AA,$Q$7,0)),0)</f>
        <v/>
      </c>
      <c r="V69" s="311">
        <f>IFERROR(MAX(VLOOKUP(E69,Detalle!A:AA,$R$6,0),VLOOKUP(E69,Detalle!A:AA,$R$7,0)),0)</f>
        <v/>
      </c>
      <c r="W69" s="311">
        <f>IFERROR(MAX(VLOOKUP(E69,Detalle!A:AA,$S$6,0),VLOOKUP(E69,Detalle!A:AA,$S$7,0)),0)</f>
        <v/>
      </c>
      <c r="X69" s="311">
        <f>INDEX($A$27:$B$246,MATCH(IFERROR(IF(P69*(1+$Y$5)&lt;H69,H69,IF(P69*(1+$Y$5)&gt;L69,L69,P69*(1+$Y$5))),0),$A$27:$A$246,1),2)</f>
        <v/>
      </c>
      <c r="Y69" s="311">
        <f>INDEX($A$27:$B$246,MATCH(IFERROR(IF(Q69*(1+$Y$5)&lt;I69,I69,IF(Q69*(1+$Y$5)&gt;M69,M69,Q69*(1+$Y$5))),0),$A$27:$A$246,1),2)</f>
        <v/>
      </c>
      <c r="Z69" s="311">
        <f>INDEX($A$27:$B$246,MATCH(IFERROR(IF(R69*(1+$Y$5)&lt;J69,J69,IF(R69*(1+$Y$5)&gt;N69,N69,R69*(1+$Y$5))),0),$A$27:$A$246,1),2)</f>
        <v/>
      </c>
      <c r="AA69" s="311">
        <f>INDEX($A$27:$B$246,MATCH(IFERROR(IF(S69*(1+$Y$5)&lt;K69,K69,IF(S69*(1+$Y$5)&gt;O69,O69,S69*(1+$Y$5))),0),$A$27:$A$246,1),2)</f>
        <v/>
      </c>
      <c r="AB69" s="311">
        <f>INDEX($A$27:$B$246,MATCH(IFERROR(IF(P69-$AC$5&lt;H69,H69,IF(P69-$AC$5&gt;L69,L69,P69-$AC$5)),0),$A$27:$A$246,1),2)</f>
        <v/>
      </c>
      <c r="AC69" s="311">
        <f>INDEX($A$27:$B$246,MATCH(IFERROR(IF(Q69-$AC$5&lt;I69,I69,IF(Q69-$AC$5&gt;M69,M69,Q69-$AC$5)),0),$A$27:$A$246,1),2)</f>
        <v/>
      </c>
      <c r="AD69" s="311">
        <f>INDEX($A$27:$B$246,MATCH(IFERROR(IF(R69-$AC$5&lt;J69,J69,IF(R69-$AC$5&gt;N69,N69,R69-$AC$5)),0),$A$27:$A$246,1),2)</f>
        <v/>
      </c>
      <c r="AE69" s="311">
        <f>INDEX($A$27:$B$246,MATCH(IFERROR(IF(S69-$AC$5&lt;K69,K69,IF(S69-$AC$5&gt;O69,O69,S69-$AC$5)),0),$A$27:$A$246,1),2)</f>
        <v/>
      </c>
      <c r="AF69" s="311" t="s">
        <v>8</v>
      </c>
      <c r="AG69" s="311" t="s">
        <v>8</v>
      </c>
      <c r="AH69" s="311" t="s">
        <v>8</v>
      </c>
      <c r="AI69" s="311" t="s">
        <v>8</v>
      </c>
      <c r="AJ69" s="311">
        <f>INDEX($A$27:$B$246,MATCH(IFERROR(IF(T69&lt;H69,H69,IF(T69&gt;L69,L69,T69)),0),$A$27:$A$246,1),2)</f>
        <v/>
      </c>
      <c r="AK69" s="311">
        <f>INDEX($A$27:$B$246,MATCH(IFERROR(IF(U69&lt;I69,I69,IF(U69&gt;M69,M69,U69)),0),$A$27:$A$246,1),2)</f>
        <v/>
      </c>
      <c r="AL69" s="311">
        <f>INDEX($A$27:$B$246,MATCH(IFERROR(IF(V69&lt;J69,J69,IF(V69&gt;N69,N69,V69)),0),$A$27:$A$246,1),2)</f>
        <v/>
      </c>
      <c r="AM69" s="311">
        <f>INDEX($A$27:$B$246,MATCH(IFERROR(IF(W69&lt;K69,K69,IF(W69&gt;O69,O69,W69)),0),$A$27:$A$246,1),2)</f>
        <v/>
      </c>
      <c r="AN69" s="311">
        <f>INDEX($A$27:$B$246,MATCH(IFERROR(IF(T69&lt;H69,H69,IF(T69&gt;L69,L69,T69)),0),$A$27:$A$246,1),2)</f>
        <v/>
      </c>
      <c r="AO69" s="311">
        <f>INDEX($A$27:$B$246,MATCH(IFERROR(IF(U69&lt;I69,I69,IF(U69&gt;M69,M69,U69)),0),$A$27:$A$246,1),2)</f>
        <v/>
      </c>
      <c r="AP69" s="311">
        <f>INDEX($A$27:$B$246,MATCH(IFERROR(IF(V69&lt;J69,J69,IF(V69&gt;N69,N69,V69)),0),$A$27:$A$246,1),2)</f>
        <v/>
      </c>
      <c r="AQ69" s="311">
        <f>INDEX($A$27:$B$246,MATCH(IFERROR(IF(W69&lt;K69,K69,IF(W69&gt;O69,O69,W69)),0),$A$27:$A$246,1),2)</f>
        <v/>
      </c>
      <c r="AR69" s="311">
        <f>INDEX($A$27:$B$246,MATCH(IFERROR(IF(T69+$AS$5&lt;H69,H69,IF(T69+$AS$5&gt;L69,L69,T69+$AS$5)),0),$A$27:$A$246,1),2)</f>
        <v/>
      </c>
      <c r="AS69" s="311">
        <f>INDEX($A$27:$B$246,MATCH(IFERROR(IF(U69+$AS$5&lt;I69,I69,IF(U69+$AS$5&gt;M69,M69,U69+$AS$5)),0),$A$27:$A$246,1),2)</f>
        <v/>
      </c>
      <c r="AT69" s="311">
        <f>INDEX($A$27:$B$246,MATCH(IFERROR(IF(V69+$AS$5&lt;J69,J69,IF(V69+$AS$5&gt;N69,N69,V69+$AS$5)),0),$A$27:$A$246,1),2)</f>
        <v/>
      </c>
      <c r="AU69" s="311">
        <f>INDEX($A$27:$B$246,MATCH(IFERROR(IF(W69+$AS$5&lt;K69,K69,IF(W69+$AS$5&gt;O69,O69,W69+$AS$5)),0),$A$27:$A$246,1),2)</f>
        <v/>
      </c>
      <c r="AV69" s="311">
        <f>INDEX($A$27:$B$246,MATCH(IFERROR(IF(T69+$AW$5&lt;H69,H69,IF(T69+$AW$5&gt;L69,L69,T69+$AW$5)),0),$A$27:$A$246,1),2)</f>
        <v/>
      </c>
      <c r="AW69" s="311">
        <f>INDEX($A$27:$B$246,MATCH(IFERROR(IF(U69+$AW$5&lt;I69,I69,IF(U69+$AW$5&gt;M69,M69,U69+$AW$5)),0),$A$27:$A$246,1),2)</f>
        <v/>
      </c>
      <c r="AX69" s="311">
        <f>INDEX($A$27:$B$246,MATCH(IFERROR(IF(V69+$AW$5&lt;J69,J69,IF(V69+$AW$5&gt;N69,N69,V69+$AW$5)),0),$A$27:$A$246,1),2)</f>
        <v/>
      </c>
      <c r="AY69" s="311">
        <f>INDEX($A$27:$B$246,MATCH(IFERROR(IF(W69+$AW$5&lt;K69,K69,IF(W69+$AW$5&gt;O69,O69,W69+$AW$5)),0),$A$27:$A$246,1),2)</f>
        <v/>
      </c>
      <c r="AZ69" s="311">
        <f>INDEX($A$27:$B$246,MATCH(IFERROR(IF(T69+$BA$5&lt;H69,H69,IF(T69+$BA$5&gt;L69,L69,T69+$BA$5)),0),$A$27:$A$246,1),2)</f>
        <v/>
      </c>
      <c r="BA69" s="311">
        <f>INDEX($A$27:$B$246,MATCH(IFERROR(IF(U69+$BA$5&lt;I69,I69,IF(U69+$BA$5&gt;M69,M69,U69+$BA$5)),0),$A$27:$A$246,1),2)</f>
        <v/>
      </c>
      <c r="BB69" s="311">
        <f>INDEX($A$27:$B$246,MATCH(IFERROR(IF(V69+$BA$5&lt;J69,J69,IF(V69+$BA$5&gt;N69,N69,V69+$BA$5)),0),$A$27:$A$246,1),2)</f>
        <v/>
      </c>
      <c r="BC69" s="311">
        <f>INDEX($A$27:$B$246,MATCH(IFERROR(IF(W69+$BA$5&lt;K69,K69,IF(W69+$BA$5&gt;O69,O69,W69+$BA$5)),0),$A$27:$A$246,1),2)</f>
        <v/>
      </c>
      <c r="BD69" s="311" t="s">
        <v>8</v>
      </c>
      <c r="BE69" s="311" t="s">
        <v>8</v>
      </c>
      <c r="BF69" s="311" t="s">
        <v>8</v>
      </c>
      <c r="BG69" s="311" t="s">
        <v>8</v>
      </c>
    </row>
    <row r="70" spans="1:64">
      <c r="A70" s="313">
        <f>A69+$B$24</f>
        <v/>
      </c>
      <c r="B70" s="313">
        <f>B69+$B$24</f>
        <v/>
      </c>
      <c r="C70" s="314" t="n"/>
      <c r="D70" t="s">
        <v>141</v>
      </c>
      <c r="E70" s="34" t="s">
        <v>141</v>
      </c>
      <c r="F70" s="34" t="s">
        <v>260</v>
      </c>
      <c r="G70" s="34" t="n">
        <v>362</v>
      </c>
      <c r="H70" s="310" t="n">
        <v>1</v>
      </c>
      <c r="I70" s="310" t="n">
        <v>1</v>
      </c>
      <c r="J70" s="310" t="n">
        <v>1</v>
      </c>
      <c r="K70" s="310" t="n">
        <v>1</v>
      </c>
      <c r="L70" s="311">
        <f>H70*$B$1</f>
        <v/>
      </c>
      <c r="M70" s="311">
        <f>I70*$B$1</f>
        <v/>
      </c>
      <c r="N70" s="311">
        <f>J70*$B$1</f>
        <v/>
      </c>
      <c r="O70" s="311">
        <f>K70*$B$1</f>
        <v/>
      </c>
      <c r="P70" s="311">
        <f>IFERROR(MIN(VLOOKUP(E70,Detalle!A:AA,$P$6,0),VLOOKUP(E70,Detalle!A:AA,$P$7,0),VLOOKUP(E70,Detalle!A:AA,$P$4,0)),0)</f>
        <v/>
      </c>
      <c r="Q70" s="311">
        <f>IFERROR(MIN(VLOOKUP(E70,Detalle!A:AA,$Q$6,0),VLOOKUP(E70,Detalle!A:AA,$Q$7,0)),0)</f>
        <v/>
      </c>
      <c r="R70" s="311">
        <f>IFERROR(MIN(VLOOKUP(E70,Detalle!A:AA,$R$6,0),VLOOKUP(E70,Detalle!A:AA,$R$7,0)),0)</f>
        <v/>
      </c>
      <c r="S70" s="311">
        <f>IFERROR(MIN(VLOOKUP(E70,Detalle!A:AA,$S$6,0),VLOOKUP(E70,Detalle!A:AA,$S$7,0)),0)</f>
        <v/>
      </c>
      <c r="T70" s="311">
        <f>IFERROR(MAX(VLOOKUP(E70,Detalle!A:AA,$P$6,0),VLOOKUP(E70,Detalle!A:AA,$P$7,0),VLOOKUP(E70,Detalle!A:AA,$P$4,0)),0)</f>
        <v/>
      </c>
      <c r="U70" s="311">
        <f>IFERROR(MAX(VLOOKUP(E70,Detalle!A:AA,$Q$6,0),VLOOKUP(E70,Detalle!A:AA,$Q$7,0)),0)</f>
        <v/>
      </c>
      <c r="V70" s="311">
        <f>IFERROR(MAX(VLOOKUP(E70,Detalle!A:AA,$R$6,0),VLOOKUP(E70,Detalle!A:AA,$R$7,0)),0)</f>
        <v/>
      </c>
      <c r="W70" s="311">
        <f>IFERROR(MAX(VLOOKUP(E70,Detalle!A:AA,$S$6,0),VLOOKUP(E70,Detalle!A:AA,$S$7,0)),0)</f>
        <v/>
      </c>
      <c r="X70" s="311">
        <f>INDEX($A$27:$B$246,MATCH(IFERROR(IF(P70*(1+$Y$5)&lt;H70,H70,IF(P70*(1+$Y$5)&gt;L70,L70,P70*(1+$Y$5))),0),$A$27:$A$246,1),2)</f>
        <v/>
      </c>
      <c r="Y70" s="311">
        <f>INDEX($A$27:$B$246,MATCH(IFERROR(IF(Q70*(1+$Y$5)&lt;I70,I70,IF(Q70*(1+$Y$5)&gt;M70,M70,Q70*(1+$Y$5))),0),$A$27:$A$246,1),2)</f>
        <v/>
      </c>
      <c r="Z70" s="311">
        <f>INDEX($A$27:$B$246,MATCH(IFERROR(IF(R70*(1+$Y$5)&lt;J70,J70,IF(R70*(1+$Y$5)&gt;N70,N70,R70*(1+$Y$5))),0),$A$27:$A$246,1),2)</f>
        <v/>
      </c>
      <c r="AA70" s="311">
        <f>INDEX($A$27:$B$246,MATCH(IFERROR(IF(S70*(1+$Y$5)&lt;K70,K70,IF(S70*(1+$Y$5)&gt;O70,O70,S70*(1+$Y$5))),0),$A$27:$A$246,1),2)</f>
        <v/>
      </c>
      <c r="AB70" s="311">
        <f>INDEX($A$27:$B$246,MATCH(IFERROR(IF(P70-$AC$5&lt;H70,H70,IF(P70-$AC$5&gt;L70,L70,P70-$AC$5)),0),$A$27:$A$246,1),2)</f>
        <v/>
      </c>
      <c r="AC70" s="311">
        <f>INDEX($A$27:$B$246,MATCH(IFERROR(IF(Q70-$AC$5&lt;I70,I70,IF(Q70-$AC$5&gt;M70,M70,Q70-$AC$5)),0),$A$27:$A$246,1),2)</f>
        <v/>
      </c>
      <c r="AD70" s="311">
        <f>INDEX($A$27:$B$246,MATCH(IFERROR(IF(R70-$AC$5&lt;J70,J70,IF(R70-$AC$5&gt;N70,N70,R70-$AC$5)),0),$A$27:$A$246,1),2)</f>
        <v/>
      </c>
      <c r="AE70" s="311">
        <f>INDEX($A$27:$B$246,MATCH(IFERROR(IF(S70-$AC$5&lt;K70,K70,IF(S70-$AC$5&gt;O70,O70,S70-$AC$5)),0),$A$27:$A$246,1),2)</f>
        <v/>
      </c>
      <c r="AF70" s="311" t="s">
        <v>8</v>
      </c>
      <c r="AG70" s="311" t="s">
        <v>8</v>
      </c>
      <c r="AH70" s="311" t="s">
        <v>8</v>
      </c>
      <c r="AI70" s="311" t="s">
        <v>8</v>
      </c>
      <c r="AJ70" s="311">
        <f>INDEX($A$27:$B$246,MATCH(IFERROR(IF(T70&lt;H70,H70,IF(T70&gt;L70,L70,T70)),0),$A$27:$A$246,1),2)</f>
        <v/>
      </c>
      <c r="AK70" s="311">
        <f>INDEX($A$27:$B$246,MATCH(IFERROR(IF(U70&lt;I70,I70,IF(U70&gt;M70,M70,U70)),0),$A$27:$A$246,1),2)</f>
        <v/>
      </c>
      <c r="AL70" s="311">
        <f>INDEX($A$27:$B$246,MATCH(IFERROR(IF(V70&lt;J70,J70,IF(V70&gt;N70,N70,V70)),0),$A$27:$A$246,1),2)</f>
        <v/>
      </c>
      <c r="AM70" s="311">
        <f>INDEX($A$27:$B$246,MATCH(IFERROR(IF(W70&lt;K70,K70,IF(W70&gt;O70,O70,W70)),0),$A$27:$A$246,1),2)</f>
        <v/>
      </c>
      <c r="AN70" s="311">
        <f>INDEX($A$27:$B$246,MATCH(IFERROR(IF(T70&lt;H70,H70,IF(T70&gt;L70,L70,T70)),0),$A$27:$A$246,1),2)</f>
        <v/>
      </c>
      <c r="AO70" s="311">
        <f>INDEX($A$27:$B$246,MATCH(IFERROR(IF(U70&lt;I70,I70,IF(U70&gt;M70,M70,U70)),0),$A$27:$A$246,1),2)</f>
        <v/>
      </c>
      <c r="AP70" s="311">
        <f>INDEX($A$27:$B$246,MATCH(IFERROR(IF(V70&lt;J70,J70,IF(V70&gt;N70,N70,V70)),0),$A$27:$A$246,1),2)</f>
        <v/>
      </c>
      <c r="AQ70" s="311">
        <f>INDEX($A$27:$B$246,MATCH(IFERROR(IF(W70&lt;K70,K70,IF(W70&gt;O70,O70,W70)),0),$A$27:$A$246,1),2)</f>
        <v/>
      </c>
      <c r="AR70" s="311">
        <f>INDEX($A$27:$B$246,MATCH(IFERROR(IF(T70+$AS$5&lt;H70,H70,IF(T70+$AS$5&gt;L70,L70,T70+$AS$5)),0),$A$27:$A$246,1),2)</f>
        <v/>
      </c>
      <c r="AS70" s="311">
        <f>INDEX($A$27:$B$246,MATCH(IFERROR(IF(U70+$AS$5&lt;I70,I70,IF(U70+$AS$5&gt;M70,M70,U70+$AS$5)),0),$A$27:$A$246,1),2)</f>
        <v/>
      </c>
      <c r="AT70" s="311">
        <f>INDEX($A$27:$B$246,MATCH(IFERROR(IF(V70+$AS$5&lt;J70,J70,IF(V70+$AS$5&gt;N70,N70,V70+$AS$5)),0),$A$27:$A$246,1),2)</f>
        <v/>
      </c>
      <c r="AU70" s="311">
        <f>INDEX($A$27:$B$246,MATCH(IFERROR(IF(W70+$AS$5&lt;K70,K70,IF(W70+$AS$5&gt;O70,O70,W70+$AS$5)),0),$A$27:$A$246,1),2)</f>
        <v/>
      </c>
      <c r="AV70" s="311">
        <f>INDEX($A$27:$B$246,MATCH(IFERROR(IF(T70+$AW$5&lt;H70,H70,IF(T70+$AW$5&gt;L70,L70,T70+$AW$5)),0),$A$27:$A$246,1),2)</f>
        <v/>
      </c>
      <c r="AW70" s="311">
        <f>INDEX($A$27:$B$246,MATCH(IFERROR(IF(U70+$AW$5&lt;I70,I70,IF(U70+$AW$5&gt;M70,M70,U70+$AW$5)),0),$A$27:$A$246,1),2)</f>
        <v/>
      </c>
      <c r="AX70" s="311">
        <f>INDEX($A$27:$B$246,MATCH(IFERROR(IF(V70+$AW$5&lt;J70,J70,IF(V70+$AW$5&gt;N70,N70,V70+$AW$5)),0),$A$27:$A$246,1),2)</f>
        <v/>
      </c>
      <c r="AY70" s="311">
        <f>INDEX($A$27:$B$246,MATCH(IFERROR(IF(W70+$AW$5&lt;K70,K70,IF(W70+$AW$5&gt;O70,O70,W70+$AW$5)),0),$A$27:$A$246,1),2)</f>
        <v/>
      </c>
      <c r="AZ70" s="311">
        <f>INDEX($A$27:$B$246,MATCH(IFERROR(IF(T70+$BA$5&lt;H70,H70,IF(T70+$BA$5&gt;L70,L70,T70+$BA$5)),0),$A$27:$A$246,1),2)</f>
        <v/>
      </c>
      <c r="BA70" s="311">
        <f>INDEX($A$27:$B$246,MATCH(IFERROR(IF(U70+$BA$5&lt;I70,I70,IF(U70+$BA$5&gt;M70,M70,U70+$BA$5)),0),$A$27:$A$246,1),2)</f>
        <v/>
      </c>
      <c r="BB70" s="311">
        <f>INDEX($A$27:$B$246,MATCH(IFERROR(IF(V70+$BA$5&lt;J70,J70,IF(V70+$BA$5&gt;N70,N70,V70+$BA$5)),0),$A$27:$A$246,1),2)</f>
        <v/>
      </c>
      <c r="BC70" s="311">
        <f>INDEX($A$27:$B$246,MATCH(IFERROR(IF(W70+$BA$5&lt;K70,K70,IF(W70+$BA$5&gt;O70,O70,W70+$BA$5)),0),$A$27:$A$246,1),2)</f>
        <v/>
      </c>
      <c r="BD70" s="311" t="s">
        <v>8</v>
      </c>
      <c r="BE70" s="311" t="s">
        <v>8</v>
      </c>
      <c r="BF70" s="311" t="s">
        <v>8</v>
      </c>
      <c r="BG70" s="311" t="s">
        <v>8</v>
      </c>
    </row>
    <row r="71" spans="1:64">
      <c r="A71" s="313">
        <f>A70+$B$24</f>
        <v/>
      </c>
      <c r="B71" s="313">
        <f>B70+$B$24</f>
        <v/>
      </c>
      <c r="C71" s="314" t="n"/>
      <c r="D71" t="s">
        <v>142</v>
      </c>
      <c r="E71" s="34" t="s">
        <v>142</v>
      </c>
      <c r="F71" s="34" t="s">
        <v>260</v>
      </c>
      <c r="G71" s="34" t="n">
        <v>363</v>
      </c>
      <c r="H71" s="310" t="n">
        <v>1</v>
      </c>
      <c r="I71" s="310" t="n">
        <v>1</v>
      </c>
      <c r="J71" s="310" t="n">
        <v>1</v>
      </c>
      <c r="K71" s="310" t="n">
        <v>1</v>
      </c>
      <c r="L71" s="311">
        <f>H71*$B$1</f>
        <v/>
      </c>
      <c r="M71" s="311">
        <f>I71*$B$1</f>
        <v/>
      </c>
      <c r="N71" s="311">
        <f>J71*$B$1</f>
        <v/>
      </c>
      <c r="O71" s="311">
        <f>K71*$B$1</f>
        <v/>
      </c>
      <c r="P71" s="311">
        <f>IFERROR(MIN(VLOOKUP(E71,Detalle!A:AA,$P$6,0),VLOOKUP(E71,Detalle!A:AA,$P$7,0),VLOOKUP(E71,Detalle!A:AA,$P$4,0)),0)</f>
        <v/>
      </c>
      <c r="Q71" s="311">
        <f>IFERROR(MIN(VLOOKUP(E71,Detalle!A:AA,$Q$6,0),VLOOKUP(E71,Detalle!A:AA,$Q$7,0)),0)</f>
        <v/>
      </c>
      <c r="R71" s="311">
        <f>IFERROR(MIN(VLOOKUP(E71,Detalle!A:AA,$R$6,0),VLOOKUP(E71,Detalle!A:AA,$R$7,0)),0)</f>
        <v/>
      </c>
      <c r="S71" s="311">
        <f>IFERROR(MIN(VLOOKUP(E71,Detalle!A:AA,$S$6,0),VLOOKUP(E71,Detalle!A:AA,$S$7,0)),0)</f>
        <v/>
      </c>
      <c r="T71" s="311">
        <f>IFERROR(MAX(VLOOKUP(E71,Detalle!A:AA,$P$6,0),VLOOKUP(E71,Detalle!A:AA,$P$7,0),VLOOKUP(E71,Detalle!A:AA,$P$4,0)),0)</f>
        <v/>
      </c>
      <c r="U71" s="311">
        <f>IFERROR(MAX(VLOOKUP(E71,Detalle!A:AA,$Q$6,0),VLOOKUP(E71,Detalle!A:AA,$Q$7,0)),0)</f>
        <v/>
      </c>
      <c r="V71" s="311">
        <f>IFERROR(MAX(VLOOKUP(E71,Detalle!A:AA,$R$6,0),VLOOKUP(E71,Detalle!A:AA,$R$7,0)),0)</f>
        <v/>
      </c>
      <c r="W71" s="311">
        <f>IFERROR(MAX(VLOOKUP(E71,Detalle!A:AA,$S$6,0),VLOOKUP(E71,Detalle!A:AA,$S$7,0)),0)</f>
        <v/>
      </c>
      <c r="X71" s="311">
        <f>INDEX($A$27:$B$246,MATCH(IFERROR(IF(P71*(1+$Y$5)&lt;H71,H71,IF(P71*(1+$Y$5)&gt;L71,L71,P71*(1+$Y$5))),0),$A$27:$A$246,1),2)</f>
        <v/>
      </c>
      <c r="Y71" s="311">
        <f>INDEX($A$27:$B$246,MATCH(IFERROR(IF(Q71*(1+$Y$5)&lt;I71,I71,IF(Q71*(1+$Y$5)&gt;M71,M71,Q71*(1+$Y$5))),0),$A$27:$A$246,1),2)</f>
        <v/>
      </c>
      <c r="Z71" s="311">
        <f>INDEX($A$27:$B$246,MATCH(IFERROR(IF(R71*(1+$Y$5)&lt;J71,J71,IF(R71*(1+$Y$5)&gt;N71,N71,R71*(1+$Y$5))),0),$A$27:$A$246,1),2)</f>
        <v/>
      </c>
      <c r="AA71" s="311">
        <f>INDEX($A$27:$B$246,MATCH(IFERROR(IF(S71*(1+$Y$5)&lt;K71,K71,IF(S71*(1+$Y$5)&gt;O71,O71,S71*(1+$Y$5))),0),$A$27:$A$246,1),2)</f>
        <v/>
      </c>
      <c r="AB71" s="311">
        <f>INDEX($A$27:$B$246,MATCH(IFERROR(IF(P71-$AC$5&lt;H71,H71,IF(P71-$AC$5&gt;L71,L71,P71-$AC$5)),0),$A$27:$A$246,1),2)</f>
        <v/>
      </c>
      <c r="AC71" s="311">
        <f>INDEX($A$27:$B$246,MATCH(IFERROR(IF(Q71-$AC$5&lt;I71,I71,IF(Q71-$AC$5&gt;M71,M71,Q71-$AC$5)),0),$A$27:$A$246,1),2)</f>
        <v/>
      </c>
      <c r="AD71" s="311">
        <f>INDEX($A$27:$B$246,MATCH(IFERROR(IF(R71-$AC$5&lt;J71,J71,IF(R71-$AC$5&gt;N71,N71,R71-$AC$5)),0),$A$27:$A$246,1),2)</f>
        <v/>
      </c>
      <c r="AE71" s="311">
        <f>INDEX($A$27:$B$246,MATCH(IFERROR(IF(S71-$AC$5&lt;K71,K71,IF(S71-$AC$5&gt;O71,O71,S71-$AC$5)),0),$A$27:$A$246,1),2)</f>
        <v/>
      </c>
      <c r="AF71" s="311" t="s">
        <v>8</v>
      </c>
      <c r="AG71" s="311" t="s">
        <v>8</v>
      </c>
      <c r="AH71" s="311" t="s">
        <v>8</v>
      </c>
      <c r="AI71" s="311" t="s">
        <v>8</v>
      </c>
      <c r="AJ71" s="311">
        <f>INDEX($A$27:$B$246,MATCH(IFERROR(IF(T71&lt;H71,H71,IF(T71&gt;L71,L71,T71)),0),$A$27:$A$246,1),2)</f>
        <v/>
      </c>
      <c r="AK71" s="311">
        <f>INDEX($A$27:$B$246,MATCH(IFERROR(IF(U71&lt;I71,I71,IF(U71&gt;M71,M71,U71)),0),$A$27:$A$246,1),2)</f>
        <v/>
      </c>
      <c r="AL71" s="311">
        <f>INDEX($A$27:$B$246,MATCH(IFERROR(IF(V71&lt;J71,J71,IF(V71&gt;N71,N71,V71)),0),$A$27:$A$246,1),2)</f>
        <v/>
      </c>
      <c r="AM71" s="311">
        <f>INDEX($A$27:$B$246,MATCH(IFERROR(IF(W71&lt;K71,K71,IF(W71&gt;O71,O71,W71)),0),$A$27:$A$246,1),2)</f>
        <v/>
      </c>
      <c r="AN71" s="311">
        <f>INDEX($A$27:$B$246,MATCH(IFERROR(IF(T71&lt;H71,H71,IF(T71&gt;L71,L71,T71)),0),$A$27:$A$246,1),2)</f>
        <v/>
      </c>
      <c r="AO71" s="311">
        <f>INDEX($A$27:$B$246,MATCH(IFERROR(IF(U71&lt;I71,I71,IF(U71&gt;M71,M71,U71)),0),$A$27:$A$246,1),2)</f>
        <v/>
      </c>
      <c r="AP71" s="311">
        <f>INDEX($A$27:$B$246,MATCH(IFERROR(IF(V71&lt;J71,J71,IF(V71&gt;N71,N71,V71)),0),$A$27:$A$246,1),2)</f>
        <v/>
      </c>
      <c r="AQ71" s="311">
        <f>INDEX($A$27:$B$246,MATCH(IFERROR(IF(W71&lt;K71,K71,IF(W71&gt;O71,O71,W71)),0),$A$27:$A$246,1),2)</f>
        <v/>
      </c>
      <c r="AR71" s="311">
        <f>INDEX($A$27:$B$246,MATCH(IFERROR(IF(T71+$AS$5&lt;H71,H71,IF(T71+$AS$5&gt;L71,L71,T71+$AS$5)),0),$A$27:$A$246,1),2)</f>
        <v/>
      </c>
      <c r="AS71" s="311">
        <f>INDEX($A$27:$B$246,MATCH(IFERROR(IF(U71+$AS$5&lt;I71,I71,IF(U71+$AS$5&gt;M71,M71,U71+$AS$5)),0),$A$27:$A$246,1),2)</f>
        <v/>
      </c>
      <c r="AT71" s="311">
        <f>INDEX($A$27:$B$246,MATCH(IFERROR(IF(V71+$AS$5&lt;J71,J71,IF(V71+$AS$5&gt;N71,N71,V71+$AS$5)),0),$A$27:$A$246,1),2)</f>
        <v/>
      </c>
      <c r="AU71" s="311">
        <f>INDEX($A$27:$B$246,MATCH(IFERROR(IF(W71+$AS$5&lt;K71,K71,IF(W71+$AS$5&gt;O71,O71,W71+$AS$5)),0),$A$27:$A$246,1),2)</f>
        <v/>
      </c>
      <c r="AV71" s="311">
        <f>INDEX($A$27:$B$246,MATCH(IFERROR(IF(T71+$AW$5&lt;H71,H71,IF(T71+$AW$5&gt;L71,L71,T71+$AW$5)),0),$A$27:$A$246,1),2)</f>
        <v/>
      </c>
      <c r="AW71" s="311">
        <f>INDEX($A$27:$B$246,MATCH(IFERROR(IF(U71+$AW$5&lt;I71,I71,IF(U71+$AW$5&gt;M71,M71,U71+$AW$5)),0),$A$27:$A$246,1),2)</f>
        <v/>
      </c>
      <c r="AX71" s="311">
        <f>INDEX($A$27:$B$246,MATCH(IFERROR(IF(V71+$AW$5&lt;J71,J71,IF(V71+$AW$5&gt;N71,N71,V71+$AW$5)),0),$A$27:$A$246,1),2)</f>
        <v/>
      </c>
      <c r="AY71" s="311">
        <f>INDEX($A$27:$B$246,MATCH(IFERROR(IF(W71+$AW$5&lt;K71,K71,IF(W71+$AW$5&gt;O71,O71,W71+$AW$5)),0),$A$27:$A$246,1),2)</f>
        <v/>
      </c>
      <c r="AZ71" s="311">
        <f>INDEX($A$27:$B$246,MATCH(IFERROR(IF(T71+$BA$5&lt;H71,H71,IF(T71+$BA$5&gt;L71,L71,T71+$BA$5)),0),$A$27:$A$246,1),2)</f>
        <v/>
      </c>
      <c r="BA71" s="311">
        <f>INDEX($A$27:$B$246,MATCH(IFERROR(IF(U71+$BA$5&lt;I71,I71,IF(U71+$BA$5&gt;M71,M71,U71+$BA$5)),0),$A$27:$A$246,1),2)</f>
        <v/>
      </c>
      <c r="BB71" s="311">
        <f>INDEX($A$27:$B$246,MATCH(IFERROR(IF(V71+$BA$5&lt;J71,J71,IF(V71+$BA$5&gt;N71,N71,V71+$BA$5)),0),$A$27:$A$246,1),2)</f>
        <v/>
      </c>
      <c r="BC71" s="311">
        <f>INDEX($A$27:$B$246,MATCH(IFERROR(IF(W71+$BA$5&lt;K71,K71,IF(W71+$BA$5&gt;O71,O71,W71+$BA$5)),0),$A$27:$A$246,1),2)</f>
        <v/>
      </c>
      <c r="BD71" s="311" t="s">
        <v>8</v>
      </c>
      <c r="BE71" s="311" t="s">
        <v>8</v>
      </c>
      <c r="BF71" s="311" t="s">
        <v>8</v>
      </c>
      <c r="BG71" s="311" t="s">
        <v>8</v>
      </c>
    </row>
    <row r="72" spans="1:64">
      <c r="A72" s="313">
        <f>A71+$B$24</f>
        <v/>
      </c>
      <c r="B72" s="313">
        <f>B71+$B$24</f>
        <v/>
      </c>
      <c r="C72" s="314" t="n"/>
      <c r="D72" t="s">
        <v>143</v>
      </c>
      <c r="E72" s="34" t="s">
        <v>143</v>
      </c>
      <c r="F72" s="34" t="s">
        <v>260</v>
      </c>
      <c r="G72" s="34" t="n">
        <v>364</v>
      </c>
      <c r="H72" s="310" t="n">
        <v>1</v>
      </c>
      <c r="I72" s="310" t="n">
        <v>1</v>
      </c>
      <c r="J72" s="310" t="n">
        <v>1</v>
      </c>
      <c r="K72" s="310" t="n">
        <v>1</v>
      </c>
      <c r="L72" s="311">
        <f>H72*$B$1</f>
        <v/>
      </c>
      <c r="M72" s="311">
        <f>I72*$B$1</f>
        <v/>
      </c>
      <c r="N72" s="311">
        <f>J72*$B$1</f>
        <v/>
      </c>
      <c r="O72" s="311">
        <f>K72*$B$1</f>
        <v/>
      </c>
      <c r="P72" s="311">
        <f>IFERROR(MIN(VLOOKUP(E72,Detalle!A:AA,$P$6,0),VLOOKUP(E72,Detalle!A:AA,$P$7,0),VLOOKUP(E72,Detalle!A:AA,$P$4,0)),0)</f>
        <v/>
      </c>
      <c r="Q72" s="311">
        <f>IFERROR(MIN(VLOOKUP(E72,Detalle!A:AA,$Q$6,0),VLOOKUP(E72,Detalle!A:AA,$Q$7,0)),0)</f>
        <v/>
      </c>
      <c r="R72" s="311">
        <f>IFERROR(MIN(VLOOKUP(E72,Detalle!A:AA,$R$6,0),VLOOKUP(E72,Detalle!A:AA,$R$7,0)),0)</f>
        <v/>
      </c>
      <c r="S72" s="311">
        <f>IFERROR(MIN(VLOOKUP(E72,Detalle!A:AA,$S$6,0),VLOOKUP(E72,Detalle!A:AA,$S$7,0)),0)</f>
        <v/>
      </c>
      <c r="T72" s="311">
        <f>IFERROR(MAX(VLOOKUP(E72,Detalle!A:AA,$P$6,0),VLOOKUP(E72,Detalle!A:AA,$P$7,0),VLOOKUP(E72,Detalle!A:AA,$P$4,0)),0)</f>
        <v/>
      </c>
      <c r="U72" s="311">
        <f>IFERROR(MAX(VLOOKUP(E72,Detalle!A:AA,$Q$6,0),VLOOKUP(E72,Detalle!A:AA,$Q$7,0)),0)</f>
        <v/>
      </c>
      <c r="V72" s="311">
        <f>IFERROR(MAX(VLOOKUP(E72,Detalle!A:AA,$R$6,0),VLOOKUP(E72,Detalle!A:AA,$R$7,0)),0)</f>
        <v/>
      </c>
      <c r="W72" s="311">
        <f>IFERROR(MAX(VLOOKUP(E72,Detalle!A:AA,$S$6,0),VLOOKUP(E72,Detalle!A:AA,$S$7,0)),0)</f>
        <v/>
      </c>
      <c r="X72" s="311">
        <f>INDEX($A$27:$B$246,MATCH(IFERROR(IF(P72*(1+$Y$5)&lt;H72,H72,IF(P72*(1+$Y$5)&gt;L72,L72,P72*(1+$Y$5))),0),$A$27:$A$246,1),2)</f>
        <v/>
      </c>
      <c r="Y72" s="311">
        <f>INDEX($A$27:$B$246,MATCH(IFERROR(IF(Q72*(1+$Y$5)&lt;I72,I72,IF(Q72*(1+$Y$5)&gt;M72,M72,Q72*(1+$Y$5))),0),$A$27:$A$246,1),2)</f>
        <v/>
      </c>
      <c r="Z72" s="311">
        <f>INDEX($A$27:$B$246,MATCH(IFERROR(IF(R72*(1+$Y$5)&lt;J72,J72,IF(R72*(1+$Y$5)&gt;N72,N72,R72*(1+$Y$5))),0),$A$27:$A$246,1),2)</f>
        <v/>
      </c>
      <c r="AA72" s="311">
        <f>INDEX($A$27:$B$246,MATCH(IFERROR(IF(S72*(1+$Y$5)&lt;K72,K72,IF(S72*(1+$Y$5)&gt;O72,O72,S72*(1+$Y$5))),0),$A$27:$A$246,1),2)</f>
        <v/>
      </c>
      <c r="AB72" s="311">
        <f>INDEX($A$27:$B$246,MATCH(IFERROR(IF(P72-$AC$5&lt;H72,H72,IF(P72-$AC$5&gt;L72,L72,P72-$AC$5)),0),$A$27:$A$246,1),2)</f>
        <v/>
      </c>
      <c r="AC72" s="311">
        <f>INDEX($A$27:$B$246,MATCH(IFERROR(IF(Q72-$AC$5&lt;I72,I72,IF(Q72-$AC$5&gt;M72,M72,Q72-$AC$5)),0),$A$27:$A$246,1),2)</f>
        <v/>
      </c>
      <c r="AD72" s="311">
        <f>INDEX($A$27:$B$246,MATCH(IFERROR(IF(R72-$AC$5&lt;J72,J72,IF(R72-$AC$5&gt;N72,N72,R72-$AC$5)),0),$A$27:$A$246,1),2)</f>
        <v/>
      </c>
      <c r="AE72" s="311">
        <f>INDEX($A$27:$B$246,MATCH(IFERROR(IF(S72-$AC$5&lt;K72,K72,IF(S72-$AC$5&gt;O72,O72,S72-$AC$5)),0),$A$27:$A$246,1),2)</f>
        <v/>
      </c>
      <c r="AF72" s="311" t="s">
        <v>8</v>
      </c>
      <c r="AG72" s="311" t="s">
        <v>8</v>
      </c>
      <c r="AH72" s="311" t="s">
        <v>8</v>
      </c>
      <c r="AI72" s="311" t="s">
        <v>8</v>
      </c>
      <c r="AJ72" s="311">
        <f>INDEX($A$27:$B$246,MATCH(IFERROR(IF(T72&lt;H72,H72,IF(T72&gt;L72,L72,T72)),0),$A$27:$A$246,1),2)</f>
        <v/>
      </c>
      <c r="AK72" s="311">
        <f>INDEX($A$27:$B$246,MATCH(IFERROR(IF(U72&lt;I72,I72,IF(U72&gt;M72,M72,U72)),0),$A$27:$A$246,1),2)</f>
        <v/>
      </c>
      <c r="AL72" s="311">
        <f>INDEX($A$27:$B$246,MATCH(IFERROR(IF(V72&lt;J72,J72,IF(V72&gt;N72,N72,V72)),0),$A$27:$A$246,1),2)</f>
        <v/>
      </c>
      <c r="AM72" s="311">
        <f>INDEX($A$27:$B$246,MATCH(IFERROR(IF(W72&lt;K72,K72,IF(W72&gt;O72,O72,W72)),0),$A$27:$A$246,1),2)</f>
        <v/>
      </c>
      <c r="AN72" s="311">
        <f>INDEX($A$27:$B$246,MATCH(IFERROR(IF(T72&lt;H72,H72,IF(T72&gt;L72,L72,T72)),0),$A$27:$A$246,1),2)</f>
        <v/>
      </c>
      <c r="AO72" s="311">
        <f>INDEX($A$27:$B$246,MATCH(IFERROR(IF(U72&lt;I72,I72,IF(U72&gt;M72,M72,U72)),0),$A$27:$A$246,1),2)</f>
        <v/>
      </c>
      <c r="AP72" s="311">
        <f>INDEX($A$27:$B$246,MATCH(IFERROR(IF(V72&lt;J72,J72,IF(V72&gt;N72,N72,V72)),0),$A$27:$A$246,1),2)</f>
        <v/>
      </c>
      <c r="AQ72" s="311">
        <f>INDEX($A$27:$B$246,MATCH(IFERROR(IF(W72&lt;K72,K72,IF(W72&gt;O72,O72,W72)),0),$A$27:$A$246,1),2)</f>
        <v/>
      </c>
      <c r="AR72" s="311">
        <f>INDEX($A$27:$B$246,MATCH(IFERROR(IF(T72+$AS$5&lt;H72,H72,IF(T72+$AS$5&gt;L72,L72,T72+$AS$5)),0),$A$27:$A$246,1),2)</f>
        <v/>
      </c>
      <c r="AS72" s="311">
        <f>INDEX($A$27:$B$246,MATCH(IFERROR(IF(U72+$AS$5&lt;I72,I72,IF(U72+$AS$5&gt;M72,M72,U72+$AS$5)),0),$A$27:$A$246,1),2)</f>
        <v/>
      </c>
      <c r="AT72" s="311">
        <f>INDEX($A$27:$B$246,MATCH(IFERROR(IF(V72+$AS$5&lt;J72,J72,IF(V72+$AS$5&gt;N72,N72,V72+$AS$5)),0),$A$27:$A$246,1),2)</f>
        <v/>
      </c>
      <c r="AU72" s="311">
        <f>INDEX($A$27:$B$246,MATCH(IFERROR(IF(W72+$AS$5&lt;K72,K72,IF(W72+$AS$5&gt;O72,O72,W72+$AS$5)),0),$A$27:$A$246,1),2)</f>
        <v/>
      </c>
      <c r="AV72" s="311">
        <f>INDEX($A$27:$B$246,MATCH(IFERROR(IF(T72+$AW$5&lt;H72,H72,IF(T72+$AW$5&gt;L72,L72,T72+$AW$5)),0),$A$27:$A$246,1),2)</f>
        <v/>
      </c>
      <c r="AW72" s="311">
        <f>INDEX($A$27:$B$246,MATCH(IFERROR(IF(U72+$AW$5&lt;I72,I72,IF(U72+$AW$5&gt;M72,M72,U72+$AW$5)),0),$A$27:$A$246,1),2)</f>
        <v/>
      </c>
      <c r="AX72" s="311">
        <f>INDEX($A$27:$B$246,MATCH(IFERROR(IF(V72+$AW$5&lt;J72,J72,IF(V72+$AW$5&gt;N72,N72,V72+$AW$5)),0),$A$27:$A$246,1),2)</f>
        <v/>
      </c>
      <c r="AY72" s="311">
        <f>INDEX($A$27:$B$246,MATCH(IFERROR(IF(W72+$AW$5&lt;K72,K72,IF(W72+$AW$5&gt;O72,O72,W72+$AW$5)),0),$A$27:$A$246,1),2)</f>
        <v/>
      </c>
      <c r="AZ72" s="311">
        <f>INDEX($A$27:$B$246,MATCH(IFERROR(IF(T72+$BA$5&lt;H72,H72,IF(T72+$BA$5&gt;L72,L72,T72+$BA$5)),0),$A$27:$A$246,1),2)</f>
        <v/>
      </c>
      <c r="BA72" s="311">
        <f>INDEX($A$27:$B$246,MATCH(IFERROR(IF(U72+$BA$5&lt;I72,I72,IF(U72+$BA$5&gt;M72,M72,U72+$BA$5)),0),$A$27:$A$246,1),2)</f>
        <v/>
      </c>
      <c r="BB72" s="311">
        <f>INDEX($A$27:$B$246,MATCH(IFERROR(IF(V72+$BA$5&lt;J72,J72,IF(V72+$BA$5&gt;N72,N72,V72+$BA$5)),0),$A$27:$A$246,1),2)</f>
        <v/>
      </c>
      <c r="BC72" s="311">
        <f>INDEX($A$27:$B$246,MATCH(IFERROR(IF(W72+$BA$5&lt;K72,K72,IF(W72+$BA$5&gt;O72,O72,W72+$BA$5)),0),$A$27:$A$246,1),2)</f>
        <v/>
      </c>
      <c r="BD72" s="311" t="s">
        <v>8</v>
      </c>
      <c r="BE72" s="311" t="s">
        <v>8</v>
      </c>
      <c r="BF72" s="311" t="s">
        <v>8</v>
      </c>
      <c r="BG72" s="311" t="s">
        <v>8</v>
      </c>
    </row>
    <row r="73" spans="1:64">
      <c r="A73" s="313">
        <f>A72+$B$24</f>
        <v/>
      </c>
      <c r="B73" s="313">
        <f>B72+$B$24</f>
        <v/>
      </c>
      <c r="C73" s="314" t="n"/>
      <c r="D73" t="s">
        <v>144</v>
      </c>
      <c r="E73" s="34" t="s">
        <v>144</v>
      </c>
      <c r="F73" s="34" t="s">
        <v>260</v>
      </c>
      <c r="G73" s="34" t="n">
        <v>365</v>
      </c>
      <c r="H73" s="310" t="n">
        <v>1</v>
      </c>
      <c r="I73" s="310" t="n">
        <v>1</v>
      </c>
      <c r="J73" s="310" t="n">
        <v>1</v>
      </c>
      <c r="K73" s="310" t="n">
        <v>1</v>
      </c>
      <c r="L73" s="311">
        <f>H73*$B$1</f>
        <v/>
      </c>
      <c r="M73" s="311">
        <f>I73*$B$1</f>
        <v/>
      </c>
      <c r="N73" s="311">
        <f>J73*$B$1</f>
        <v/>
      </c>
      <c r="O73" s="311">
        <f>K73*$B$1</f>
        <v/>
      </c>
      <c r="P73" s="311">
        <f>IFERROR(MIN(VLOOKUP(E73,Detalle!A:AA,$P$6,0),VLOOKUP(E73,Detalle!A:AA,$P$7,0),VLOOKUP(E73,Detalle!A:AA,$P$4,0)),0)</f>
        <v/>
      </c>
      <c r="Q73" s="311">
        <f>IFERROR(MIN(VLOOKUP(E73,Detalle!A:AA,$Q$6,0),VLOOKUP(E73,Detalle!A:AA,$Q$7,0)),0)</f>
        <v/>
      </c>
      <c r="R73" s="311">
        <f>IFERROR(MIN(VLOOKUP(E73,Detalle!A:AA,$R$6,0),VLOOKUP(E73,Detalle!A:AA,$R$7,0)),0)</f>
        <v/>
      </c>
      <c r="S73" s="311">
        <f>IFERROR(MIN(VLOOKUP(E73,Detalle!A:AA,$S$6,0),VLOOKUP(E73,Detalle!A:AA,$S$7,0)),0)</f>
        <v/>
      </c>
      <c r="T73" s="311">
        <f>IFERROR(MAX(VLOOKUP(E73,Detalle!A:AA,$P$6,0),VLOOKUP(E73,Detalle!A:AA,$P$7,0),VLOOKUP(E73,Detalle!A:AA,$P$4,0)),0)</f>
        <v/>
      </c>
      <c r="U73" s="311">
        <f>IFERROR(MAX(VLOOKUP(E73,Detalle!A:AA,$Q$6,0),VLOOKUP(E73,Detalle!A:AA,$Q$7,0)),0)</f>
        <v/>
      </c>
      <c r="V73" s="311">
        <f>IFERROR(MAX(VLOOKUP(E73,Detalle!A:AA,$R$6,0),VLOOKUP(E73,Detalle!A:AA,$R$7,0)),0)</f>
        <v/>
      </c>
      <c r="W73" s="311">
        <f>IFERROR(MAX(VLOOKUP(E73,Detalle!A:AA,$S$6,0),VLOOKUP(E73,Detalle!A:AA,$S$7,0)),0)</f>
        <v/>
      </c>
      <c r="X73" s="311">
        <f>INDEX($A$27:$B$246,MATCH(IFERROR(IF(P73*(1+$Y$5)&lt;H73,H73,IF(P73*(1+$Y$5)&gt;L73,L73,P73*(1+$Y$5))),0),$A$27:$A$246,1),2)</f>
        <v/>
      </c>
      <c r="Y73" s="311">
        <f>INDEX($A$27:$B$246,MATCH(IFERROR(IF(Q73*(1+$Y$5)&lt;I73,I73,IF(Q73*(1+$Y$5)&gt;M73,M73,Q73*(1+$Y$5))),0),$A$27:$A$246,1),2)</f>
        <v/>
      </c>
      <c r="Z73" s="311">
        <f>INDEX($A$27:$B$246,MATCH(IFERROR(IF(R73*(1+$Y$5)&lt;J73,J73,IF(R73*(1+$Y$5)&gt;N73,N73,R73*(1+$Y$5))),0),$A$27:$A$246,1),2)</f>
        <v/>
      </c>
      <c r="AA73" s="311">
        <f>INDEX($A$27:$B$246,MATCH(IFERROR(IF(S73*(1+$Y$5)&lt;K73,K73,IF(S73*(1+$Y$5)&gt;O73,O73,S73*(1+$Y$5))),0),$A$27:$A$246,1),2)</f>
        <v/>
      </c>
      <c r="AB73" s="311">
        <f>INDEX($A$27:$B$246,MATCH(IFERROR(IF(P73-$AC$5&lt;H73,H73,IF(P73-$AC$5&gt;L73,L73,P73-$AC$5)),0),$A$27:$A$246,1),2)</f>
        <v/>
      </c>
      <c r="AC73" s="311">
        <f>INDEX($A$27:$B$246,MATCH(IFERROR(IF(Q73-$AC$5&lt;I73,I73,IF(Q73-$AC$5&gt;M73,M73,Q73-$AC$5)),0),$A$27:$A$246,1),2)</f>
        <v/>
      </c>
      <c r="AD73" s="311">
        <f>INDEX($A$27:$B$246,MATCH(IFERROR(IF(R73-$AC$5&lt;J73,J73,IF(R73-$AC$5&gt;N73,N73,R73-$AC$5)),0),$A$27:$A$246,1),2)</f>
        <v/>
      </c>
      <c r="AE73" s="311">
        <f>INDEX($A$27:$B$246,MATCH(IFERROR(IF(S73-$AC$5&lt;K73,K73,IF(S73-$AC$5&gt;O73,O73,S73-$AC$5)),0),$A$27:$A$246,1),2)</f>
        <v/>
      </c>
      <c r="AF73" s="311" t="s">
        <v>8</v>
      </c>
      <c r="AG73" s="311" t="s">
        <v>8</v>
      </c>
      <c r="AH73" s="311" t="s">
        <v>8</v>
      </c>
      <c r="AI73" s="311" t="s">
        <v>8</v>
      </c>
      <c r="AJ73" s="311">
        <f>INDEX($A$27:$B$246,MATCH(IFERROR(IF(T73&lt;H73,H73,IF(T73&gt;L73,L73,T73)),0),$A$27:$A$246,1),2)</f>
        <v/>
      </c>
      <c r="AK73" s="311">
        <f>INDEX($A$27:$B$246,MATCH(IFERROR(IF(U73&lt;I73,I73,IF(U73&gt;M73,M73,U73)),0),$A$27:$A$246,1),2)</f>
        <v/>
      </c>
      <c r="AL73" s="311">
        <f>INDEX($A$27:$B$246,MATCH(IFERROR(IF(V73&lt;J73,J73,IF(V73&gt;N73,N73,V73)),0),$A$27:$A$246,1),2)</f>
        <v/>
      </c>
      <c r="AM73" s="311">
        <f>INDEX($A$27:$B$246,MATCH(IFERROR(IF(W73&lt;K73,K73,IF(W73&gt;O73,O73,W73)),0),$A$27:$A$246,1),2)</f>
        <v/>
      </c>
      <c r="AN73" s="311">
        <f>INDEX($A$27:$B$246,MATCH(IFERROR(IF(T73&lt;H73,H73,IF(T73&gt;L73,L73,T73)),0),$A$27:$A$246,1),2)</f>
        <v/>
      </c>
      <c r="AO73" s="311">
        <f>INDEX($A$27:$B$246,MATCH(IFERROR(IF(U73&lt;I73,I73,IF(U73&gt;M73,M73,U73)),0),$A$27:$A$246,1),2)</f>
        <v/>
      </c>
      <c r="AP73" s="311">
        <f>INDEX($A$27:$B$246,MATCH(IFERROR(IF(V73&lt;J73,J73,IF(V73&gt;N73,N73,V73)),0),$A$27:$A$246,1),2)</f>
        <v/>
      </c>
      <c r="AQ73" s="311">
        <f>INDEX($A$27:$B$246,MATCH(IFERROR(IF(W73&lt;K73,K73,IF(W73&gt;O73,O73,W73)),0),$A$27:$A$246,1),2)</f>
        <v/>
      </c>
      <c r="AR73" s="311">
        <f>INDEX($A$27:$B$246,MATCH(IFERROR(IF(T73+$AS$5&lt;H73,H73,IF(T73+$AS$5&gt;L73,L73,T73+$AS$5)),0),$A$27:$A$246,1),2)</f>
        <v/>
      </c>
      <c r="AS73" s="311">
        <f>INDEX($A$27:$B$246,MATCH(IFERROR(IF(U73+$AS$5&lt;I73,I73,IF(U73+$AS$5&gt;M73,M73,U73+$AS$5)),0),$A$27:$A$246,1),2)</f>
        <v/>
      </c>
      <c r="AT73" s="311">
        <f>INDEX($A$27:$B$246,MATCH(IFERROR(IF(V73+$AS$5&lt;J73,J73,IF(V73+$AS$5&gt;N73,N73,V73+$AS$5)),0),$A$27:$A$246,1),2)</f>
        <v/>
      </c>
      <c r="AU73" s="311">
        <f>INDEX($A$27:$B$246,MATCH(IFERROR(IF(W73+$AS$5&lt;K73,K73,IF(W73+$AS$5&gt;O73,O73,W73+$AS$5)),0),$A$27:$A$246,1),2)</f>
        <v/>
      </c>
      <c r="AV73" s="311">
        <f>INDEX($A$27:$B$246,MATCH(IFERROR(IF(T73+$AW$5&lt;H73,H73,IF(T73+$AW$5&gt;L73,L73,T73+$AW$5)),0),$A$27:$A$246,1),2)</f>
        <v/>
      </c>
      <c r="AW73" s="311">
        <f>INDEX($A$27:$B$246,MATCH(IFERROR(IF(U73+$AW$5&lt;I73,I73,IF(U73+$AW$5&gt;M73,M73,U73+$AW$5)),0),$A$27:$A$246,1),2)</f>
        <v/>
      </c>
      <c r="AX73" s="311">
        <f>INDEX($A$27:$B$246,MATCH(IFERROR(IF(V73+$AW$5&lt;J73,J73,IF(V73+$AW$5&gt;N73,N73,V73+$AW$5)),0),$A$27:$A$246,1),2)</f>
        <v/>
      </c>
      <c r="AY73" s="311">
        <f>INDEX($A$27:$B$246,MATCH(IFERROR(IF(W73+$AW$5&lt;K73,K73,IF(W73+$AW$5&gt;O73,O73,W73+$AW$5)),0),$A$27:$A$246,1),2)</f>
        <v/>
      </c>
      <c r="AZ73" s="311">
        <f>INDEX($A$27:$B$246,MATCH(IFERROR(IF(T73+$BA$5&lt;H73,H73,IF(T73+$BA$5&gt;L73,L73,T73+$BA$5)),0),$A$27:$A$246,1),2)</f>
        <v/>
      </c>
      <c r="BA73" s="311">
        <f>INDEX($A$27:$B$246,MATCH(IFERROR(IF(U73+$BA$5&lt;I73,I73,IF(U73+$BA$5&gt;M73,M73,U73+$BA$5)),0),$A$27:$A$246,1),2)</f>
        <v/>
      </c>
      <c r="BB73" s="311">
        <f>INDEX($A$27:$B$246,MATCH(IFERROR(IF(V73+$BA$5&lt;J73,J73,IF(V73+$BA$5&gt;N73,N73,V73+$BA$5)),0),$A$27:$A$246,1),2)</f>
        <v/>
      </c>
      <c r="BC73" s="311">
        <f>INDEX($A$27:$B$246,MATCH(IFERROR(IF(W73+$BA$5&lt;K73,K73,IF(W73+$BA$5&gt;O73,O73,W73+$BA$5)),0),$A$27:$A$246,1),2)</f>
        <v/>
      </c>
      <c r="BD73" s="311" t="s">
        <v>8</v>
      </c>
      <c r="BE73" s="311" t="s">
        <v>8</v>
      </c>
      <c r="BF73" s="311" t="s">
        <v>8</v>
      </c>
      <c r="BG73" s="311" t="s">
        <v>8</v>
      </c>
    </row>
    <row r="74" spans="1:64">
      <c r="A74" s="313">
        <f>A73+$B$24</f>
        <v/>
      </c>
      <c r="B74" s="313">
        <f>B73+$B$24</f>
        <v/>
      </c>
      <c r="C74" s="314" t="n"/>
      <c r="D74" t="s">
        <v>145</v>
      </c>
      <c r="E74" s="34" t="s">
        <v>145</v>
      </c>
      <c r="F74" s="34" t="s">
        <v>260</v>
      </c>
      <c r="G74" s="34" t="n">
        <v>366</v>
      </c>
      <c r="H74" s="310" t="n">
        <v>1</v>
      </c>
      <c r="I74" s="310" t="n">
        <v>1</v>
      </c>
      <c r="J74" s="310" t="n">
        <v>1</v>
      </c>
      <c r="K74" s="310" t="n">
        <v>1</v>
      </c>
      <c r="L74" s="311">
        <f>H74*$B$1</f>
        <v/>
      </c>
      <c r="M74" s="311">
        <f>I74*$B$1</f>
        <v/>
      </c>
      <c r="N74" s="311">
        <f>J74*$B$1</f>
        <v/>
      </c>
      <c r="O74" s="311">
        <f>K74*$B$1</f>
        <v/>
      </c>
      <c r="P74" s="311">
        <f>IFERROR(MIN(VLOOKUP(E74,Detalle!A:AA,$P$6,0),VLOOKUP(E74,Detalle!A:AA,$P$7,0),VLOOKUP(E74,Detalle!A:AA,$P$4,0)),0)</f>
        <v/>
      </c>
      <c r="Q74" s="311">
        <f>IFERROR(MIN(VLOOKUP(E74,Detalle!A:AA,$Q$6,0),VLOOKUP(E74,Detalle!A:AA,$Q$7,0)),0)</f>
        <v/>
      </c>
      <c r="R74" s="311">
        <f>IFERROR(MIN(VLOOKUP(E74,Detalle!A:AA,$R$6,0),VLOOKUP(E74,Detalle!A:AA,$R$7,0)),0)</f>
        <v/>
      </c>
      <c r="S74" s="311">
        <f>IFERROR(MIN(VLOOKUP(E74,Detalle!A:AA,$S$6,0),VLOOKUP(E74,Detalle!A:AA,$S$7,0)),0)</f>
        <v/>
      </c>
      <c r="T74" s="311">
        <f>IFERROR(MAX(VLOOKUP(E74,Detalle!A:AA,$P$6,0),VLOOKUP(E74,Detalle!A:AA,$P$7,0),VLOOKUP(E74,Detalle!A:AA,$P$4,0)),0)</f>
        <v/>
      </c>
      <c r="U74" s="311">
        <f>IFERROR(MAX(VLOOKUP(E74,Detalle!A:AA,$Q$6,0),VLOOKUP(E74,Detalle!A:AA,$Q$7,0)),0)</f>
        <v/>
      </c>
      <c r="V74" s="311">
        <f>IFERROR(MAX(VLOOKUP(E74,Detalle!A:AA,$R$6,0),VLOOKUP(E74,Detalle!A:AA,$R$7,0)),0)</f>
        <v/>
      </c>
      <c r="W74" s="311">
        <f>IFERROR(MAX(VLOOKUP(E74,Detalle!A:AA,$S$6,0),VLOOKUP(E74,Detalle!A:AA,$S$7,0)),0)</f>
        <v/>
      </c>
      <c r="X74" s="311">
        <f>INDEX($A$27:$B$246,MATCH(IFERROR(IF(P74*(1+$Y$5)&lt;H74,H74,IF(P74*(1+$Y$5)&gt;L74,L74,P74*(1+$Y$5))),0),$A$27:$A$246,1),2)</f>
        <v/>
      </c>
      <c r="Y74" s="311">
        <f>INDEX($A$27:$B$246,MATCH(IFERROR(IF(Q74*(1+$Y$5)&lt;I74,I74,IF(Q74*(1+$Y$5)&gt;M74,M74,Q74*(1+$Y$5))),0),$A$27:$A$246,1),2)</f>
        <v/>
      </c>
      <c r="Z74" s="311">
        <f>INDEX($A$27:$B$246,MATCH(IFERROR(IF(R74*(1+$Y$5)&lt;J74,J74,IF(R74*(1+$Y$5)&gt;N74,N74,R74*(1+$Y$5))),0),$A$27:$A$246,1),2)</f>
        <v/>
      </c>
      <c r="AA74" s="311">
        <f>INDEX($A$27:$B$246,MATCH(IFERROR(IF(S74*(1+$Y$5)&lt;K74,K74,IF(S74*(1+$Y$5)&gt;O74,O74,S74*(1+$Y$5))),0),$A$27:$A$246,1),2)</f>
        <v/>
      </c>
      <c r="AB74" s="311">
        <f>INDEX($A$27:$B$246,MATCH(IFERROR(IF(P74-$AC$5&lt;H74,H74,IF(P74-$AC$5&gt;L74,L74,P74-$AC$5)),0),$A$27:$A$246,1),2)</f>
        <v/>
      </c>
      <c r="AC74" s="311">
        <f>INDEX($A$27:$B$246,MATCH(IFERROR(IF(Q74-$AC$5&lt;I74,I74,IF(Q74-$AC$5&gt;M74,M74,Q74-$AC$5)),0),$A$27:$A$246,1),2)</f>
        <v/>
      </c>
      <c r="AD74" s="311">
        <f>INDEX($A$27:$B$246,MATCH(IFERROR(IF(R74-$AC$5&lt;J74,J74,IF(R74-$AC$5&gt;N74,N74,R74-$AC$5)),0),$A$27:$A$246,1),2)</f>
        <v/>
      </c>
      <c r="AE74" s="311">
        <f>INDEX($A$27:$B$246,MATCH(IFERROR(IF(S74-$AC$5&lt;K74,K74,IF(S74-$AC$5&gt;O74,O74,S74-$AC$5)),0),$A$27:$A$246,1),2)</f>
        <v/>
      </c>
      <c r="AF74" s="311" t="s">
        <v>8</v>
      </c>
      <c r="AG74" s="311" t="s">
        <v>8</v>
      </c>
      <c r="AH74" s="311" t="s">
        <v>8</v>
      </c>
      <c r="AI74" s="311" t="s">
        <v>8</v>
      </c>
      <c r="AJ74" s="311">
        <f>INDEX($A$27:$B$246,MATCH(IFERROR(IF(T74&lt;H74,H74,IF(T74&gt;L74,L74,T74)),0),$A$27:$A$246,1),2)</f>
        <v/>
      </c>
      <c r="AK74" s="311">
        <f>INDEX($A$27:$B$246,MATCH(IFERROR(IF(U74&lt;I74,I74,IF(U74&gt;M74,M74,U74)),0),$A$27:$A$246,1),2)</f>
        <v/>
      </c>
      <c r="AL74" s="311">
        <f>INDEX($A$27:$B$246,MATCH(IFERROR(IF(V74&lt;J74,J74,IF(V74&gt;N74,N74,V74)),0),$A$27:$A$246,1),2)</f>
        <v/>
      </c>
      <c r="AM74" s="311">
        <f>INDEX($A$27:$B$246,MATCH(IFERROR(IF(W74&lt;K74,K74,IF(W74&gt;O74,O74,W74)),0),$A$27:$A$246,1),2)</f>
        <v/>
      </c>
      <c r="AN74" s="311">
        <f>INDEX($A$27:$B$246,MATCH(IFERROR(IF(T74&lt;H74,H74,IF(T74&gt;L74,L74,T74)),0),$A$27:$A$246,1),2)</f>
        <v/>
      </c>
      <c r="AO74" s="311">
        <f>INDEX($A$27:$B$246,MATCH(IFERROR(IF(U74&lt;I74,I74,IF(U74&gt;M74,M74,U74)),0),$A$27:$A$246,1),2)</f>
        <v/>
      </c>
      <c r="AP74" s="311">
        <f>INDEX($A$27:$B$246,MATCH(IFERROR(IF(V74&lt;J74,J74,IF(V74&gt;N74,N74,V74)),0),$A$27:$A$246,1),2)</f>
        <v/>
      </c>
      <c r="AQ74" s="311">
        <f>INDEX($A$27:$B$246,MATCH(IFERROR(IF(W74&lt;K74,K74,IF(W74&gt;O74,O74,W74)),0),$A$27:$A$246,1),2)</f>
        <v/>
      </c>
      <c r="AR74" s="311">
        <f>INDEX($A$27:$B$246,MATCH(IFERROR(IF(T74+$AS$5&lt;H74,H74,IF(T74+$AS$5&gt;L74,L74,T74+$AS$5)),0),$A$27:$A$246,1),2)</f>
        <v/>
      </c>
      <c r="AS74" s="311">
        <f>INDEX($A$27:$B$246,MATCH(IFERROR(IF(U74+$AS$5&lt;I74,I74,IF(U74+$AS$5&gt;M74,M74,U74+$AS$5)),0),$A$27:$A$246,1),2)</f>
        <v/>
      </c>
      <c r="AT74" s="311">
        <f>INDEX($A$27:$B$246,MATCH(IFERROR(IF(V74+$AS$5&lt;J74,J74,IF(V74+$AS$5&gt;N74,N74,V74+$AS$5)),0),$A$27:$A$246,1),2)</f>
        <v/>
      </c>
      <c r="AU74" s="311">
        <f>INDEX($A$27:$B$246,MATCH(IFERROR(IF(W74+$AS$5&lt;K74,K74,IF(W74+$AS$5&gt;O74,O74,W74+$AS$5)),0),$A$27:$A$246,1),2)</f>
        <v/>
      </c>
      <c r="AV74" s="311">
        <f>INDEX($A$27:$B$246,MATCH(IFERROR(IF(T74+$AW$5&lt;H74,H74,IF(T74+$AW$5&gt;L74,L74,T74+$AW$5)),0),$A$27:$A$246,1),2)</f>
        <v/>
      </c>
      <c r="AW74" s="311">
        <f>INDEX($A$27:$B$246,MATCH(IFERROR(IF(U74+$AW$5&lt;I74,I74,IF(U74+$AW$5&gt;M74,M74,U74+$AW$5)),0),$A$27:$A$246,1),2)</f>
        <v/>
      </c>
      <c r="AX74" s="311">
        <f>INDEX($A$27:$B$246,MATCH(IFERROR(IF(V74+$AW$5&lt;J74,J74,IF(V74+$AW$5&gt;N74,N74,V74+$AW$5)),0),$A$27:$A$246,1),2)</f>
        <v/>
      </c>
      <c r="AY74" s="311">
        <f>INDEX($A$27:$B$246,MATCH(IFERROR(IF(W74+$AW$5&lt;K74,K74,IF(W74+$AW$5&gt;O74,O74,W74+$AW$5)),0),$A$27:$A$246,1),2)</f>
        <v/>
      </c>
      <c r="AZ74" s="311">
        <f>INDEX($A$27:$B$246,MATCH(IFERROR(IF(T74+$BA$5&lt;H74,H74,IF(T74+$BA$5&gt;L74,L74,T74+$BA$5)),0),$A$27:$A$246,1),2)</f>
        <v/>
      </c>
      <c r="BA74" s="311">
        <f>INDEX($A$27:$B$246,MATCH(IFERROR(IF(U74+$BA$5&lt;I74,I74,IF(U74+$BA$5&gt;M74,M74,U74+$BA$5)),0),$A$27:$A$246,1),2)</f>
        <v/>
      </c>
      <c r="BB74" s="311">
        <f>INDEX($A$27:$B$246,MATCH(IFERROR(IF(V74+$BA$5&lt;J74,J74,IF(V74+$BA$5&gt;N74,N74,V74+$BA$5)),0),$A$27:$A$246,1),2)</f>
        <v/>
      </c>
      <c r="BC74" s="311">
        <f>INDEX($A$27:$B$246,MATCH(IFERROR(IF(W74+$BA$5&lt;K74,K74,IF(W74+$BA$5&gt;O74,O74,W74+$BA$5)),0),$A$27:$A$246,1),2)</f>
        <v/>
      </c>
      <c r="BD74" s="311" t="s">
        <v>8</v>
      </c>
      <c r="BE74" s="311" t="s">
        <v>8</v>
      </c>
      <c r="BF74" s="311" t="s">
        <v>8</v>
      </c>
      <c r="BG74" s="311" t="s">
        <v>8</v>
      </c>
    </row>
    <row r="75" spans="1:64">
      <c r="A75" s="313">
        <f>A74+$B$24</f>
        <v/>
      </c>
      <c r="B75" s="313">
        <f>B74+$B$24</f>
        <v/>
      </c>
      <c r="C75" s="314" t="n"/>
      <c r="D75" t="s">
        <v>146</v>
      </c>
      <c r="E75" s="34" t="s">
        <v>146</v>
      </c>
      <c r="F75" s="34" t="s">
        <v>258</v>
      </c>
      <c r="G75" s="34" t="n">
        <v>367</v>
      </c>
      <c r="H75" s="310" t="n">
        <v>1</v>
      </c>
      <c r="I75" s="310" t="n">
        <v>1</v>
      </c>
      <c r="J75" s="310" t="n">
        <v>1</v>
      </c>
      <c r="K75" s="310" t="n">
        <v>1</v>
      </c>
      <c r="L75" s="311">
        <f>H75*$B$1</f>
        <v/>
      </c>
      <c r="M75" s="311">
        <f>I75*$B$1</f>
        <v/>
      </c>
      <c r="N75" s="311">
        <f>J75*$B$1</f>
        <v/>
      </c>
      <c r="O75" s="311">
        <f>K75*$B$1</f>
        <v/>
      </c>
      <c r="P75" s="311">
        <f>IFERROR(MIN(VLOOKUP(E75,Detalle!A:AA,$P$6,0),VLOOKUP(E75,Detalle!A:AA,$P$7,0),VLOOKUP(E75,Detalle!A:AA,$P$4,0)),0)</f>
        <v/>
      </c>
      <c r="Q75" s="311">
        <f>IFERROR(MIN(VLOOKUP(E75,Detalle!A:AA,$Q$6,0),VLOOKUP(E75,Detalle!A:AA,$Q$7,0)),0)</f>
        <v/>
      </c>
      <c r="R75" s="311">
        <f>IFERROR(MIN(VLOOKUP(E75,Detalle!A:AA,$R$6,0),VLOOKUP(E75,Detalle!A:AA,$R$7,0)),0)</f>
        <v/>
      </c>
      <c r="S75" s="311">
        <f>IFERROR(MIN(VLOOKUP(E75,Detalle!A:AA,$S$6,0),VLOOKUP(E75,Detalle!A:AA,$S$7,0)),0)</f>
        <v/>
      </c>
      <c r="T75" s="311">
        <f>IFERROR(MAX(VLOOKUP(E75,Detalle!A:AA,$P$6,0),VLOOKUP(E75,Detalle!A:AA,$P$7,0),VLOOKUP(E75,Detalle!A:AA,$P$4,0)),0)</f>
        <v/>
      </c>
      <c r="U75" s="311">
        <f>IFERROR(MAX(VLOOKUP(E75,Detalle!A:AA,$Q$6,0),VLOOKUP(E75,Detalle!A:AA,$Q$7,0)),0)</f>
        <v/>
      </c>
      <c r="V75" s="311">
        <f>IFERROR(MAX(VLOOKUP(E75,Detalle!A:AA,$R$6,0),VLOOKUP(E75,Detalle!A:AA,$R$7,0)),0)</f>
        <v/>
      </c>
      <c r="W75" s="311">
        <f>IFERROR(MAX(VLOOKUP(E75,Detalle!A:AA,$S$6,0),VLOOKUP(E75,Detalle!A:AA,$S$7,0)),0)</f>
        <v/>
      </c>
      <c r="X75" s="311">
        <f>INDEX($A$27:$B$246,MATCH(IFERROR(IF(P75*(1+$Y$5)&lt;H75,H75,IF(P75*(1+$Y$5)&gt;L75,L75,P75*(1+$Y$5))),0),$A$27:$A$246,1),2)</f>
        <v/>
      </c>
      <c r="Y75" s="311">
        <f>INDEX($A$27:$B$246,MATCH(IFERROR(IF(Q75*(1+$Y$5)&lt;I75,I75,IF(Q75*(1+$Y$5)&gt;M75,M75,Q75*(1+$Y$5))),0),$A$27:$A$246,1),2)</f>
        <v/>
      </c>
      <c r="Z75" s="311">
        <f>INDEX($A$27:$B$246,MATCH(IFERROR(IF(R75*(1+$Y$5)&lt;J75,J75,IF(R75*(1+$Y$5)&gt;N75,N75,R75*(1+$Y$5))),0),$A$27:$A$246,1),2)</f>
        <v/>
      </c>
      <c r="AA75" s="311">
        <f>INDEX($A$27:$B$246,MATCH(IFERROR(IF(S75*(1+$Y$5)&lt;K75,K75,IF(S75*(1+$Y$5)&gt;O75,O75,S75*(1+$Y$5))),0),$A$27:$A$246,1),2)</f>
        <v/>
      </c>
      <c r="AB75" s="311">
        <f>INDEX($A$27:$B$246,MATCH(IFERROR(IF(P75-$AC$5&lt;H75,H75,IF(P75-$AC$5&gt;L75,L75,P75-$AC$5)),0),$A$27:$A$246,1),2)</f>
        <v/>
      </c>
      <c r="AC75" s="311">
        <f>INDEX($A$27:$B$246,MATCH(IFERROR(IF(Q75-$AC$5&lt;I75,I75,IF(Q75-$AC$5&gt;M75,M75,Q75-$AC$5)),0),$A$27:$A$246,1),2)</f>
        <v/>
      </c>
      <c r="AD75" s="311">
        <f>INDEX($A$27:$B$246,MATCH(IFERROR(IF(R75-$AC$5&lt;J75,J75,IF(R75-$AC$5&gt;N75,N75,R75-$AC$5)),0),$A$27:$A$246,1),2)</f>
        <v/>
      </c>
      <c r="AE75" s="311">
        <f>INDEX($A$27:$B$246,MATCH(IFERROR(IF(S75-$AC$5&lt;K75,K75,IF(S75-$AC$5&gt;O75,O75,S75-$AC$5)),0),$A$27:$A$246,1),2)</f>
        <v/>
      </c>
      <c r="AF75" s="311" t="s">
        <v>8</v>
      </c>
      <c r="AG75" s="311" t="s">
        <v>8</v>
      </c>
      <c r="AH75" s="311" t="s">
        <v>8</v>
      </c>
      <c r="AI75" s="311" t="s">
        <v>8</v>
      </c>
      <c r="AJ75" s="311">
        <f>INDEX($A$27:$B$246,MATCH(IFERROR(IF(T75&lt;H75,H75,IF(T75&gt;L75,L75,T75)),0),$A$27:$A$246,1),2)</f>
        <v/>
      </c>
      <c r="AK75" s="311">
        <f>INDEX($A$27:$B$246,MATCH(IFERROR(IF(U75&lt;I75,I75,IF(U75&gt;M75,M75,U75)),0),$A$27:$A$246,1),2)</f>
        <v/>
      </c>
      <c r="AL75" s="311">
        <f>INDEX($A$27:$B$246,MATCH(IFERROR(IF(V75&lt;J75,J75,IF(V75&gt;N75,N75,V75)),0),$A$27:$A$246,1),2)</f>
        <v/>
      </c>
      <c r="AM75" s="311">
        <f>INDEX($A$27:$B$246,MATCH(IFERROR(IF(W75&lt;K75,K75,IF(W75&gt;O75,O75,W75)),0),$A$27:$A$246,1),2)</f>
        <v/>
      </c>
      <c r="AN75" s="311">
        <f>INDEX($A$27:$B$246,MATCH(IFERROR(IF(T75&lt;H75,H75,IF(T75&gt;L75,L75,T75)),0),$A$27:$A$246,1),2)</f>
        <v/>
      </c>
      <c r="AO75" s="311">
        <f>INDEX($A$27:$B$246,MATCH(IFERROR(IF(U75&lt;I75,I75,IF(U75&gt;M75,M75,U75)),0),$A$27:$A$246,1),2)</f>
        <v/>
      </c>
      <c r="AP75" s="311">
        <f>INDEX($A$27:$B$246,MATCH(IFERROR(IF(V75&lt;J75,J75,IF(V75&gt;N75,N75,V75)),0),$A$27:$A$246,1),2)</f>
        <v/>
      </c>
      <c r="AQ75" s="311">
        <f>INDEX($A$27:$B$246,MATCH(IFERROR(IF(W75&lt;K75,K75,IF(W75&gt;O75,O75,W75)),0),$A$27:$A$246,1),2)</f>
        <v/>
      </c>
      <c r="AR75" s="311">
        <f>INDEX($A$27:$B$246,MATCH(IFERROR(IF(T75+$AS$5&lt;H75,H75,IF(T75+$AS$5&gt;L75,L75,T75+$AS$5)),0),$A$27:$A$246,1),2)</f>
        <v/>
      </c>
      <c r="AS75" s="311">
        <f>INDEX($A$27:$B$246,MATCH(IFERROR(IF(U75+$AS$5&lt;I75,I75,IF(U75+$AS$5&gt;M75,M75,U75+$AS$5)),0),$A$27:$A$246,1),2)</f>
        <v/>
      </c>
      <c r="AT75" s="311">
        <f>INDEX($A$27:$B$246,MATCH(IFERROR(IF(V75+$AS$5&lt;J75,J75,IF(V75+$AS$5&gt;N75,N75,V75+$AS$5)),0),$A$27:$A$246,1),2)</f>
        <v/>
      </c>
      <c r="AU75" s="311">
        <f>INDEX($A$27:$B$246,MATCH(IFERROR(IF(W75+$AS$5&lt;K75,K75,IF(W75+$AS$5&gt;O75,O75,W75+$AS$5)),0),$A$27:$A$246,1),2)</f>
        <v/>
      </c>
      <c r="AV75" s="311">
        <f>INDEX($A$27:$B$246,MATCH(IFERROR(IF(T75+$AW$5&lt;H75,H75,IF(T75+$AW$5&gt;L75,L75,T75+$AW$5)),0),$A$27:$A$246,1),2)</f>
        <v/>
      </c>
      <c r="AW75" s="311">
        <f>INDEX($A$27:$B$246,MATCH(IFERROR(IF(U75+$AW$5&lt;I75,I75,IF(U75+$AW$5&gt;M75,M75,U75+$AW$5)),0),$A$27:$A$246,1),2)</f>
        <v/>
      </c>
      <c r="AX75" s="311">
        <f>INDEX($A$27:$B$246,MATCH(IFERROR(IF(V75+$AW$5&lt;J75,J75,IF(V75+$AW$5&gt;N75,N75,V75+$AW$5)),0),$A$27:$A$246,1),2)</f>
        <v/>
      </c>
      <c r="AY75" s="311">
        <f>INDEX($A$27:$B$246,MATCH(IFERROR(IF(W75+$AW$5&lt;K75,K75,IF(W75+$AW$5&gt;O75,O75,W75+$AW$5)),0),$A$27:$A$246,1),2)</f>
        <v/>
      </c>
      <c r="AZ75" s="311">
        <f>INDEX($A$27:$B$246,MATCH(IFERROR(IF(T75+$BA$5&lt;H75,H75,IF(T75+$BA$5&gt;L75,L75,T75+$BA$5)),0),$A$27:$A$246,1),2)</f>
        <v/>
      </c>
      <c r="BA75" s="311">
        <f>INDEX($A$27:$B$246,MATCH(IFERROR(IF(U75+$BA$5&lt;I75,I75,IF(U75+$BA$5&gt;M75,M75,U75+$BA$5)),0),$A$27:$A$246,1),2)</f>
        <v/>
      </c>
      <c r="BB75" s="311">
        <f>INDEX($A$27:$B$246,MATCH(IFERROR(IF(V75+$BA$5&lt;J75,J75,IF(V75+$BA$5&gt;N75,N75,V75+$BA$5)),0),$A$27:$A$246,1),2)</f>
        <v/>
      </c>
      <c r="BC75" s="311">
        <f>INDEX($A$27:$B$246,MATCH(IFERROR(IF(W75+$BA$5&lt;K75,K75,IF(W75+$BA$5&gt;O75,O75,W75+$BA$5)),0),$A$27:$A$246,1),2)</f>
        <v/>
      </c>
      <c r="BD75" s="311" t="s">
        <v>8</v>
      </c>
      <c r="BE75" s="311" t="s">
        <v>8</v>
      </c>
      <c r="BF75" s="311" t="s">
        <v>8</v>
      </c>
      <c r="BG75" s="311" t="s">
        <v>8</v>
      </c>
    </row>
    <row r="76" spans="1:64">
      <c r="A76" s="313">
        <f>A75+$B$24</f>
        <v/>
      </c>
      <c r="B76" s="313">
        <f>B75+$B$24</f>
        <v/>
      </c>
      <c r="C76" s="314" t="n"/>
      <c r="D76" t="s">
        <v>147</v>
      </c>
      <c r="E76" s="34" t="s">
        <v>147</v>
      </c>
      <c r="F76" s="34" t="s">
        <v>260</v>
      </c>
      <c r="G76" s="34" t="n">
        <v>369</v>
      </c>
      <c r="H76" s="310" t="n">
        <v>1</v>
      </c>
      <c r="I76" s="310" t="n">
        <v>1</v>
      </c>
      <c r="J76" s="310" t="n">
        <v>1</v>
      </c>
      <c r="K76" s="310" t="n">
        <v>1</v>
      </c>
      <c r="L76" s="311">
        <f>H76*$B$1</f>
        <v/>
      </c>
      <c r="M76" s="311">
        <f>I76*$B$1</f>
        <v/>
      </c>
      <c r="N76" s="311">
        <f>J76*$B$1</f>
        <v/>
      </c>
      <c r="O76" s="311">
        <f>K76*$B$1</f>
        <v/>
      </c>
      <c r="P76" s="311">
        <f>IFERROR(MIN(VLOOKUP(E76,Detalle!A:AA,$P$6,0),VLOOKUP(E76,Detalle!A:AA,$P$7,0),VLOOKUP(E76,Detalle!A:AA,$P$4,0)),0)</f>
        <v/>
      </c>
      <c r="Q76" s="311">
        <f>IFERROR(MIN(VLOOKUP(E76,Detalle!A:AA,$Q$6,0),VLOOKUP(E76,Detalle!A:AA,$Q$7,0)),0)</f>
        <v/>
      </c>
      <c r="R76" s="311">
        <f>IFERROR(MIN(VLOOKUP(E76,Detalle!A:AA,$R$6,0),VLOOKUP(E76,Detalle!A:AA,$R$7,0)),0)</f>
        <v/>
      </c>
      <c r="S76" s="311">
        <f>IFERROR(MIN(VLOOKUP(E76,Detalle!A:AA,$S$6,0),VLOOKUP(E76,Detalle!A:AA,$S$7,0)),0)</f>
        <v/>
      </c>
      <c r="T76" s="311">
        <f>IFERROR(MAX(VLOOKUP(E76,Detalle!A:AA,$P$6,0),VLOOKUP(E76,Detalle!A:AA,$P$7,0),VLOOKUP(E76,Detalle!A:AA,$P$4,0)),0)</f>
        <v/>
      </c>
      <c r="U76" s="311">
        <f>IFERROR(MAX(VLOOKUP(E76,Detalle!A:AA,$Q$6,0),VLOOKUP(E76,Detalle!A:AA,$Q$7,0)),0)</f>
        <v/>
      </c>
      <c r="V76" s="311">
        <f>IFERROR(MAX(VLOOKUP(E76,Detalle!A:AA,$R$6,0),VLOOKUP(E76,Detalle!A:AA,$R$7,0)),0)</f>
        <v/>
      </c>
      <c r="W76" s="311">
        <f>IFERROR(MAX(VLOOKUP(E76,Detalle!A:AA,$S$6,0),VLOOKUP(E76,Detalle!A:AA,$S$7,0)),0)</f>
        <v/>
      </c>
      <c r="X76" s="311">
        <f>INDEX($A$27:$B$246,MATCH(IFERROR(IF(P76*(1+$Y$5)&lt;H76,H76,IF(P76*(1+$Y$5)&gt;L76,L76,P76*(1+$Y$5))),0),$A$27:$A$246,1),2)</f>
        <v/>
      </c>
      <c r="Y76" s="311">
        <f>INDEX($A$27:$B$246,MATCH(IFERROR(IF(Q76*(1+$Y$5)&lt;I76,I76,IF(Q76*(1+$Y$5)&gt;M76,M76,Q76*(1+$Y$5))),0),$A$27:$A$246,1),2)</f>
        <v/>
      </c>
      <c r="Z76" s="311">
        <f>INDEX($A$27:$B$246,MATCH(IFERROR(IF(R76*(1+$Y$5)&lt;J76,J76,IF(R76*(1+$Y$5)&gt;N76,N76,R76*(1+$Y$5))),0),$A$27:$A$246,1),2)</f>
        <v/>
      </c>
      <c r="AA76" s="311">
        <f>INDEX($A$27:$B$246,MATCH(IFERROR(IF(S76*(1+$Y$5)&lt;K76,K76,IF(S76*(1+$Y$5)&gt;O76,O76,S76*(1+$Y$5))),0),$A$27:$A$246,1),2)</f>
        <v/>
      </c>
      <c r="AB76" s="311">
        <f>INDEX($A$27:$B$246,MATCH(IFERROR(IF(P76-$AC$5&lt;H76,H76,IF(P76-$AC$5&gt;L76,L76,P76-$AC$5)),0),$A$27:$A$246,1),2)</f>
        <v/>
      </c>
      <c r="AC76" s="311">
        <f>INDEX($A$27:$B$246,MATCH(IFERROR(IF(Q76-$AC$5&lt;I76,I76,IF(Q76-$AC$5&gt;M76,M76,Q76-$AC$5)),0),$A$27:$A$246,1),2)</f>
        <v/>
      </c>
      <c r="AD76" s="311">
        <f>INDEX($A$27:$B$246,MATCH(IFERROR(IF(R76-$AC$5&lt;J76,J76,IF(R76-$AC$5&gt;N76,N76,R76-$AC$5)),0),$A$27:$A$246,1),2)</f>
        <v/>
      </c>
      <c r="AE76" s="311">
        <f>INDEX($A$27:$B$246,MATCH(IFERROR(IF(S76-$AC$5&lt;K76,K76,IF(S76-$AC$5&gt;O76,O76,S76-$AC$5)),0),$A$27:$A$246,1),2)</f>
        <v/>
      </c>
      <c r="AF76" s="311" t="s">
        <v>8</v>
      </c>
      <c r="AG76" s="311" t="s">
        <v>8</v>
      </c>
      <c r="AH76" s="311" t="s">
        <v>8</v>
      </c>
      <c r="AI76" s="311" t="s">
        <v>8</v>
      </c>
      <c r="AJ76" s="311">
        <f>INDEX($A$27:$B$246,MATCH(IFERROR(IF(T76&lt;H76,H76,IF(T76&gt;L76,L76,T76)),0),$A$27:$A$246,1),2)</f>
        <v/>
      </c>
      <c r="AK76" s="311">
        <f>INDEX($A$27:$B$246,MATCH(IFERROR(IF(U76&lt;I76,I76,IF(U76&gt;M76,M76,U76)),0),$A$27:$A$246,1),2)</f>
        <v/>
      </c>
      <c r="AL76" s="311">
        <f>INDEX($A$27:$B$246,MATCH(IFERROR(IF(V76&lt;J76,J76,IF(V76&gt;N76,N76,V76)),0),$A$27:$A$246,1),2)</f>
        <v/>
      </c>
      <c r="AM76" s="311">
        <f>INDEX($A$27:$B$246,MATCH(IFERROR(IF(W76&lt;K76,K76,IF(W76&gt;O76,O76,W76)),0),$A$27:$A$246,1),2)</f>
        <v/>
      </c>
      <c r="AN76" s="311">
        <f>INDEX($A$27:$B$246,MATCH(IFERROR(IF(T76&lt;H76,H76,IF(T76&gt;L76,L76,T76)),0),$A$27:$A$246,1),2)</f>
        <v/>
      </c>
      <c r="AO76" s="311">
        <f>INDEX($A$27:$B$246,MATCH(IFERROR(IF(U76&lt;I76,I76,IF(U76&gt;M76,M76,U76)),0),$A$27:$A$246,1),2)</f>
        <v/>
      </c>
      <c r="AP76" s="311">
        <f>INDEX($A$27:$B$246,MATCH(IFERROR(IF(V76&lt;J76,J76,IF(V76&gt;N76,N76,V76)),0),$A$27:$A$246,1),2)</f>
        <v/>
      </c>
      <c r="AQ76" s="311">
        <f>INDEX($A$27:$B$246,MATCH(IFERROR(IF(W76&lt;K76,K76,IF(W76&gt;O76,O76,W76)),0),$A$27:$A$246,1),2)</f>
        <v/>
      </c>
      <c r="AR76" s="311">
        <f>INDEX($A$27:$B$246,MATCH(IFERROR(IF(T76+$AS$5&lt;H76,H76,IF(T76+$AS$5&gt;L76,L76,T76+$AS$5)),0),$A$27:$A$246,1),2)</f>
        <v/>
      </c>
      <c r="AS76" s="311">
        <f>INDEX($A$27:$B$246,MATCH(IFERROR(IF(U76+$AS$5&lt;I76,I76,IF(U76+$AS$5&gt;M76,M76,U76+$AS$5)),0),$A$27:$A$246,1),2)</f>
        <v/>
      </c>
      <c r="AT76" s="311">
        <f>INDEX($A$27:$B$246,MATCH(IFERROR(IF(V76+$AS$5&lt;J76,J76,IF(V76+$AS$5&gt;N76,N76,V76+$AS$5)),0),$A$27:$A$246,1),2)</f>
        <v/>
      </c>
      <c r="AU76" s="311">
        <f>INDEX($A$27:$B$246,MATCH(IFERROR(IF(W76+$AS$5&lt;K76,K76,IF(W76+$AS$5&gt;O76,O76,W76+$AS$5)),0),$A$27:$A$246,1),2)</f>
        <v/>
      </c>
      <c r="AV76" s="311">
        <f>INDEX($A$27:$B$246,MATCH(IFERROR(IF(T76+$AW$5&lt;H76,H76,IF(T76+$AW$5&gt;L76,L76,T76+$AW$5)),0),$A$27:$A$246,1),2)</f>
        <v/>
      </c>
      <c r="AW76" s="311">
        <f>INDEX($A$27:$B$246,MATCH(IFERROR(IF(U76+$AW$5&lt;I76,I76,IF(U76+$AW$5&gt;M76,M76,U76+$AW$5)),0),$A$27:$A$246,1),2)</f>
        <v/>
      </c>
      <c r="AX76" s="311">
        <f>INDEX($A$27:$B$246,MATCH(IFERROR(IF(V76+$AW$5&lt;J76,J76,IF(V76+$AW$5&gt;N76,N76,V76+$AW$5)),0),$A$27:$A$246,1),2)</f>
        <v/>
      </c>
      <c r="AY76" s="311">
        <f>INDEX($A$27:$B$246,MATCH(IFERROR(IF(W76+$AW$5&lt;K76,K76,IF(W76+$AW$5&gt;O76,O76,W76+$AW$5)),0),$A$27:$A$246,1),2)</f>
        <v/>
      </c>
      <c r="AZ76" s="311">
        <f>INDEX($A$27:$B$246,MATCH(IFERROR(IF(T76+$BA$5&lt;H76,H76,IF(T76+$BA$5&gt;L76,L76,T76+$BA$5)),0),$A$27:$A$246,1),2)</f>
        <v/>
      </c>
      <c r="BA76" s="311">
        <f>INDEX($A$27:$B$246,MATCH(IFERROR(IF(U76+$BA$5&lt;I76,I76,IF(U76+$BA$5&gt;M76,M76,U76+$BA$5)),0),$A$27:$A$246,1),2)</f>
        <v/>
      </c>
      <c r="BB76" s="311">
        <f>INDEX($A$27:$B$246,MATCH(IFERROR(IF(V76+$BA$5&lt;J76,J76,IF(V76+$BA$5&gt;N76,N76,V76+$BA$5)),0),$A$27:$A$246,1),2)</f>
        <v/>
      </c>
      <c r="BC76" s="311">
        <f>INDEX($A$27:$B$246,MATCH(IFERROR(IF(W76+$BA$5&lt;K76,K76,IF(W76+$BA$5&gt;O76,O76,W76+$BA$5)),0),$A$27:$A$246,1),2)</f>
        <v/>
      </c>
      <c r="BD76" s="311" t="s">
        <v>8</v>
      </c>
      <c r="BE76" s="311" t="s">
        <v>8</v>
      </c>
      <c r="BF76" s="311" t="s">
        <v>8</v>
      </c>
      <c r="BG76" s="311" t="s">
        <v>8</v>
      </c>
    </row>
    <row r="77" spans="1:64">
      <c r="A77" s="313">
        <f>A76+$B$24</f>
        <v/>
      </c>
      <c r="B77" s="313">
        <f>B76+$B$24</f>
        <v/>
      </c>
      <c r="C77" s="314" t="n"/>
      <c r="D77" t="s">
        <v>224</v>
      </c>
      <c r="E77" s="34" t="s">
        <v>224</v>
      </c>
      <c r="F77" s="34" t="s">
        <v>219</v>
      </c>
      <c r="G77" s="34" t="n">
        <v>23</v>
      </c>
      <c r="H77" s="310" t="n">
        <v>1</v>
      </c>
      <c r="I77" s="310" t="n">
        <v>1</v>
      </c>
      <c r="J77" s="310" t="n">
        <v>1</v>
      </c>
      <c r="K77" s="310" t="n">
        <v>1</v>
      </c>
      <c r="L77" s="311">
        <f>H77*$B$1</f>
        <v/>
      </c>
      <c r="M77" s="311">
        <f>I77*$B$1</f>
        <v/>
      </c>
      <c r="N77" s="311">
        <f>J77*$B$1</f>
        <v/>
      </c>
      <c r="O77" s="311">
        <f>K77*$B$1</f>
        <v/>
      </c>
      <c r="P77" s="311">
        <f>IFERROR(MIN(VLOOKUP(E77,Detalle!A:AA,$P$6,0),VLOOKUP(E77,Detalle!A:AA,$P$7,0),VLOOKUP(E77,Detalle!A:AA,$P$4,0)),0)</f>
        <v/>
      </c>
      <c r="Q77" s="311">
        <f>IFERROR(MIN(VLOOKUP(E77,Detalle!A:AA,$Q$6,0),VLOOKUP(E77,Detalle!A:AA,$Q$7,0)),0)</f>
        <v/>
      </c>
      <c r="R77" s="311">
        <f>IFERROR(MIN(VLOOKUP(E77,Detalle!A:AA,$R$6,0),VLOOKUP(E77,Detalle!A:AA,$R$7,0)),0)</f>
        <v/>
      </c>
      <c r="S77" s="311">
        <f>IFERROR(MIN(VLOOKUP(E77,Detalle!A:AA,$S$6,0),VLOOKUP(E77,Detalle!A:AA,$S$7,0)),0)</f>
        <v/>
      </c>
      <c r="T77" s="311">
        <f>IFERROR(MAX(VLOOKUP(E77,Detalle!A:AA,$P$6,0),VLOOKUP(E77,Detalle!A:AA,$P$7,0),VLOOKUP(E77,Detalle!A:AA,$P$4,0)),0)</f>
        <v/>
      </c>
      <c r="U77" s="311">
        <f>IFERROR(MAX(VLOOKUP(E77,Detalle!A:AA,$Q$6,0),VLOOKUP(E77,Detalle!A:AA,$Q$7,0)),0)</f>
        <v/>
      </c>
      <c r="V77" s="311">
        <f>IFERROR(MAX(VLOOKUP(E77,Detalle!A:AA,$R$6,0),VLOOKUP(E77,Detalle!A:AA,$R$7,0)),0)</f>
        <v/>
      </c>
      <c r="W77" s="311">
        <f>IFERROR(MAX(VLOOKUP(E77,Detalle!A:AA,$S$6,0),VLOOKUP(E77,Detalle!A:AA,$S$7,0)),0)</f>
        <v/>
      </c>
      <c r="X77" s="311">
        <f>INDEX($A$27:$B$246,MATCH(IFERROR(IF(P77*(1+$Y$5)&lt;H77,H77,IF(P77*(1+$Y$5)&gt;L77,L77,P77*(1+$Y$5))),0),$A$27:$A$246,1),2)</f>
        <v/>
      </c>
      <c r="Y77" s="311">
        <f>INDEX($A$27:$B$246,MATCH(IFERROR(IF(Q77*(1+$Y$5)&lt;I77,I77,IF(Q77*(1+$Y$5)&gt;M77,M77,Q77*(1+$Y$5))),0),$A$27:$A$246,1),2)</f>
        <v/>
      </c>
      <c r="Z77" s="311">
        <f>INDEX($A$27:$B$246,MATCH(IFERROR(IF(R77*(1+$Y$5)&lt;J77,J77,IF(R77*(1+$Y$5)&gt;N77,N77,R77*(1+$Y$5))),0),$A$27:$A$246,1),2)</f>
        <v/>
      </c>
      <c r="AA77" s="311">
        <f>INDEX($A$27:$B$246,MATCH(IFERROR(IF(S77*(1+$Y$5)&lt;K77,K77,IF(S77*(1+$Y$5)&gt;O77,O77,S77*(1+$Y$5))),0),$A$27:$A$246,1),2)</f>
        <v/>
      </c>
      <c r="AB77" s="311">
        <f>INDEX($A$27:$B$246,MATCH(IFERROR(IF(P77-$AC$5&lt;H77,H77,IF(P77-$AC$5&gt;L77,L77,P77-$AC$5)),0),$A$27:$A$246,1),2)</f>
        <v/>
      </c>
      <c r="AC77" s="311">
        <f>INDEX($A$27:$B$246,MATCH(IFERROR(IF(Q77-$AC$5&lt;I77,I77,IF(Q77-$AC$5&gt;M77,M77,Q77-$AC$5)),0),$A$27:$A$246,1),2)</f>
        <v/>
      </c>
      <c r="AD77" s="311">
        <f>INDEX($A$27:$B$246,MATCH(IFERROR(IF(R77-$AC$5&lt;J77,J77,IF(R77-$AC$5&gt;N77,N77,R77-$AC$5)),0),$A$27:$A$246,1),2)</f>
        <v/>
      </c>
      <c r="AE77" s="311">
        <f>INDEX($A$27:$B$246,MATCH(IFERROR(IF(S77-$AC$5&lt;K77,K77,IF(S77-$AC$5&gt;O77,O77,S77-$AC$5)),0),$A$27:$A$246,1),2)</f>
        <v/>
      </c>
      <c r="AF77" s="311" t="s">
        <v>8</v>
      </c>
      <c r="AG77" s="311" t="s">
        <v>8</v>
      </c>
      <c r="AH77" s="311" t="s">
        <v>8</v>
      </c>
      <c r="AI77" s="311" t="s">
        <v>8</v>
      </c>
      <c r="AJ77" s="311">
        <f>INDEX($A$27:$B$246,MATCH(IFERROR(IF(T77&lt;H77,H77,IF(T77&gt;L77,L77,T77)),0),$A$27:$A$246,1),2)</f>
        <v/>
      </c>
      <c r="AK77" s="311">
        <f>INDEX($A$27:$B$246,MATCH(IFERROR(IF(U77&lt;I77,I77,IF(U77&gt;M77,M77,U77)),0),$A$27:$A$246,1),2)</f>
        <v/>
      </c>
      <c r="AL77" s="311">
        <f>INDEX($A$27:$B$246,MATCH(IFERROR(IF(V77&lt;J77,J77,IF(V77&gt;N77,N77,V77)),0),$A$27:$A$246,1),2)</f>
        <v/>
      </c>
      <c r="AM77" s="311">
        <f>INDEX($A$27:$B$246,MATCH(IFERROR(IF(W77&lt;K77,K77,IF(W77&gt;O77,O77,W77)),0),$A$27:$A$246,1),2)</f>
        <v/>
      </c>
      <c r="AN77" s="311">
        <f>INDEX($A$27:$B$246,MATCH(IFERROR(IF(T77&lt;H77,H77,IF(T77&gt;L77,L77,T77)),0),$A$27:$A$246,1),2)</f>
        <v/>
      </c>
      <c r="AO77" s="311">
        <f>INDEX($A$27:$B$246,MATCH(IFERROR(IF(U77&lt;I77,I77,IF(U77&gt;M77,M77,U77)),0),$A$27:$A$246,1),2)</f>
        <v/>
      </c>
      <c r="AP77" s="311">
        <f>INDEX($A$27:$B$246,MATCH(IFERROR(IF(V77&lt;J77,J77,IF(V77&gt;N77,N77,V77)),0),$A$27:$A$246,1),2)</f>
        <v/>
      </c>
      <c r="AQ77" s="311">
        <f>INDEX($A$27:$B$246,MATCH(IFERROR(IF(W77&lt;K77,K77,IF(W77&gt;O77,O77,W77)),0),$A$27:$A$246,1),2)</f>
        <v/>
      </c>
      <c r="AR77" s="311">
        <f>INDEX($A$27:$B$246,MATCH(IFERROR(IF(T77+$AS$5&lt;H77,H77,IF(T77+$AS$5&gt;L77,L77,T77+$AS$5)),0),$A$27:$A$246,1),2)</f>
        <v/>
      </c>
      <c r="AS77" s="311">
        <f>INDEX($A$27:$B$246,MATCH(IFERROR(IF(U77+$AS$5&lt;I77,I77,IF(U77+$AS$5&gt;M77,M77,U77+$AS$5)),0),$A$27:$A$246,1),2)</f>
        <v/>
      </c>
      <c r="AT77" s="311">
        <f>INDEX($A$27:$B$246,MATCH(IFERROR(IF(V77+$AS$5&lt;J77,J77,IF(V77+$AS$5&gt;N77,N77,V77+$AS$5)),0),$A$27:$A$246,1),2)</f>
        <v/>
      </c>
      <c r="AU77" s="311">
        <f>INDEX($A$27:$B$246,MATCH(IFERROR(IF(W77+$AS$5&lt;K77,K77,IF(W77+$AS$5&gt;O77,O77,W77+$AS$5)),0),$A$27:$A$246,1),2)</f>
        <v/>
      </c>
      <c r="AV77" s="311">
        <f>INDEX($A$27:$B$246,MATCH(IFERROR(IF(T77+$AW$5&lt;H77,H77,IF(T77+$AW$5&gt;L77,L77,T77+$AW$5)),0),$A$27:$A$246,1),2)</f>
        <v/>
      </c>
      <c r="AW77" s="311">
        <f>INDEX($A$27:$B$246,MATCH(IFERROR(IF(U77+$AW$5&lt;I77,I77,IF(U77+$AW$5&gt;M77,M77,U77+$AW$5)),0),$A$27:$A$246,1),2)</f>
        <v/>
      </c>
      <c r="AX77" s="311">
        <f>INDEX($A$27:$B$246,MATCH(IFERROR(IF(V77+$AW$5&lt;J77,J77,IF(V77+$AW$5&gt;N77,N77,V77+$AW$5)),0),$A$27:$A$246,1),2)</f>
        <v/>
      </c>
      <c r="AY77" s="311">
        <f>INDEX($A$27:$B$246,MATCH(IFERROR(IF(W77+$AW$5&lt;K77,K77,IF(W77+$AW$5&gt;O77,O77,W77+$AW$5)),0),$A$27:$A$246,1),2)</f>
        <v/>
      </c>
      <c r="AZ77" s="311">
        <f>INDEX($A$27:$B$246,MATCH(IFERROR(IF(T77+$BA$5&lt;H77,H77,IF(T77+$BA$5&gt;L77,L77,T77+$BA$5)),0),$A$27:$A$246,1),2)</f>
        <v/>
      </c>
      <c r="BA77" s="311">
        <f>INDEX($A$27:$B$246,MATCH(IFERROR(IF(U77+$BA$5&lt;I77,I77,IF(U77+$BA$5&gt;M77,M77,U77+$BA$5)),0),$A$27:$A$246,1),2)</f>
        <v/>
      </c>
      <c r="BB77" s="311">
        <f>INDEX($A$27:$B$246,MATCH(IFERROR(IF(V77+$BA$5&lt;J77,J77,IF(V77+$BA$5&gt;N77,N77,V77+$BA$5)),0),$A$27:$A$246,1),2)</f>
        <v/>
      </c>
      <c r="BC77" s="311">
        <f>INDEX($A$27:$B$246,MATCH(IFERROR(IF(W77+$BA$5&lt;K77,K77,IF(W77+$BA$5&gt;O77,O77,W77+$BA$5)),0),$A$27:$A$246,1),2)</f>
        <v/>
      </c>
      <c r="BD77" s="311" t="s">
        <v>8</v>
      </c>
      <c r="BE77" s="311" t="s">
        <v>8</v>
      </c>
      <c r="BF77" s="311" t="s">
        <v>8</v>
      </c>
      <c r="BG77" s="311" t="s">
        <v>8</v>
      </c>
    </row>
    <row r="78" spans="1:64">
      <c r="A78" s="313">
        <f>A77+$B$24</f>
        <v/>
      </c>
      <c r="B78" s="313">
        <f>B77+$B$24</f>
        <v/>
      </c>
      <c r="C78" s="314" t="n"/>
      <c r="D78" t="s">
        <v>231</v>
      </c>
      <c r="E78" s="34" t="s">
        <v>231</v>
      </c>
      <c r="F78" s="34" t="s">
        <v>227</v>
      </c>
      <c r="G78" s="34" t="n">
        <v>167</v>
      </c>
      <c r="H78" s="310" t="n">
        <v>1</v>
      </c>
      <c r="I78" s="310" t="n">
        <v>1</v>
      </c>
      <c r="J78" s="310" t="n">
        <v>1</v>
      </c>
      <c r="K78" s="310" t="n">
        <v>1</v>
      </c>
      <c r="L78" s="311">
        <f>H78*$B$1</f>
        <v/>
      </c>
      <c r="M78" s="311">
        <f>I78*$B$1</f>
        <v/>
      </c>
      <c r="N78" s="311">
        <f>J78*$B$1</f>
        <v/>
      </c>
      <c r="O78" s="311">
        <f>K78*$B$1</f>
        <v/>
      </c>
      <c r="P78" s="311">
        <f>IFERROR(MIN(VLOOKUP(E78,Detalle!A:AA,$P$6,0),VLOOKUP(E78,Detalle!A:AA,$P$7,0),VLOOKUP(E78,Detalle!A:AA,$P$4,0)),0)</f>
        <v/>
      </c>
      <c r="Q78" s="311">
        <f>IFERROR(MIN(VLOOKUP(E78,Detalle!A:AA,$Q$6,0),VLOOKUP(E78,Detalle!A:AA,$Q$7,0)),0)</f>
        <v/>
      </c>
      <c r="R78" s="311">
        <f>IFERROR(MIN(VLOOKUP(E78,Detalle!A:AA,$R$6,0),VLOOKUP(E78,Detalle!A:AA,$R$7,0)),0)</f>
        <v/>
      </c>
      <c r="S78" s="311">
        <f>IFERROR(MIN(VLOOKUP(E78,Detalle!A:AA,$S$6,0),VLOOKUP(E78,Detalle!A:AA,$S$7,0)),0)</f>
        <v/>
      </c>
      <c r="T78" s="311">
        <f>IFERROR(MAX(VLOOKUP(E78,Detalle!A:AA,$P$6,0),VLOOKUP(E78,Detalle!A:AA,$P$7,0),VLOOKUP(E78,Detalle!A:AA,$P$4,0)),0)</f>
        <v/>
      </c>
      <c r="U78" s="311">
        <f>IFERROR(MAX(VLOOKUP(E78,Detalle!A:AA,$Q$6,0),VLOOKUP(E78,Detalle!A:AA,$Q$7,0)),0)</f>
        <v/>
      </c>
      <c r="V78" s="311">
        <f>IFERROR(MAX(VLOOKUP(E78,Detalle!A:AA,$R$6,0),VLOOKUP(E78,Detalle!A:AA,$R$7,0)),0)</f>
        <v/>
      </c>
      <c r="W78" s="311">
        <f>IFERROR(MAX(VLOOKUP(E78,Detalle!A:AA,$S$6,0),VLOOKUP(E78,Detalle!A:AA,$S$7,0)),0)</f>
        <v/>
      </c>
      <c r="X78" s="311">
        <f>INDEX($A$27:$B$246,MATCH(IFERROR(IF(P78*(1+$Y$5)&lt;H78,H78,IF(P78*(1+$Y$5)&gt;L78,L78,P78*(1+$Y$5))),0),$A$27:$A$246,1),2)</f>
        <v/>
      </c>
      <c r="Y78" s="311">
        <f>INDEX($A$27:$B$246,MATCH(IFERROR(IF(Q78*(1+$Y$5)&lt;I78,I78,IF(Q78*(1+$Y$5)&gt;M78,M78,Q78*(1+$Y$5))),0),$A$27:$A$246,1),2)</f>
        <v/>
      </c>
      <c r="Z78" s="311">
        <f>INDEX($A$27:$B$246,MATCH(IFERROR(IF(R78*(1+$Y$5)&lt;J78,J78,IF(R78*(1+$Y$5)&gt;N78,N78,R78*(1+$Y$5))),0),$A$27:$A$246,1),2)</f>
        <v/>
      </c>
      <c r="AA78" s="311">
        <f>INDEX($A$27:$B$246,MATCH(IFERROR(IF(S78*(1+$Y$5)&lt;K78,K78,IF(S78*(1+$Y$5)&gt;O78,O78,S78*(1+$Y$5))),0),$A$27:$A$246,1),2)</f>
        <v/>
      </c>
      <c r="AB78" s="311">
        <f>INDEX($A$27:$B$246,MATCH(IFERROR(IF(P78-$AC$5&lt;H78,H78,IF(P78-$AC$5&gt;L78,L78,P78-$AC$5)),0),$A$27:$A$246,1),2)</f>
        <v/>
      </c>
      <c r="AC78" s="311">
        <f>INDEX($A$27:$B$246,MATCH(IFERROR(IF(Q78-$AC$5&lt;I78,I78,IF(Q78-$AC$5&gt;M78,M78,Q78-$AC$5)),0),$A$27:$A$246,1),2)</f>
        <v/>
      </c>
      <c r="AD78" s="311">
        <f>INDEX($A$27:$B$246,MATCH(IFERROR(IF(R78-$AC$5&lt;J78,J78,IF(R78-$AC$5&gt;N78,N78,R78-$AC$5)),0),$A$27:$A$246,1),2)</f>
        <v/>
      </c>
      <c r="AE78" s="311">
        <f>INDEX($A$27:$B$246,MATCH(IFERROR(IF(S78-$AC$5&lt;K78,K78,IF(S78-$AC$5&gt;O78,O78,S78-$AC$5)),0),$A$27:$A$246,1),2)</f>
        <v/>
      </c>
      <c r="AF78" s="311" t="s">
        <v>8</v>
      </c>
      <c r="AG78" s="311" t="s">
        <v>8</v>
      </c>
      <c r="AH78" s="311" t="s">
        <v>8</v>
      </c>
      <c r="AI78" s="311" t="s">
        <v>8</v>
      </c>
      <c r="AJ78" s="311">
        <f>INDEX($A$27:$B$246,MATCH(IFERROR(IF(T78&lt;H78,H78,IF(T78&gt;L78,L78,T78)),0),$A$27:$A$246,1),2)</f>
        <v/>
      </c>
      <c r="AK78" s="311">
        <f>INDEX($A$27:$B$246,MATCH(IFERROR(IF(U78&lt;I78,I78,IF(U78&gt;M78,M78,U78)),0),$A$27:$A$246,1),2)</f>
        <v/>
      </c>
      <c r="AL78" s="311">
        <f>INDEX($A$27:$B$246,MATCH(IFERROR(IF(V78&lt;J78,J78,IF(V78&gt;N78,N78,V78)),0),$A$27:$A$246,1),2)</f>
        <v/>
      </c>
      <c r="AM78" s="311">
        <f>INDEX($A$27:$B$246,MATCH(IFERROR(IF(W78&lt;K78,K78,IF(W78&gt;O78,O78,W78)),0),$A$27:$A$246,1),2)</f>
        <v/>
      </c>
      <c r="AN78" s="311">
        <f>INDEX($A$27:$B$246,MATCH(IFERROR(IF(T78&lt;H78,H78,IF(T78&gt;L78,L78,T78)),0),$A$27:$A$246,1),2)</f>
        <v/>
      </c>
      <c r="AO78" s="311">
        <f>INDEX($A$27:$B$246,MATCH(IFERROR(IF(U78&lt;I78,I78,IF(U78&gt;M78,M78,U78)),0),$A$27:$A$246,1),2)</f>
        <v/>
      </c>
      <c r="AP78" s="311">
        <f>INDEX($A$27:$B$246,MATCH(IFERROR(IF(V78&lt;J78,J78,IF(V78&gt;N78,N78,V78)),0),$A$27:$A$246,1),2)</f>
        <v/>
      </c>
      <c r="AQ78" s="311">
        <f>INDEX($A$27:$B$246,MATCH(IFERROR(IF(W78&lt;K78,K78,IF(W78&gt;O78,O78,W78)),0),$A$27:$A$246,1),2)</f>
        <v/>
      </c>
      <c r="AR78" s="311">
        <f>INDEX($A$27:$B$246,MATCH(IFERROR(IF(T78+$AS$5&lt;H78,H78,IF(T78+$AS$5&gt;L78,L78,T78+$AS$5)),0),$A$27:$A$246,1),2)</f>
        <v/>
      </c>
      <c r="AS78" s="311">
        <f>INDEX($A$27:$B$246,MATCH(IFERROR(IF(U78+$AS$5&lt;I78,I78,IF(U78+$AS$5&gt;M78,M78,U78+$AS$5)),0),$A$27:$A$246,1),2)</f>
        <v/>
      </c>
      <c r="AT78" s="311">
        <f>INDEX($A$27:$B$246,MATCH(IFERROR(IF(V78+$AS$5&lt;J78,J78,IF(V78+$AS$5&gt;N78,N78,V78+$AS$5)),0),$A$27:$A$246,1),2)</f>
        <v/>
      </c>
      <c r="AU78" s="311">
        <f>INDEX($A$27:$B$246,MATCH(IFERROR(IF(W78+$AS$5&lt;K78,K78,IF(W78+$AS$5&gt;O78,O78,W78+$AS$5)),0),$A$27:$A$246,1),2)</f>
        <v/>
      </c>
      <c r="AV78" s="311">
        <f>INDEX($A$27:$B$246,MATCH(IFERROR(IF(T78+$AW$5&lt;H78,H78,IF(T78+$AW$5&gt;L78,L78,T78+$AW$5)),0),$A$27:$A$246,1),2)</f>
        <v/>
      </c>
      <c r="AW78" s="311">
        <f>INDEX($A$27:$B$246,MATCH(IFERROR(IF(U78+$AW$5&lt;I78,I78,IF(U78+$AW$5&gt;M78,M78,U78+$AW$5)),0),$A$27:$A$246,1),2)</f>
        <v/>
      </c>
      <c r="AX78" s="311">
        <f>INDEX($A$27:$B$246,MATCH(IFERROR(IF(V78+$AW$5&lt;J78,J78,IF(V78+$AW$5&gt;N78,N78,V78+$AW$5)),0),$A$27:$A$246,1),2)</f>
        <v/>
      </c>
      <c r="AY78" s="311">
        <f>INDEX($A$27:$B$246,MATCH(IFERROR(IF(W78+$AW$5&lt;K78,K78,IF(W78+$AW$5&gt;O78,O78,W78+$AW$5)),0),$A$27:$A$246,1),2)</f>
        <v/>
      </c>
      <c r="AZ78" s="311">
        <f>INDEX($A$27:$B$246,MATCH(IFERROR(IF(T78+$BA$5&lt;H78,H78,IF(T78+$BA$5&gt;L78,L78,T78+$BA$5)),0),$A$27:$A$246,1),2)</f>
        <v/>
      </c>
      <c r="BA78" s="311">
        <f>INDEX($A$27:$B$246,MATCH(IFERROR(IF(U78+$BA$5&lt;I78,I78,IF(U78+$BA$5&gt;M78,M78,U78+$BA$5)),0),$A$27:$A$246,1),2)</f>
        <v/>
      </c>
      <c r="BB78" s="311">
        <f>INDEX($A$27:$B$246,MATCH(IFERROR(IF(V78+$BA$5&lt;J78,J78,IF(V78+$BA$5&gt;N78,N78,V78+$BA$5)),0),$A$27:$A$246,1),2)</f>
        <v/>
      </c>
      <c r="BC78" s="311">
        <f>INDEX($A$27:$B$246,MATCH(IFERROR(IF(W78+$BA$5&lt;K78,K78,IF(W78+$BA$5&gt;O78,O78,W78+$BA$5)),0),$A$27:$A$246,1),2)</f>
        <v/>
      </c>
      <c r="BD78" s="311" t="s">
        <v>8</v>
      </c>
      <c r="BE78" s="311" t="s">
        <v>8</v>
      </c>
      <c r="BF78" s="311" t="s">
        <v>8</v>
      </c>
      <c r="BG78" s="311" t="s">
        <v>8</v>
      </c>
    </row>
    <row r="79" spans="1:64">
      <c r="A79" s="313">
        <f>A78+$B$24</f>
        <v/>
      </c>
      <c r="B79" s="313">
        <f>B78+$B$24</f>
        <v/>
      </c>
      <c r="C79" s="314" t="n"/>
      <c r="D79" t="s">
        <v>222</v>
      </c>
      <c r="E79" s="34" t="s">
        <v>222</v>
      </c>
      <c r="F79" s="34" t="s">
        <v>227</v>
      </c>
      <c r="G79" s="34" t="n">
        <v>171</v>
      </c>
      <c r="H79" s="310" t="n">
        <v>1</v>
      </c>
      <c r="I79" s="310" t="n">
        <v>1</v>
      </c>
      <c r="J79" s="310" t="n">
        <v>1</v>
      </c>
      <c r="K79" s="310" t="n">
        <v>1</v>
      </c>
      <c r="L79" s="311">
        <f>H79*$B$1</f>
        <v/>
      </c>
      <c r="M79" s="311">
        <f>I79*$B$1</f>
        <v/>
      </c>
      <c r="N79" s="311">
        <f>J79*$B$1</f>
        <v/>
      </c>
      <c r="O79" s="311">
        <f>K79*$B$1</f>
        <v/>
      </c>
      <c r="P79" s="311">
        <f>IFERROR(MIN(VLOOKUP(E79,Detalle!A:AA,$P$6,0),VLOOKUP(E79,Detalle!A:AA,$P$7,0),VLOOKUP(E79,Detalle!A:AA,$P$4,0)),0)</f>
        <v/>
      </c>
      <c r="Q79" s="311">
        <f>IFERROR(MIN(VLOOKUP(E79,Detalle!A:AA,$Q$6,0),VLOOKUP(E79,Detalle!A:AA,$Q$7,0)),0)</f>
        <v/>
      </c>
      <c r="R79" s="311">
        <f>IFERROR(MIN(VLOOKUP(E79,Detalle!A:AA,$R$6,0),VLOOKUP(E79,Detalle!A:AA,$R$7,0)),0)</f>
        <v/>
      </c>
      <c r="S79" s="311">
        <f>IFERROR(MIN(VLOOKUP(E79,Detalle!A:AA,$S$6,0),VLOOKUP(E79,Detalle!A:AA,$S$7,0)),0)</f>
        <v/>
      </c>
      <c r="T79" s="311">
        <f>IFERROR(MAX(VLOOKUP(E79,Detalle!A:AA,$P$6,0),VLOOKUP(E79,Detalle!A:AA,$P$7,0),VLOOKUP(E79,Detalle!A:AA,$P$4,0)),0)</f>
        <v/>
      </c>
      <c r="U79" s="311">
        <f>IFERROR(MAX(VLOOKUP(E79,Detalle!A:AA,$Q$6,0),VLOOKUP(E79,Detalle!A:AA,$Q$7,0)),0)</f>
        <v/>
      </c>
      <c r="V79" s="311">
        <f>IFERROR(MAX(VLOOKUP(E79,Detalle!A:AA,$R$6,0),VLOOKUP(E79,Detalle!A:AA,$R$7,0)),0)</f>
        <v/>
      </c>
      <c r="W79" s="311">
        <f>IFERROR(MAX(VLOOKUP(E79,Detalle!A:AA,$S$6,0),VLOOKUP(E79,Detalle!A:AA,$S$7,0)),0)</f>
        <v/>
      </c>
      <c r="X79" s="311">
        <f>INDEX($A$27:$B$246,MATCH(IFERROR(IF(P79*(1+$Y$5)&lt;H79,H79,IF(P79*(1+$Y$5)&gt;L79,L79,P79*(1+$Y$5))),0),$A$27:$A$246,1),2)</f>
        <v/>
      </c>
      <c r="Y79" s="311">
        <f>INDEX($A$27:$B$246,MATCH(IFERROR(IF(Q79*(1+$Y$5)&lt;I79,I79,IF(Q79*(1+$Y$5)&gt;M79,M79,Q79*(1+$Y$5))),0),$A$27:$A$246,1),2)</f>
        <v/>
      </c>
      <c r="Z79" s="311">
        <f>INDEX($A$27:$B$246,MATCH(IFERROR(IF(R79*(1+$Y$5)&lt;J79,J79,IF(R79*(1+$Y$5)&gt;N79,N79,R79*(1+$Y$5))),0),$A$27:$A$246,1),2)</f>
        <v/>
      </c>
      <c r="AA79" s="311">
        <f>INDEX($A$27:$B$246,MATCH(IFERROR(IF(S79*(1+$Y$5)&lt;K79,K79,IF(S79*(1+$Y$5)&gt;O79,O79,S79*(1+$Y$5))),0),$A$27:$A$246,1),2)</f>
        <v/>
      </c>
      <c r="AB79" s="311">
        <f>INDEX($A$27:$B$246,MATCH(IFERROR(IF(P79-$AC$5&lt;H79,H79,IF(P79-$AC$5&gt;L79,L79,P79-$AC$5)),0),$A$27:$A$246,1),2)</f>
        <v/>
      </c>
      <c r="AC79" s="311">
        <f>INDEX($A$27:$B$246,MATCH(IFERROR(IF(Q79-$AC$5&lt;I79,I79,IF(Q79-$AC$5&gt;M79,M79,Q79-$AC$5)),0),$A$27:$A$246,1),2)</f>
        <v/>
      </c>
      <c r="AD79" s="311">
        <f>INDEX($A$27:$B$246,MATCH(IFERROR(IF(R79-$AC$5&lt;J79,J79,IF(R79-$AC$5&gt;N79,N79,R79-$AC$5)),0),$A$27:$A$246,1),2)</f>
        <v/>
      </c>
      <c r="AE79" s="311">
        <f>INDEX($A$27:$B$246,MATCH(IFERROR(IF(S79-$AC$5&lt;K79,K79,IF(S79-$AC$5&gt;O79,O79,S79-$AC$5)),0),$A$27:$A$246,1),2)</f>
        <v/>
      </c>
      <c r="AF79" s="311" t="s">
        <v>8</v>
      </c>
      <c r="AG79" s="311" t="s">
        <v>8</v>
      </c>
      <c r="AH79" s="311" t="s">
        <v>8</v>
      </c>
      <c r="AI79" s="311" t="s">
        <v>8</v>
      </c>
      <c r="AJ79" s="311">
        <f>INDEX($A$27:$B$246,MATCH(IFERROR(IF(T79&lt;H79,H79,IF(T79&gt;L79,L79,T79)),0),$A$27:$A$246,1),2)</f>
        <v/>
      </c>
      <c r="AK79" s="311">
        <f>INDEX($A$27:$B$246,MATCH(IFERROR(IF(U79&lt;I79,I79,IF(U79&gt;M79,M79,U79)),0),$A$27:$A$246,1),2)</f>
        <v/>
      </c>
      <c r="AL79" s="311">
        <f>INDEX($A$27:$B$246,MATCH(IFERROR(IF(V79&lt;J79,J79,IF(V79&gt;N79,N79,V79)),0),$A$27:$A$246,1),2)</f>
        <v/>
      </c>
      <c r="AM79" s="311">
        <f>INDEX($A$27:$B$246,MATCH(IFERROR(IF(W79&lt;K79,K79,IF(W79&gt;O79,O79,W79)),0),$A$27:$A$246,1),2)</f>
        <v/>
      </c>
      <c r="AN79" s="311">
        <f>INDEX($A$27:$B$246,MATCH(IFERROR(IF(T79&lt;H79,H79,IF(T79&gt;L79,L79,T79)),0),$A$27:$A$246,1),2)</f>
        <v/>
      </c>
      <c r="AO79" s="311">
        <f>INDEX($A$27:$B$246,MATCH(IFERROR(IF(U79&lt;I79,I79,IF(U79&gt;M79,M79,U79)),0),$A$27:$A$246,1),2)</f>
        <v/>
      </c>
      <c r="AP79" s="311">
        <f>INDEX($A$27:$B$246,MATCH(IFERROR(IF(V79&lt;J79,J79,IF(V79&gt;N79,N79,V79)),0),$A$27:$A$246,1),2)</f>
        <v/>
      </c>
      <c r="AQ79" s="311">
        <f>INDEX($A$27:$B$246,MATCH(IFERROR(IF(W79&lt;K79,K79,IF(W79&gt;O79,O79,W79)),0),$A$27:$A$246,1),2)</f>
        <v/>
      </c>
      <c r="AR79" s="311">
        <f>INDEX($A$27:$B$246,MATCH(IFERROR(IF(T79+$AS$5&lt;H79,H79,IF(T79+$AS$5&gt;L79,L79,T79+$AS$5)),0),$A$27:$A$246,1),2)</f>
        <v/>
      </c>
      <c r="AS79" s="311">
        <f>INDEX($A$27:$B$246,MATCH(IFERROR(IF(U79+$AS$5&lt;I79,I79,IF(U79+$AS$5&gt;M79,M79,U79+$AS$5)),0),$A$27:$A$246,1),2)</f>
        <v/>
      </c>
      <c r="AT79" s="311">
        <f>INDEX($A$27:$B$246,MATCH(IFERROR(IF(V79+$AS$5&lt;J79,J79,IF(V79+$AS$5&gt;N79,N79,V79+$AS$5)),0),$A$27:$A$246,1),2)</f>
        <v/>
      </c>
      <c r="AU79" s="311">
        <f>INDEX($A$27:$B$246,MATCH(IFERROR(IF(W79+$AS$5&lt;K79,K79,IF(W79+$AS$5&gt;O79,O79,W79+$AS$5)),0),$A$27:$A$246,1),2)</f>
        <v/>
      </c>
      <c r="AV79" s="311">
        <f>INDEX($A$27:$B$246,MATCH(IFERROR(IF(T79+$AW$5&lt;H79,H79,IF(T79+$AW$5&gt;L79,L79,T79+$AW$5)),0),$A$27:$A$246,1),2)</f>
        <v/>
      </c>
      <c r="AW79" s="311">
        <f>INDEX($A$27:$B$246,MATCH(IFERROR(IF(U79+$AW$5&lt;I79,I79,IF(U79+$AW$5&gt;M79,M79,U79+$AW$5)),0),$A$27:$A$246,1),2)</f>
        <v/>
      </c>
      <c r="AX79" s="311">
        <f>INDEX($A$27:$B$246,MATCH(IFERROR(IF(V79+$AW$5&lt;J79,J79,IF(V79+$AW$5&gt;N79,N79,V79+$AW$5)),0),$A$27:$A$246,1),2)</f>
        <v/>
      </c>
      <c r="AY79" s="311">
        <f>INDEX($A$27:$B$246,MATCH(IFERROR(IF(W79+$AW$5&lt;K79,K79,IF(W79+$AW$5&gt;O79,O79,W79+$AW$5)),0),$A$27:$A$246,1),2)</f>
        <v/>
      </c>
      <c r="AZ79" s="311">
        <f>INDEX($A$27:$B$246,MATCH(IFERROR(IF(T79+$BA$5&lt;H79,H79,IF(T79+$BA$5&gt;L79,L79,T79+$BA$5)),0),$A$27:$A$246,1),2)</f>
        <v/>
      </c>
      <c r="BA79" s="311">
        <f>INDEX($A$27:$B$246,MATCH(IFERROR(IF(U79+$BA$5&lt;I79,I79,IF(U79+$BA$5&gt;M79,M79,U79+$BA$5)),0),$A$27:$A$246,1),2)</f>
        <v/>
      </c>
      <c r="BB79" s="311">
        <f>INDEX($A$27:$B$246,MATCH(IFERROR(IF(V79+$BA$5&lt;J79,J79,IF(V79+$BA$5&gt;N79,N79,V79+$BA$5)),0),$A$27:$A$246,1),2)</f>
        <v/>
      </c>
      <c r="BC79" s="311">
        <f>INDEX($A$27:$B$246,MATCH(IFERROR(IF(W79+$BA$5&lt;K79,K79,IF(W79+$BA$5&gt;O79,O79,W79+$BA$5)),0),$A$27:$A$246,1),2)</f>
        <v/>
      </c>
      <c r="BD79" s="311" t="s">
        <v>8</v>
      </c>
      <c r="BE79" s="311" t="s">
        <v>8</v>
      </c>
      <c r="BF79" s="311" t="s">
        <v>8</v>
      </c>
      <c r="BG79" s="311" t="s">
        <v>8</v>
      </c>
    </row>
    <row r="80" spans="1:64">
      <c r="A80" s="313">
        <f>A79+$B$24</f>
        <v/>
      </c>
      <c r="B80" s="313">
        <f>B79+$B$24</f>
        <v/>
      </c>
      <c r="C80" s="314" t="n"/>
      <c r="D80" t="s">
        <v>93</v>
      </c>
      <c r="E80" s="34" t="s">
        <v>250</v>
      </c>
      <c r="F80" s="34" t="s">
        <v>227</v>
      </c>
      <c r="G80" s="34" t="n">
        <v>183</v>
      </c>
      <c r="H80" s="310" t="n">
        <v>1</v>
      </c>
      <c r="I80" s="310" t="n">
        <v>1</v>
      </c>
      <c r="J80" s="310" t="n">
        <v>1</v>
      </c>
      <c r="K80" s="310" t="n">
        <v>1</v>
      </c>
      <c r="L80" s="311">
        <f>H80*$B$1</f>
        <v/>
      </c>
      <c r="M80" s="311">
        <f>I80*$B$1</f>
        <v/>
      </c>
      <c r="N80" s="311">
        <f>J80*$B$1</f>
        <v/>
      </c>
      <c r="O80" s="311">
        <f>K80*$B$1</f>
        <v/>
      </c>
      <c r="P80" s="311">
        <f>IFERROR(MIN(VLOOKUP(E80,Detalle!A:AA,$P$6,0),VLOOKUP(E80,Detalle!A:AA,$P$7,0),VLOOKUP(E80,Detalle!A:AA,$P$4,0)),0)</f>
        <v/>
      </c>
      <c r="Q80" s="311">
        <f>IFERROR(MIN(VLOOKUP(E80,Detalle!A:AA,$Q$6,0),VLOOKUP(E80,Detalle!A:AA,$Q$7,0)),0)</f>
        <v/>
      </c>
      <c r="R80" s="311">
        <f>IFERROR(MIN(VLOOKUP(E80,Detalle!A:AA,$R$6,0),VLOOKUP(E80,Detalle!A:AA,$R$7,0)),0)</f>
        <v/>
      </c>
      <c r="S80" s="311">
        <f>IFERROR(MIN(VLOOKUP(E80,Detalle!A:AA,$S$6,0),VLOOKUP(E80,Detalle!A:AA,$S$7,0)),0)</f>
        <v/>
      </c>
      <c r="T80" s="311">
        <f>IFERROR(MAX(VLOOKUP(E80,Detalle!A:AA,$P$6,0),VLOOKUP(E80,Detalle!A:AA,$P$7,0),VLOOKUP(E80,Detalle!A:AA,$P$4,0)),0)</f>
        <v/>
      </c>
      <c r="U80" s="311">
        <f>IFERROR(MAX(VLOOKUP(E80,Detalle!A:AA,$Q$6,0),VLOOKUP(E80,Detalle!A:AA,$Q$7,0)),0)</f>
        <v/>
      </c>
      <c r="V80" s="311">
        <f>IFERROR(MAX(VLOOKUP(E80,Detalle!A:AA,$R$6,0),VLOOKUP(E80,Detalle!A:AA,$R$7,0)),0)</f>
        <v/>
      </c>
      <c r="W80" s="311">
        <f>IFERROR(MAX(VLOOKUP(E80,Detalle!A:AA,$S$6,0),VLOOKUP(E80,Detalle!A:AA,$S$7,0)),0)</f>
        <v/>
      </c>
      <c r="X80" s="311">
        <f>INDEX($A$27:$B$246,MATCH(IFERROR(IF(P80*(1+$Y$5)&lt;H80,H80,IF(P80*(1+$Y$5)&gt;L80,L80,P80*(1+$Y$5))),0),$A$27:$A$246,1),2)</f>
        <v/>
      </c>
      <c r="Y80" s="311">
        <f>INDEX($A$27:$B$246,MATCH(IFERROR(IF(Q80*(1+$Y$5)&lt;I80,I80,IF(Q80*(1+$Y$5)&gt;M80,M80,Q80*(1+$Y$5))),0),$A$27:$A$246,1),2)</f>
        <v/>
      </c>
      <c r="Z80" s="311">
        <f>INDEX($A$27:$B$246,MATCH(IFERROR(IF(R80*(1+$Y$5)&lt;J80,J80,IF(R80*(1+$Y$5)&gt;N80,N80,R80*(1+$Y$5))),0),$A$27:$A$246,1),2)</f>
        <v/>
      </c>
      <c r="AA80" s="311">
        <f>INDEX($A$27:$B$246,MATCH(IFERROR(IF(S80*(1+$Y$5)&lt;K80,K80,IF(S80*(1+$Y$5)&gt;O80,O80,S80*(1+$Y$5))),0),$A$27:$A$246,1),2)</f>
        <v/>
      </c>
      <c r="AB80" s="311">
        <f>INDEX($A$27:$B$246,MATCH(IFERROR(IF(P80-$AC$5&lt;H80,H80,IF(P80-$AC$5&gt;L80,L80,P80-$AC$5)),0),$A$27:$A$246,1),2)</f>
        <v/>
      </c>
      <c r="AC80" s="311">
        <f>INDEX($A$27:$B$246,MATCH(IFERROR(IF(Q80-$AC$5&lt;I80,I80,IF(Q80-$AC$5&gt;M80,M80,Q80-$AC$5)),0),$A$27:$A$246,1),2)</f>
        <v/>
      </c>
      <c r="AD80" s="311">
        <f>INDEX($A$27:$B$246,MATCH(IFERROR(IF(R80-$AC$5&lt;J80,J80,IF(R80-$AC$5&gt;N80,N80,R80-$AC$5)),0),$A$27:$A$246,1),2)</f>
        <v/>
      </c>
      <c r="AE80" s="311">
        <f>INDEX($A$27:$B$246,MATCH(IFERROR(IF(S80-$AC$5&lt;K80,K80,IF(S80-$AC$5&gt;O80,O80,S80-$AC$5)),0),$A$27:$A$246,1),2)</f>
        <v/>
      </c>
      <c r="AF80" s="311" t="s">
        <v>8</v>
      </c>
      <c r="AG80" s="311" t="s">
        <v>8</v>
      </c>
      <c r="AH80" s="311" t="s">
        <v>8</v>
      </c>
      <c r="AI80" s="311" t="s">
        <v>8</v>
      </c>
      <c r="AJ80" s="311">
        <f>INDEX($A$27:$B$246,MATCH(IFERROR(IF(T80&lt;H80,H80,IF(T80&gt;L80,L80,T80)),0),$A$27:$A$246,1),2)</f>
        <v/>
      </c>
      <c r="AK80" s="311">
        <f>INDEX($A$27:$B$246,MATCH(IFERROR(IF(U80&lt;I80,I80,IF(U80&gt;M80,M80,U80)),0),$A$27:$A$246,1),2)</f>
        <v/>
      </c>
      <c r="AL80" s="311">
        <f>INDEX($A$27:$B$246,MATCH(IFERROR(IF(V80&lt;J80,J80,IF(V80&gt;N80,N80,V80)),0),$A$27:$A$246,1),2)</f>
        <v/>
      </c>
      <c r="AM80" s="311">
        <f>INDEX($A$27:$B$246,MATCH(IFERROR(IF(W80&lt;K80,K80,IF(W80&gt;O80,O80,W80)),0),$A$27:$A$246,1),2)</f>
        <v/>
      </c>
      <c r="AN80" s="311">
        <f>INDEX($A$27:$B$246,MATCH(IFERROR(IF(T80&lt;H80,H80,IF(T80&gt;L80,L80,T80)),0),$A$27:$A$246,1),2)</f>
        <v/>
      </c>
      <c r="AO80" s="311">
        <f>INDEX($A$27:$B$246,MATCH(IFERROR(IF(U80&lt;I80,I80,IF(U80&gt;M80,M80,U80)),0),$A$27:$A$246,1),2)</f>
        <v/>
      </c>
      <c r="AP80" s="311">
        <f>INDEX($A$27:$B$246,MATCH(IFERROR(IF(V80&lt;J80,J80,IF(V80&gt;N80,N80,V80)),0),$A$27:$A$246,1),2)</f>
        <v/>
      </c>
      <c r="AQ80" s="311">
        <f>INDEX($A$27:$B$246,MATCH(IFERROR(IF(W80&lt;K80,K80,IF(W80&gt;O80,O80,W80)),0),$A$27:$A$246,1),2)</f>
        <v/>
      </c>
      <c r="AR80" s="311">
        <f>INDEX($A$27:$B$246,MATCH(IFERROR(IF(T80+$AS$5&lt;H80,H80,IF(T80+$AS$5&gt;L80,L80,T80+$AS$5)),0),$A$27:$A$246,1),2)</f>
        <v/>
      </c>
      <c r="AS80" s="311">
        <f>INDEX($A$27:$B$246,MATCH(IFERROR(IF(U80+$AS$5&lt;I80,I80,IF(U80+$AS$5&gt;M80,M80,U80+$AS$5)),0),$A$27:$A$246,1),2)</f>
        <v/>
      </c>
      <c r="AT80" s="311">
        <f>INDEX($A$27:$B$246,MATCH(IFERROR(IF(V80+$AS$5&lt;J80,J80,IF(V80+$AS$5&gt;N80,N80,V80+$AS$5)),0),$A$27:$A$246,1),2)</f>
        <v/>
      </c>
      <c r="AU80" s="311">
        <f>INDEX($A$27:$B$246,MATCH(IFERROR(IF(W80+$AS$5&lt;K80,K80,IF(W80+$AS$5&gt;O80,O80,W80+$AS$5)),0),$A$27:$A$246,1),2)</f>
        <v/>
      </c>
      <c r="AV80" s="311">
        <f>INDEX($A$27:$B$246,MATCH(IFERROR(IF(T80+$AW$5&lt;H80,H80,IF(T80+$AW$5&gt;L80,L80,T80+$AW$5)),0),$A$27:$A$246,1),2)</f>
        <v/>
      </c>
      <c r="AW80" s="311">
        <f>INDEX($A$27:$B$246,MATCH(IFERROR(IF(U80+$AW$5&lt;I80,I80,IF(U80+$AW$5&gt;M80,M80,U80+$AW$5)),0),$A$27:$A$246,1),2)</f>
        <v/>
      </c>
      <c r="AX80" s="311">
        <f>INDEX($A$27:$B$246,MATCH(IFERROR(IF(V80+$AW$5&lt;J80,J80,IF(V80+$AW$5&gt;N80,N80,V80+$AW$5)),0),$A$27:$A$246,1),2)</f>
        <v/>
      </c>
      <c r="AY80" s="311">
        <f>INDEX($A$27:$B$246,MATCH(IFERROR(IF(W80+$AW$5&lt;K80,K80,IF(W80+$AW$5&gt;O80,O80,W80+$AW$5)),0),$A$27:$A$246,1),2)</f>
        <v/>
      </c>
      <c r="AZ80" s="311">
        <f>INDEX($A$27:$B$246,MATCH(IFERROR(IF(T80+$BA$5&lt;H80,H80,IF(T80+$BA$5&gt;L80,L80,T80+$BA$5)),0),$A$27:$A$246,1),2)</f>
        <v/>
      </c>
      <c r="BA80" s="311">
        <f>INDEX($A$27:$B$246,MATCH(IFERROR(IF(U80+$BA$5&lt;I80,I80,IF(U80+$BA$5&gt;M80,M80,U80+$BA$5)),0),$A$27:$A$246,1),2)</f>
        <v/>
      </c>
      <c r="BB80" s="311">
        <f>INDEX($A$27:$B$246,MATCH(IFERROR(IF(V80+$BA$5&lt;J80,J80,IF(V80+$BA$5&gt;N80,N80,V80+$BA$5)),0),$A$27:$A$246,1),2)</f>
        <v/>
      </c>
      <c r="BC80" s="311">
        <f>INDEX($A$27:$B$246,MATCH(IFERROR(IF(W80+$BA$5&lt;K80,K80,IF(W80+$BA$5&gt;O80,O80,W80+$BA$5)),0),$A$27:$A$246,1),2)</f>
        <v/>
      </c>
      <c r="BD80" s="311" t="s">
        <v>8</v>
      </c>
      <c r="BE80" s="311" t="s">
        <v>8</v>
      </c>
      <c r="BF80" s="311" t="s">
        <v>8</v>
      </c>
      <c r="BG80" s="311" t="s">
        <v>8</v>
      </c>
    </row>
    <row r="81" spans="1:64">
      <c r="A81" s="313">
        <f>A80+$B$24</f>
        <v/>
      </c>
      <c r="B81" s="313">
        <f>B80+$B$24</f>
        <v/>
      </c>
      <c r="C81" s="314" t="n"/>
      <c r="D81" t="s">
        <v>48</v>
      </c>
      <c r="E81" s="34" t="s">
        <v>48</v>
      </c>
      <c r="F81" s="34" t="s">
        <v>219</v>
      </c>
      <c r="G81" s="34" t="n">
        <v>30</v>
      </c>
      <c r="H81" s="310" t="n">
        <v>1</v>
      </c>
      <c r="I81" s="310" t="n">
        <v>1</v>
      </c>
      <c r="J81" s="310" t="n">
        <v>1</v>
      </c>
      <c r="K81" s="310" t="n">
        <v>1</v>
      </c>
      <c r="L81" s="311">
        <f>H81*$B$1</f>
        <v/>
      </c>
      <c r="M81" s="311">
        <f>I81*$B$1</f>
        <v/>
      </c>
      <c r="N81" s="311">
        <f>J81*$B$1</f>
        <v/>
      </c>
      <c r="O81" s="311">
        <f>K81*$B$1</f>
        <v/>
      </c>
      <c r="P81" s="311">
        <f>IFERROR(MIN(VLOOKUP(E81,Detalle!A:AA,$P$6,0),VLOOKUP(E81,Detalle!A:AA,$P$7,0),VLOOKUP(E81,Detalle!A:AA,$P$4,0)),0)</f>
        <v/>
      </c>
      <c r="Q81" s="311">
        <f>IFERROR(MIN(VLOOKUP(E81,Detalle!A:AA,$Q$6,0),VLOOKUP(E81,Detalle!A:AA,$Q$7,0)),0)</f>
        <v/>
      </c>
      <c r="R81" s="311">
        <f>IFERROR(MIN(VLOOKUP(E81,Detalle!A:AA,$R$6,0),VLOOKUP(E81,Detalle!A:AA,$R$7,0)),0)</f>
        <v/>
      </c>
      <c r="S81" s="311">
        <f>IFERROR(MIN(VLOOKUP(E81,Detalle!A:AA,$S$6,0),VLOOKUP(E81,Detalle!A:AA,$S$7,0)),0)</f>
        <v/>
      </c>
      <c r="T81" s="311">
        <f>IFERROR(MAX(VLOOKUP(E81,Detalle!A:AA,$P$6,0),VLOOKUP(E81,Detalle!A:AA,$P$7,0),VLOOKUP(E81,Detalle!A:AA,$P$4,0)),0)</f>
        <v/>
      </c>
      <c r="U81" s="311">
        <f>IFERROR(MAX(VLOOKUP(E81,Detalle!A:AA,$Q$6,0),VLOOKUP(E81,Detalle!A:AA,$Q$7,0)),0)</f>
        <v/>
      </c>
      <c r="V81" s="311">
        <f>IFERROR(MAX(VLOOKUP(E81,Detalle!A:AA,$R$6,0),VLOOKUP(E81,Detalle!A:AA,$R$7,0)),0)</f>
        <v/>
      </c>
      <c r="W81" s="311">
        <f>IFERROR(MAX(VLOOKUP(E81,Detalle!A:AA,$S$6,0),VLOOKUP(E81,Detalle!A:AA,$S$7,0)),0)</f>
        <v/>
      </c>
      <c r="X81" s="311">
        <f>INDEX($A$27:$B$246,MATCH(IFERROR(IF(P81*(1+$Y$5)&lt;H81,H81,IF(P81*(1+$Y$5)&gt;L81,L81,P81*(1+$Y$5))),0),$A$27:$A$246,1),2)</f>
        <v/>
      </c>
      <c r="Y81" s="311">
        <f>INDEX($A$27:$B$246,MATCH(IFERROR(IF(Q81*(1+$Y$5)&lt;I81,I81,IF(Q81*(1+$Y$5)&gt;M81,M81,Q81*(1+$Y$5))),0),$A$27:$A$246,1),2)</f>
        <v/>
      </c>
      <c r="Z81" s="311">
        <f>INDEX($A$27:$B$246,MATCH(IFERROR(IF(R81*(1+$Y$5)&lt;J81,J81,IF(R81*(1+$Y$5)&gt;N81,N81,R81*(1+$Y$5))),0),$A$27:$A$246,1),2)</f>
        <v/>
      </c>
      <c r="AA81" s="311">
        <f>INDEX($A$27:$B$246,MATCH(IFERROR(IF(S81*(1+$Y$5)&lt;K81,K81,IF(S81*(1+$Y$5)&gt;O81,O81,S81*(1+$Y$5))),0),$A$27:$A$246,1),2)</f>
        <v/>
      </c>
      <c r="AB81" s="311">
        <f>INDEX($A$27:$B$246,MATCH(IFERROR(IF(P81-$AC$5&lt;H81,H81,IF(P81-$AC$5&gt;L81,L81,P81-$AC$5)),0),$A$27:$A$246,1),2)</f>
        <v/>
      </c>
      <c r="AC81" s="311">
        <f>INDEX($A$27:$B$246,MATCH(IFERROR(IF(Q81-$AC$5&lt;I81,I81,IF(Q81-$AC$5&gt;M81,M81,Q81-$AC$5)),0),$A$27:$A$246,1),2)</f>
        <v/>
      </c>
      <c r="AD81" s="311">
        <f>INDEX($A$27:$B$246,MATCH(IFERROR(IF(R81-$AC$5&lt;J81,J81,IF(R81-$AC$5&gt;N81,N81,R81-$AC$5)),0),$A$27:$A$246,1),2)</f>
        <v/>
      </c>
      <c r="AE81" s="311">
        <f>INDEX($A$27:$B$246,MATCH(IFERROR(IF(S81-$AC$5&lt;K81,K81,IF(S81-$AC$5&gt;O81,O81,S81-$AC$5)),0),$A$27:$A$246,1),2)</f>
        <v/>
      </c>
      <c r="AF81" s="311" t="s">
        <v>8</v>
      </c>
      <c r="AG81" s="311" t="s">
        <v>8</v>
      </c>
      <c r="AH81" s="311" t="s">
        <v>8</v>
      </c>
      <c r="AI81" s="311" t="s">
        <v>8</v>
      </c>
      <c r="AJ81" s="311">
        <f>INDEX($A$27:$B$246,MATCH(IFERROR(IF(T81&lt;H81,H81,IF(T81&gt;L81,L81,T81)),0),$A$27:$A$246,1),2)</f>
        <v/>
      </c>
      <c r="AK81" s="311">
        <f>INDEX($A$27:$B$246,MATCH(IFERROR(IF(U81&lt;I81,I81,IF(U81&gt;M81,M81,U81)),0),$A$27:$A$246,1),2)</f>
        <v/>
      </c>
      <c r="AL81" s="311">
        <f>INDEX($A$27:$B$246,MATCH(IFERROR(IF(V81&lt;J81,J81,IF(V81&gt;N81,N81,V81)),0),$A$27:$A$246,1),2)</f>
        <v/>
      </c>
      <c r="AM81" s="311">
        <f>INDEX($A$27:$B$246,MATCH(IFERROR(IF(W81&lt;K81,K81,IF(W81&gt;O81,O81,W81)),0),$A$27:$A$246,1),2)</f>
        <v/>
      </c>
      <c r="AN81" s="311">
        <f>INDEX($A$27:$B$246,MATCH(IFERROR(IF(T81&lt;H81,H81,IF(T81&gt;L81,L81,T81)),0),$A$27:$A$246,1),2)</f>
        <v/>
      </c>
      <c r="AO81" s="311">
        <f>INDEX($A$27:$B$246,MATCH(IFERROR(IF(U81&lt;I81,I81,IF(U81&gt;M81,M81,U81)),0),$A$27:$A$246,1),2)</f>
        <v/>
      </c>
      <c r="AP81" s="311">
        <f>INDEX($A$27:$B$246,MATCH(IFERROR(IF(V81&lt;J81,J81,IF(V81&gt;N81,N81,V81)),0),$A$27:$A$246,1),2)</f>
        <v/>
      </c>
      <c r="AQ81" s="311">
        <f>INDEX($A$27:$B$246,MATCH(IFERROR(IF(W81&lt;K81,K81,IF(W81&gt;O81,O81,W81)),0),$A$27:$A$246,1),2)</f>
        <v/>
      </c>
      <c r="AR81" s="311">
        <f>INDEX($A$27:$B$246,MATCH(IFERROR(IF(T81+$AS$5&lt;H81,H81,IF(T81+$AS$5&gt;L81,L81,T81+$AS$5)),0),$A$27:$A$246,1),2)</f>
        <v/>
      </c>
      <c r="AS81" s="311">
        <f>INDEX($A$27:$B$246,MATCH(IFERROR(IF(U81+$AS$5&lt;I81,I81,IF(U81+$AS$5&gt;M81,M81,U81+$AS$5)),0),$A$27:$A$246,1),2)</f>
        <v/>
      </c>
      <c r="AT81" s="311">
        <f>INDEX($A$27:$B$246,MATCH(IFERROR(IF(V81+$AS$5&lt;J81,J81,IF(V81+$AS$5&gt;N81,N81,V81+$AS$5)),0),$A$27:$A$246,1),2)</f>
        <v/>
      </c>
      <c r="AU81" s="311">
        <f>INDEX($A$27:$B$246,MATCH(IFERROR(IF(W81+$AS$5&lt;K81,K81,IF(W81+$AS$5&gt;O81,O81,W81+$AS$5)),0),$A$27:$A$246,1),2)</f>
        <v/>
      </c>
      <c r="AV81" s="311">
        <f>INDEX($A$27:$B$246,MATCH(IFERROR(IF(T81+$AW$5&lt;H81,H81,IF(T81+$AW$5&gt;L81,L81,T81+$AW$5)),0),$A$27:$A$246,1),2)</f>
        <v/>
      </c>
      <c r="AW81" s="311">
        <f>INDEX($A$27:$B$246,MATCH(IFERROR(IF(U81+$AW$5&lt;I81,I81,IF(U81+$AW$5&gt;M81,M81,U81+$AW$5)),0),$A$27:$A$246,1),2)</f>
        <v/>
      </c>
      <c r="AX81" s="311">
        <f>INDEX($A$27:$B$246,MATCH(IFERROR(IF(V81+$AW$5&lt;J81,J81,IF(V81+$AW$5&gt;N81,N81,V81+$AW$5)),0),$A$27:$A$246,1),2)</f>
        <v/>
      </c>
      <c r="AY81" s="311">
        <f>INDEX($A$27:$B$246,MATCH(IFERROR(IF(W81+$AW$5&lt;K81,K81,IF(W81+$AW$5&gt;O81,O81,W81+$AW$5)),0),$A$27:$A$246,1),2)</f>
        <v/>
      </c>
      <c r="AZ81" s="311">
        <f>INDEX($A$27:$B$246,MATCH(IFERROR(IF(T81+$BA$5&lt;H81,H81,IF(T81+$BA$5&gt;L81,L81,T81+$BA$5)),0),$A$27:$A$246,1),2)</f>
        <v/>
      </c>
      <c r="BA81" s="311">
        <f>INDEX($A$27:$B$246,MATCH(IFERROR(IF(U81+$BA$5&lt;I81,I81,IF(U81+$BA$5&gt;M81,M81,U81+$BA$5)),0),$A$27:$A$246,1),2)</f>
        <v/>
      </c>
      <c r="BB81" s="311">
        <f>INDEX($A$27:$B$246,MATCH(IFERROR(IF(V81+$BA$5&lt;J81,J81,IF(V81+$BA$5&gt;N81,N81,V81+$BA$5)),0),$A$27:$A$246,1),2)</f>
        <v/>
      </c>
      <c r="BC81" s="311">
        <f>INDEX($A$27:$B$246,MATCH(IFERROR(IF(W81+$BA$5&lt;K81,K81,IF(W81+$BA$5&gt;O81,O81,W81+$BA$5)),0),$A$27:$A$246,1),2)</f>
        <v/>
      </c>
      <c r="BD81" s="311" t="s">
        <v>8</v>
      </c>
      <c r="BE81" s="311" t="s">
        <v>8</v>
      </c>
      <c r="BF81" s="311" t="s">
        <v>8</v>
      </c>
      <c r="BG81" s="311" t="s">
        <v>8</v>
      </c>
    </row>
    <row r="82" spans="1:64">
      <c r="A82" s="313">
        <f>A81+$B$24</f>
        <v/>
      </c>
      <c r="B82" s="313">
        <f>B81+$B$24</f>
        <v/>
      </c>
      <c r="C82" s="314" t="n"/>
      <c r="D82" t="s">
        <v>53</v>
      </c>
      <c r="E82" s="34" t="s">
        <v>53</v>
      </c>
      <c r="F82" s="34" t="s">
        <v>219</v>
      </c>
      <c r="G82" s="34" t="n">
        <v>35</v>
      </c>
      <c r="H82" s="310" t="n">
        <v>1</v>
      </c>
      <c r="I82" s="310" t="n">
        <v>1</v>
      </c>
      <c r="J82" s="310" t="n">
        <v>1</v>
      </c>
      <c r="K82" s="310" t="n">
        <v>1</v>
      </c>
      <c r="L82" s="311">
        <f>H82*$B$1</f>
        <v/>
      </c>
      <c r="M82" s="311">
        <f>I82*$B$1</f>
        <v/>
      </c>
      <c r="N82" s="311">
        <f>J82*$B$1</f>
        <v/>
      </c>
      <c r="O82" s="311">
        <f>K82*$B$1</f>
        <v/>
      </c>
      <c r="P82" s="311">
        <f>IFERROR(MIN(VLOOKUP(E82,Detalle!A:AA,$P$6,0),VLOOKUP(E82,Detalle!A:AA,$P$7,0),VLOOKUP(E82,Detalle!A:AA,$P$4,0)),0)</f>
        <v/>
      </c>
      <c r="Q82" s="311">
        <f>IFERROR(MIN(VLOOKUP(E82,Detalle!A:AA,$Q$6,0),VLOOKUP(E82,Detalle!A:AA,$Q$7,0)),0)</f>
        <v/>
      </c>
      <c r="R82" s="311">
        <f>IFERROR(MIN(VLOOKUP(E82,Detalle!A:AA,$R$6,0),VLOOKUP(E82,Detalle!A:AA,$R$7,0)),0)</f>
        <v/>
      </c>
      <c r="S82" s="311">
        <f>IFERROR(MIN(VLOOKUP(E82,Detalle!A:AA,$S$6,0),VLOOKUP(E82,Detalle!A:AA,$S$7,0)),0)</f>
        <v/>
      </c>
      <c r="T82" s="311">
        <f>IFERROR(MAX(VLOOKUP(E82,Detalle!A:AA,$P$6,0),VLOOKUP(E82,Detalle!A:AA,$P$7,0),VLOOKUP(E82,Detalle!A:AA,$P$4,0)),0)</f>
        <v/>
      </c>
      <c r="U82" s="311">
        <f>IFERROR(MAX(VLOOKUP(E82,Detalle!A:AA,$Q$6,0),VLOOKUP(E82,Detalle!A:AA,$Q$7,0)),0)</f>
        <v/>
      </c>
      <c r="V82" s="311">
        <f>IFERROR(MAX(VLOOKUP(E82,Detalle!A:AA,$R$6,0),VLOOKUP(E82,Detalle!A:AA,$R$7,0)),0)</f>
        <v/>
      </c>
      <c r="W82" s="311">
        <f>IFERROR(MAX(VLOOKUP(E82,Detalle!A:AA,$S$6,0),VLOOKUP(E82,Detalle!A:AA,$S$7,0)),0)</f>
        <v/>
      </c>
      <c r="X82" s="311">
        <f>INDEX($A$27:$B$246,MATCH(IFERROR(IF(P82*(1+$Y$5)&lt;H82,H82,IF(P82*(1+$Y$5)&gt;L82,L82,P82*(1+$Y$5))),0),$A$27:$A$246,1),2)</f>
        <v/>
      </c>
      <c r="Y82" s="311">
        <f>INDEX($A$27:$B$246,MATCH(IFERROR(IF(Q82*(1+$Y$5)&lt;I82,I82,IF(Q82*(1+$Y$5)&gt;M82,M82,Q82*(1+$Y$5))),0),$A$27:$A$246,1),2)</f>
        <v/>
      </c>
      <c r="Z82" s="311">
        <f>INDEX($A$27:$B$246,MATCH(IFERROR(IF(R82*(1+$Y$5)&lt;J82,J82,IF(R82*(1+$Y$5)&gt;N82,N82,R82*(1+$Y$5))),0),$A$27:$A$246,1),2)</f>
        <v/>
      </c>
      <c r="AA82" s="311">
        <f>INDEX($A$27:$B$246,MATCH(IFERROR(IF(S82*(1+$Y$5)&lt;K82,K82,IF(S82*(1+$Y$5)&gt;O82,O82,S82*(1+$Y$5))),0),$A$27:$A$246,1),2)</f>
        <v/>
      </c>
      <c r="AB82" s="311">
        <f>INDEX($A$27:$B$246,MATCH(IFERROR(IF(P82-$AC$5&lt;H82,H82,IF(P82-$AC$5&gt;L82,L82,P82-$AC$5)),0),$A$27:$A$246,1),2)</f>
        <v/>
      </c>
      <c r="AC82" s="311">
        <f>INDEX($A$27:$B$246,MATCH(IFERROR(IF(Q82-$AC$5&lt;I82,I82,IF(Q82-$AC$5&gt;M82,M82,Q82-$AC$5)),0),$A$27:$A$246,1),2)</f>
        <v/>
      </c>
      <c r="AD82" s="311">
        <f>INDEX($A$27:$B$246,MATCH(IFERROR(IF(R82-$AC$5&lt;J82,J82,IF(R82-$AC$5&gt;N82,N82,R82-$AC$5)),0),$A$27:$A$246,1),2)</f>
        <v/>
      </c>
      <c r="AE82" s="311">
        <f>INDEX($A$27:$B$246,MATCH(IFERROR(IF(S82-$AC$5&lt;K82,K82,IF(S82-$AC$5&gt;O82,O82,S82-$AC$5)),0),$A$27:$A$246,1),2)</f>
        <v/>
      </c>
      <c r="AF82" s="311" t="s">
        <v>8</v>
      </c>
      <c r="AG82" s="311" t="s">
        <v>8</v>
      </c>
      <c r="AH82" s="311" t="s">
        <v>8</v>
      </c>
      <c r="AI82" s="311" t="s">
        <v>8</v>
      </c>
      <c r="AJ82" s="311">
        <f>INDEX($A$27:$B$246,MATCH(IFERROR(IF(T82&lt;H82,H82,IF(T82&gt;L82,L82,T82)),0),$A$27:$A$246,1),2)</f>
        <v/>
      </c>
      <c r="AK82" s="311">
        <f>INDEX($A$27:$B$246,MATCH(IFERROR(IF(U82&lt;I82,I82,IF(U82&gt;M82,M82,U82)),0),$A$27:$A$246,1),2)</f>
        <v/>
      </c>
      <c r="AL82" s="311">
        <f>INDEX($A$27:$B$246,MATCH(IFERROR(IF(V82&lt;J82,J82,IF(V82&gt;N82,N82,V82)),0),$A$27:$A$246,1),2)</f>
        <v/>
      </c>
      <c r="AM82" s="311">
        <f>INDEX($A$27:$B$246,MATCH(IFERROR(IF(W82&lt;K82,K82,IF(W82&gt;O82,O82,W82)),0),$A$27:$A$246,1),2)</f>
        <v/>
      </c>
      <c r="AN82" s="311">
        <f>INDEX($A$27:$B$246,MATCH(IFERROR(IF(T82&lt;H82,H82,IF(T82&gt;L82,L82,T82)),0),$A$27:$A$246,1),2)</f>
        <v/>
      </c>
      <c r="AO82" s="311">
        <f>INDEX($A$27:$B$246,MATCH(IFERROR(IF(U82&lt;I82,I82,IF(U82&gt;M82,M82,U82)),0),$A$27:$A$246,1),2)</f>
        <v/>
      </c>
      <c r="AP82" s="311">
        <f>INDEX($A$27:$B$246,MATCH(IFERROR(IF(V82&lt;J82,J82,IF(V82&gt;N82,N82,V82)),0),$A$27:$A$246,1),2)</f>
        <v/>
      </c>
      <c r="AQ82" s="311">
        <f>INDEX($A$27:$B$246,MATCH(IFERROR(IF(W82&lt;K82,K82,IF(W82&gt;O82,O82,W82)),0),$A$27:$A$246,1),2)</f>
        <v/>
      </c>
      <c r="AR82" s="311">
        <f>INDEX($A$27:$B$246,MATCH(IFERROR(IF(T82+$AS$5&lt;H82,H82,IF(T82+$AS$5&gt;L82,L82,T82+$AS$5)),0),$A$27:$A$246,1),2)</f>
        <v/>
      </c>
      <c r="AS82" s="311">
        <f>INDEX($A$27:$B$246,MATCH(IFERROR(IF(U82+$AS$5&lt;I82,I82,IF(U82+$AS$5&gt;M82,M82,U82+$AS$5)),0),$A$27:$A$246,1),2)</f>
        <v/>
      </c>
      <c r="AT82" s="311">
        <f>INDEX($A$27:$B$246,MATCH(IFERROR(IF(V82+$AS$5&lt;J82,J82,IF(V82+$AS$5&gt;N82,N82,V82+$AS$5)),0),$A$27:$A$246,1),2)</f>
        <v/>
      </c>
      <c r="AU82" s="311">
        <f>INDEX($A$27:$B$246,MATCH(IFERROR(IF(W82+$AS$5&lt;K82,K82,IF(W82+$AS$5&gt;O82,O82,W82+$AS$5)),0),$A$27:$A$246,1),2)</f>
        <v/>
      </c>
      <c r="AV82" s="311">
        <f>INDEX($A$27:$B$246,MATCH(IFERROR(IF(T82+$AW$5&lt;H82,H82,IF(T82+$AW$5&gt;L82,L82,T82+$AW$5)),0),$A$27:$A$246,1),2)</f>
        <v/>
      </c>
      <c r="AW82" s="311">
        <f>INDEX($A$27:$B$246,MATCH(IFERROR(IF(U82+$AW$5&lt;I82,I82,IF(U82+$AW$5&gt;M82,M82,U82+$AW$5)),0),$A$27:$A$246,1),2)</f>
        <v/>
      </c>
      <c r="AX82" s="311">
        <f>INDEX($A$27:$B$246,MATCH(IFERROR(IF(V82+$AW$5&lt;J82,J82,IF(V82+$AW$5&gt;N82,N82,V82+$AW$5)),0),$A$27:$A$246,1),2)</f>
        <v/>
      </c>
      <c r="AY82" s="311">
        <f>INDEX($A$27:$B$246,MATCH(IFERROR(IF(W82+$AW$5&lt;K82,K82,IF(W82+$AW$5&gt;O82,O82,W82+$AW$5)),0),$A$27:$A$246,1),2)</f>
        <v/>
      </c>
      <c r="AZ82" s="311">
        <f>INDEX($A$27:$B$246,MATCH(IFERROR(IF(T82+$BA$5&lt;H82,H82,IF(T82+$BA$5&gt;L82,L82,T82+$BA$5)),0),$A$27:$A$246,1),2)</f>
        <v/>
      </c>
      <c r="BA82" s="311">
        <f>INDEX($A$27:$B$246,MATCH(IFERROR(IF(U82+$BA$5&lt;I82,I82,IF(U82+$BA$5&gt;M82,M82,U82+$BA$5)),0),$A$27:$A$246,1),2)</f>
        <v/>
      </c>
      <c r="BB82" s="311">
        <f>INDEX($A$27:$B$246,MATCH(IFERROR(IF(V82+$BA$5&lt;J82,J82,IF(V82+$BA$5&gt;N82,N82,V82+$BA$5)),0),$A$27:$A$246,1),2)</f>
        <v/>
      </c>
      <c r="BC82" s="311">
        <f>INDEX($A$27:$B$246,MATCH(IFERROR(IF(W82+$BA$5&lt;K82,K82,IF(W82+$BA$5&gt;O82,O82,W82+$BA$5)),0),$A$27:$A$246,1),2)</f>
        <v/>
      </c>
      <c r="BD82" s="311" t="s">
        <v>8</v>
      </c>
      <c r="BE82" s="311" t="s">
        <v>8</v>
      </c>
      <c r="BF82" s="311" t="s">
        <v>8</v>
      </c>
      <c r="BG82" s="311" t="s">
        <v>8</v>
      </c>
    </row>
    <row r="83" spans="1:64">
      <c r="A83" s="313">
        <f>A82+$B$24</f>
        <v/>
      </c>
      <c r="B83" s="313">
        <f>B82+$B$24</f>
        <v/>
      </c>
      <c r="C83" s="314" t="n"/>
      <c r="D83" t="s">
        <v>55</v>
      </c>
      <c r="E83" s="34" t="s">
        <v>55</v>
      </c>
      <c r="F83" s="34" t="s">
        <v>219</v>
      </c>
      <c r="G83" s="34" t="n">
        <v>38</v>
      </c>
      <c r="H83" s="310" t="n">
        <v>1</v>
      </c>
      <c r="I83" s="310" t="n">
        <v>1</v>
      </c>
      <c r="J83" s="310" t="n">
        <v>1</v>
      </c>
      <c r="K83" s="310" t="n">
        <v>1</v>
      </c>
      <c r="L83" s="311">
        <f>H83*$B$1</f>
        <v/>
      </c>
      <c r="M83" s="311">
        <f>I83*$B$1</f>
        <v/>
      </c>
      <c r="N83" s="311">
        <f>J83*$B$1</f>
        <v/>
      </c>
      <c r="O83" s="311">
        <f>K83*$B$1</f>
        <v/>
      </c>
      <c r="P83" s="311">
        <f>IFERROR(MIN(VLOOKUP(E83,Detalle!A:AA,$P$6,0),VLOOKUP(E83,Detalle!A:AA,$P$7,0),VLOOKUP(E83,Detalle!A:AA,$P$4,0)),0)</f>
        <v/>
      </c>
      <c r="Q83" s="311">
        <f>IFERROR(MIN(VLOOKUP(E83,Detalle!A:AA,$Q$6,0),VLOOKUP(E83,Detalle!A:AA,$Q$7,0)),0)</f>
        <v/>
      </c>
      <c r="R83" s="311">
        <f>IFERROR(MIN(VLOOKUP(E83,Detalle!A:AA,$R$6,0),VLOOKUP(E83,Detalle!A:AA,$R$7,0)),0)</f>
        <v/>
      </c>
      <c r="S83" s="311">
        <f>IFERROR(MIN(VLOOKUP(E83,Detalle!A:AA,$S$6,0),VLOOKUP(E83,Detalle!A:AA,$S$7,0)),0)</f>
        <v/>
      </c>
      <c r="T83" s="311">
        <f>IFERROR(MAX(VLOOKUP(E83,Detalle!A:AA,$P$6,0),VLOOKUP(E83,Detalle!A:AA,$P$7,0),VLOOKUP(E83,Detalle!A:AA,$P$4,0)),0)</f>
        <v/>
      </c>
      <c r="U83" s="311">
        <f>IFERROR(MAX(VLOOKUP(E83,Detalle!A:AA,$Q$6,0),VLOOKUP(E83,Detalle!A:AA,$Q$7,0)),0)</f>
        <v/>
      </c>
      <c r="V83" s="311">
        <f>IFERROR(MAX(VLOOKUP(E83,Detalle!A:AA,$R$6,0),VLOOKUP(E83,Detalle!A:AA,$R$7,0)),0)</f>
        <v/>
      </c>
      <c r="W83" s="311">
        <f>IFERROR(MAX(VLOOKUP(E83,Detalle!A:AA,$S$6,0),VLOOKUP(E83,Detalle!A:AA,$S$7,0)),0)</f>
        <v/>
      </c>
      <c r="X83" s="311">
        <f>INDEX($A$27:$B$246,MATCH(IFERROR(IF(P83*(1+$Y$5)&lt;H83,H83,IF(P83*(1+$Y$5)&gt;L83,L83,P83*(1+$Y$5))),0),$A$27:$A$246,1),2)</f>
        <v/>
      </c>
      <c r="Y83" s="311">
        <f>INDEX($A$27:$B$246,MATCH(IFERROR(IF(Q83*(1+$Y$5)&lt;I83,I83,IF(Q83*(1+$Y$5)&gt;M83,M83,Q83*(1+$Y$5))),0),$A$27:$A$246,1),2)</f>
        <v/>
      </c>
      <c r="Z83" s="311">
        <f>INDEX($A$27:$B$246,MATCH(IFERROR(IF(R83*(1+$Y$5)&lt;J83,J83,IF(R83*(1+$Y$5)&gt;N83,N83,R83*(1+$Y$5))),0),$A$27:$A$246,1),2)</f>
        <v/>
      </c>
      <c r="AA83" s="311">
        <f>INDEX($A$27:$B$246,MATCH(IFERROR(IF(S83*(1+$Y$5)&lt;K83,K83,IF(S83*(1+$Y$5)&gt;O83,O83,S83*(1+$Y$5))),0),$A$27:$A$246,1),2)</f>
        <v/>
      </c>
      <c r="AB83" s="311">
        <f>INDEX($A$27:$B$246,MATCH(IFERROR(IF(P83-$AC$5&lt;H83,H83,IF(P83-$AC$5&gt;L83,L83,P83-$AC$5)),0),$A$27:$A$246,1),2)</f>
        <v/>
      </c>
      <c r="AC83" s="311">
        <f>INDEX($A$27:$B$246,MATCH(IFERROR(IF(Q83-$AC$5&lt;I83,I83,IF(Q83-$AC$5&gt;M83,M83,Q83-$AC$5)),0),$A$27:$A$246,1),2)</f>
        <v/>
      </c>
      <c r="AD83" s="311">
        <f>INDEX($A$27:$B$246,MATCH(IFERROR(IF(R83-$AC$5&lt;J83,J83,IF(R83-$AC$5&gt;N83,N83,R83-$AC$5)),0),$A$27:$A$246,1),2)</f>
        <v/>
      </c>
      <c r="AE83" s="311">
        <f>INDEX($A$27:$B$246,MATCH(IFERROR(IF(S83-$AC$5&lt;K83,K83,IF(S83-$AC$5&gt;O83,O83,S83-$AC$5)),0),$A$27:$A$246,1),2)</f>
        <v/>
      </c>
      <c r="AF83" s="311" t="s">
        <v>8</v>
      </c>
      <c r="AG83" s="311" t="s">
        <v>8</v>
      </c>
      <c r="AH83" s="311" t="s">
        <v>8</v>
      </c>
      <c r="AI83" s="311" t="s">
        <v>8</v>
      </c>
      <c r="AJ83" s="311">
        <f>INDEX($A$27:$B$246,MATCH(IFERROR(IF(T83&lt;H83,H83,IF(T83&gt;L83,L83,T83)),0),$A$27:$A$246,1),2)</f>
        <v/>
      </c>
      <c r="AK83" s="311">
        <f>INDEX($A$27:$B$246,MATCH(IFERROR(IF(U83&lt;I83,I83,IF(U83&gt;M83,M83,U83)),0),$A$27:$A$246,1),2)</f>
        <v/>
      </c>
      <c r="AL83" s="311">
        <f>INDEX($A$27:$B$246,MATCH(IFERROR(IF(V83&lt;J83,J83,IF(V83&gt;N83,N83,V83)),0),$A$27:$A$246,1),2)</f>
        <v/>
      </c>
      <c r="AM83" s="311">
        <f>INDEX($A$27:$B$246,MATCH(IFERROR(IF(W83&lt;K83,K83,IF(W83&gt;O83,O83,W83)),0),$A$27:$A$246,1),2)</f>
        <v/>
      </c>
      <c r="AN83" s="311">
        <f>INDEX($A$27:$B$246,MATCH(IFERROR(IF(T83&lt;H83,H83,IF(T83&gt;L83,L83,T83)),0),$A$27:$A$246,1),2)</f>
        <v/>
      </c>
      <c r="AO83" s="311">
        <f>INDEX($A$27:$B$246,MATCH(IFERROR(IF(U83&lt;I83,I83,IF(U83&gt;M83,M83,U83)),0),$A$27:$A$246,1),2)</f>
        <v/>
      </c>
      <c r="AP83" s="311">
        <f>INDEX($A$27:$B$246,MATCH(IFERROR(IF(V83&lt;J83,J83,IF(V83&gt;N83,N83,V83)),0),$A$27:$A$246,1),2)</f>
        <v/>
      </c>
      <c r="AQ83" s="311">
        <f>INDEX($A$27:$B$246,MATCH(IFERROR(IF(W83&lt;K83,K83,IF(W83&gt;O83,O83,W83)),0),$A$27:$A$246,1),2)</f>
        <v/>
      </c>
      <c r="AR83" s="311">
        <f>INDEX($A$27:$B$246,MATCH(IFERROR(IF(T83+$AS$5&lt;H83,H83,IF(T83+$AS$5&gt;L83,L83,T83+$AS$5)),0),$A$27:$A$246,1),2)</f>
        <v/>
      </c>
      <c r="AS83" s="311">
        <f>INDEX($A$27:$B$246,MATCH(IFERROR(IF(U83+$AS$5&lt;I83,I83,IF(U83+$AS$5&gt;M83,M83,U83+$AS$5)),0),$A$27:$A$246,1),2)</f>
        <v/>
      </c>
      <c r="AT83" s="311">
        <f>INDEX($A$27:$B$246,MATCH(IFERROR(IF(V83+$AS$5&lt;J83,J83,IF(V83+$AS$5&gt;N83,N83,V83+$AS$5)),0),$A$27:$A$246,1),2)</f>
        <v/>
      </c>
      <c r="AU83" s="311">
        <f>INDEX($A$27:$B$246,MATCH(IFERROR(IF(W83+$AS$5&lt;K83,K83,IF(W83+$AS$5&gt;O83,O83,W83+$AS$5)),0),$A$27:$A$246,1),2)</f>
        <v/>
      </c>
      <c r="AV83" s="311">
        <f>INDEX($A$27:$B$246,MATCH(IFERROR(IF(T83+$AW$5&lt;H83,H83,IF(T83+$AW$5&gt;L83,L83,T83+$AW$5)),0),$A$27:$A$246,1),2)</f>
        <v/>
      </c>
      <c r="AW83" s="311">
        <f>INDEX($A$27:$B$246,MATCH(IFERROR(IF(U83+$AW$5&lt;I83,I83,IF(U83+$AW$5&gt;M83,M83,U83+$AW$5)),0),$A$27:$A$246,1),2)</f>
        <v/>
      </c>
      <c r="AX83" s="311">
        <f>INDEX($A$27:$B$246,MATCH(IFERROR(IF(V83+$AW$5&lt;J83,J83,IF(V83+$AW$5&gt;N83,N83,V83+$AW$5)),0),$A$27:$A$246,1),2)</f>
        <v/>
      </c>
      <c r="AY83" s="311">
        <f>INDEX($A$27:$B$246,MATCH(IFERROR(IF(W83+$AW$5&lt;K83,K83,IF(W83+$AW$5&gt;O83,O83,W83+$AW$5)),0),$A$27:$A$246,1),2)</f>
        <v/>
      </c>
      <c r="AZ83" s="311">
        <f>INDEX($A$27:$B$246,MATCH(IFERROR(IF(T83+$BA$5&lt;H83,H83,IF(T83+$BA$5&gt;L83,L83,T83+$BA$5)),0),$A$27:$A$246,1),2)</f>
        <v/>
      </c>
      <c r="BA83" s="311">
        <f>INDEX($A$27:$B$246,MATCH(IFERROR(IF(U83+$BA$5&lt;I83,I83,IF(U83+$BA$5&gt;M83,M83,U83+$BA$5)),0),$A$27:$A$246,1),2)</f>
        <v/>
      </c>
      <c r="BB83" s="311">
        <f>INDEX($A$27:$B$246,MATCH(IFERROR(IF(V83+$BA$5&lt;J83,J83,IF(V83+$BA$5&gt;N83,N83,V83+$BA$5)),0),$A$27:$A$246,1),2)</f>
        <v/>
      </c>
      <c r="BC83" s="311">
        <f>INDEX($A$27:$B$246,MATCH(IFERROR(IF(W83+$BA$5&lt;K83,K83,IF(W83+$BA$5&gt;O83,O83,W83+$BA$5)),0),$A$27:$A$246,1),2)</f>
        <v/>
      </c>
      <c r="BD83" s="311" t="s">
        <v>8</v>
      </c>
      <c r="BE83" s="311" t="s">
        <v>8</v>
      </c>
      <c r="BF83" s="311" t="s">
        <v>8</v>
      </c>
      <c r="BG83" s="311" t="s">
        <v>8</v>
      </c>
    </row>
    <row r="84" spans="1:64">
      <c r="A84" s="313">
        <f>A83+$B$24</f>
        <v/>
      </c>
      <c r="B84" s="313">
        <f>B83+$B$24</f>
        <v/>
      </c>
      <c r="C84" s="314" t="n"/>
      <c r="D84" t="s">
        <v>56</v>
      </c>
      <c r="E84" s="34" t="s">
        <v>56</v>
      </c>
      <c r="F84" s="34" t="s">
        <v>219</v>
      </c>
      <c r="G84" s="34" t="n">
        <v>40</v>
      </c>
      <c r="H84" s="310" t="n">
        <v>1</v>
      </c>
      <c r="I84" s="310" t="n">
        <v>1</v>
      </c>
      <c r="J84" s="310" t="n">
        <v>1</v>
      </c>
      <c r="K84" s="310" t="n">
        <v>1</v>
      </c>
      <c r="L84" s="311">
        <f>H84*$B$1</f>
        <v/>
      </c>
      <c r="M84" s="311">
        <f>I84*$B$1</f>
        <v/>
      </c>
      <c r="N84" s="311">
        <f>J84*$B$1</f>
        <v/>
      </c>
      <c r="O84" s="311">
        <f>K84*$B$1</f>
        <v/>
      </c>
      <c r="P84" s="311">
        <f>IFERROR(MIN(VLOOKUP(E84,Detalle!A:AA,$P$6,0),VLOOKUP(E84,Detalle!A:AA,$P$7,0),VLOOKUP(E84,Detalle!A:AA,$P$4,0)),0)</f>
        <v/>
      </c>
      <c r="Q84" s="311">
        <f>IFERROR(MIN(VLOOKUP(E84,Detalle!A:AA,$Q$6,0),VLOOKUP(E84,Detalle!A:AA,$Q$7,0)),0)</f>
        <v/>
      </c>
      <c r="R84" s="311">
        <f>IFERROR(MIN(VLOOKUP(E84,Detalle!A:AA,$R$6,0),VLOOKUP(E84,Detalle!A:AA,$R$7,0)),0)</f>
        <v/>
      </c>
      <c r="S84" s="311">
        <f>IFERROR(MIN(VLOOKUP(E84,Detalle!A:AA,$S$6,0),VLOOKUP(E84,Detalle!A:AA,$S$7,0)),0)</f>
        <v/>
      </c>
      <c r="T84" s="311">
        <f>IFERROR(MAX(VLOOKUP(E84,Detalle!A:AA,$P$6,0),VLOOKUP(E84,Detalle!A:AA,$P$7,0),VLOOKUP(E84,Detalle!A:AA,$P$4,0)),0)</f>
        <v/>
      </c>
      <c r="U84" s="311">
        <f>IFERROR(MAX(VLOOKUP(E84,Detalle!A:AA,$Q$6,0),VLOOKUP(E84,Detalle!A:AA,$Q$7,0)),0)</f>
        <v/>
      </c>
      <c r="V84" s="311">
        <f>IFERROR(MAX(VLOOKUP(E84,Detalle!A:AA,$R$6,0),VLOOKUP(E84,Detalle!A:AA,$R$7,0)),0)</f>
        <v/>
      </c>
      <c r="W84" s="311">
        <f>IFERROR(MAX(VLOOKUP(E84,Detalle!A:AA,$S$6,0),VLOOKUP(E84,Detalle!A:AA,$S$7,0)),0)</f>
        <v/>
      </c>
      <c r="X84" s="311">
        <f>INDEX($A$27:$B$246,MATCH(IFERROR(IF(P84*(1+$Y$5)&lt;H84,H84,IF(P84*(1+$Y$5)&gt;L84,L84,P84*(1+$Y$5))),0),$A$27:$A$246,1),2)</f>
        <v/>
      </c>
      <c r="Y84" s="311">
        <f>INDEX($A$27:$B$246,MATCH(IFERROR(IF(Q84*(1+$Y$5)&lt;I84,I84,IF(Q84*(1+$Y$5)&gt;M84,M84,Q84*(1+$Y$5))),0),$A$27:$A$246,1),2)</f>
        <v/>
      </c>
      <c r="Z84" s="311">
        <f>INDEX($A$27:$B$246,MATCH(IFERROR(IF(R84*(1+$Y$5)&lt;J84,J84,IF(R84*(1+$Y$5)&gt;N84,N84,R84*(1+$Y$5))),0),$A$27:$A$246,1),2)</f>
        <v/>
      </c>
      <c r="AA84" s="311">
        <f>INDEX($A$27:$B$246,MATCH(IFERROR(IF(S84*(1+$Y$5)&lt;K84,K84,IF(S84*(1+$Y$5)&gt;O84,O84,S84*(1+$Y$5))),0),$A$27:$A$246,1),2)</f>
        <v/>
      </c>
      <c r="AB84" s="311">
        <f>INDEX($A$27:$B$246,MATCH(IFERROR(IF(P84-$AC$5&lt;H84,H84,IF(P84-$AC$5&gt;L84,L84,P84-$AC$5)),0),$A$27:$A$246,1),2)</f>
        <v/>
      </c>
      <c r="AC84" s="311">
        <f>INDEX($A$27:$B$246,MATCH(IFERROR(IF(Q84-$AC$5&lt;I84,I84,IF(Q84-$AC$5&gt;M84,M84,Q84-$AC$5)),0),$A$27:$A$246,1),2)</f>
        <v/>
      </c>
      <c r="AD84" s="311">
        <f>INDEX($A$27:$B$246,MATCH(IFERROR(IF(R84-$AC$5&lt;J84,J84,IF(R84-$AC$5&gt;N84,N84,R84-$AC$5)),0),$A$27:$A$246,1),2)</f>
        <v/>
      </c>
      <c r="AE84" s="311">
        <f>INDEX($A$27:$B$246,MATCH(IFERROR(IF(S84-$AC$5&lt;K84,K84,IF(S84-$AC$5&gt;O84,O84,S84-$AC$5)),0),$A$27:$A$246,1),2)</f>
        <v/>
      </c>
      <c r="AF84" s="311" t="s">
        <v>8</v>
      </c>
      <c r="AG84" s="311" t="s">
        <v>8</v>
      </c>
      <c r="AH84" s="311" t="s">
        <v>8</v>
      </c>
      <c r="AI84" s="311" t="s">
        <v>8</v>
      </c>
      <c r="AJ84" s="311">
        <f>INDEX($A$27:$B$246,MATCH(IFERROR(IF(T84&lt;H84,H84,IF(T84&gt;L84,L84,T84)),0),$A$27:$A$246,1),2)</f>
        <v/>
      </c>
      <c r="AK84" s="311">
        <f>INDEX($A$27:$B$246,MATCH(IFERROR(IF(U84&lt;I84,I84,IF(U84&gt;M84,M84,U84)),0),$A$27:$A$246,1),2)</f>
        <v/>
      </c>
      <c r="AL84" s="311">
        <f>INDEX($A$27:$B$246,MATCH(IFERROR(IF(V84&lt;J84,J84,IF(V84&gt;N84,N84,V84)),0),$A$27:$A$246,1),2)</f>
        <v/>
      </c>
      <c r="AM84" s="311">
        <f>INDEX($A$27:$B$246,MATCH(IFERROR(IF(W84&lt;K84,K84,IF(W84&gt;O84,O84,W84)),0),$A$27:$A$246,1),2)</f>
        <v/>
      </c>
      <c r="AN84" s="311">
        <f>INDEX($A$27:$B$246,MATCH(IFERROR(IF(T84&lt;H84,H84,IF(T84&gt;L84,L84,T84)),0),$A$27:$A$246,1),2)</f>
        <v/>
      </c>
      <c r="AO84" s="311">
        <f>INDEX($A$27:$B$246,MATCH(IFERROR(IF(U84&lt;I84,I84,IF(U84&gt;M84,M84,U84)),0),$A$27:$A$246,1),2)</f>
        <v/>
      </c>
      <c r="AP84" s="311">
        <f>INDEX($A$27:$B$246,MATCH(IFERROR(IF(V84&lt;J84,J84,IF(V84&gt;N84,N84,V84)),0),$A$27:$A$246,1),2)</f>
        <v/>
      </c>
      <c r="AQ84" s="311">
        <f>INDEX($A$27:$B$246,MATCH(IFERROR(IF(W84&lt;K84,K84,IF(W84&gt;O84,O84,W84)),0),$A$27:$A$246,1),2)</f>
        <v/>
      </c>
      <c r="AR84" s="311">
        <f>INDEX($A$27:$B$246,MATCH(IFERROR(IF(T84+$AS$5&lt;H84,H84,IF(T84+$AS$5&gt;L84,L84,T84+$AS$5)),0),$A$27:$A$246,1),2)</f>
        <v/>
      </c>
      <c r="AS84" s="311">
        <f>INDEX($A$27:$B$246,MATCH(IFERROR(IF(U84+$AS$5&lt;I84,I84,IF(U84+$AS$5&gt;M84,M84,U84+$AS$5)),0),$A$27:$A$246,1),2)</f>
        <v/>
      </c>
      <c r="AT84" s="311">
        <f>INDEX($A$27:$B$246,MATCH(IFERROR(IF(V84+$AS$5&lt;J84,J84,IF(V84+$AS$5&gt;N84,N84,V84+$AS$5)),0),$A$27:$A$246,1),2)</f>
        <v/>
      </c>
      <c r="AU84" s="311">
        <f>INDEX($A$27:$B$246,MATCH(IFERROR(IF(W84+$AS$5&lt;K84,K84,IF(W84+$AS$5&gt;O84,O84,W84+$AS$5)),0),$A$27:$A$246,1),2)</f>
        <v/>
      </c>
      <c r="AV84" s="311">
        <f>INDEX($A$27:$B$246,MATCH(IFERROR(IF(T84+$AW$5&lt;H84,H84,IF(T84+$AW$5&gt;L84,L84,T84+$AW$5)),0),$A$27:$A$246,1),2)</f>
        <v/>
      </c>
      <c r="AW84" s="311">
        <f>INDEX($A$27:$B$246,MATCH(IFERROR(IF(U84+$AW$5&lt;I84,I84,IF(U84+$AW$5&gt;M84,M84,U84+$AW$5)),0),$A$27:$A$246,1),2)</f>
        <v/>
      </c>
      <c r="AX84" s="311">
        <f>INDEX($A$27:$B$246,MATCH(IFERROR(IF(V84+$AW$5&lt;J84,J84,IF(V84+$AW$5&gt;N84,N84,V84+$AW$5)),0),$A$27:$A$246,1),2)</f>
        <v/>
      </c>
      <c r="AY84" s="311">
        <f>INDEX($A$27:$B$246,MATCH(IFERROR(IF(W84+$AW$5&lt;K84,K84,IF(W84+$AW$5&gt;O84,O84,W84+$AW$5)),0),$A$27:$A$246,1),2)</f>
        <v/>
      </c>
      <c r="AZ84" s="311">
        <f>INDEX($A$27:$B$246,MATCH(IFERROR(IF(T84+$BA$5&lt;H84,H84,IF(T84+$BA$5&gt;L84,L84,T84+$BA$5)),0),$A$27:$A$246,1),2)</f>
        <v/>
      </c>
      <c r="BA84" s="311">
        <f>INDEX($A$27:$B$246,MATCH(IFERROR(IF(U84+$BA$5&lt;I84,I84,IF(U84+$BA$5&gt;M84,M84,U84+$BA$5)),0),$A$27:$A$246,1),2)</f>
        <v/>
      </c>
      <c r="BB84" s="311">
        <f>INDEX($A$27:$B$246,MATCH(IFERROR(IF(V84+$BA$5&lt;J84,J84,IF(V84+$BA$5&gt;N84,N84,V84+$BA$5)),0),$A$27:$A$246,1),2)</f>
        <v/>
      </c>
      <c r="BC84" s="311">
        <f>INDEX($A$27:$B$246,MATCH(IFERROR(IF(W84+$BA$5&lt;K84,K84,IF(W84+$BA$5&gt;O84,O84,W84+$BA$5)),0),$A$27:$A$246,1),2)</f>
        <v/>
      </c>
      <c r="BD84" s="311" t="s">
        <v>8</v>
      </c>
      <c r="BE84" s="311" t="s">
        <v>8</v>
      </c>
      <c r="BF84" s="311" t="s">
        <v>8</v>
      </c>
      <c r="BG84" s="311" t="s">
        <v>8</v>
      </c>
    </row>
    <row r="85" spans="1:64">
      <c r="A85" s="313">
        <f>A84+$B$24</f>
        <v/>
      </c>
      <c r="B85" s="313">
        <f>B84+$B$24</f>
        <v/>
      </c>
      <c r="C85" s="314" t="n"/>
      <c r="D85" t="s">
        <v>57</v>
      </c>
      <c r="E85" s="34" t="s">
        <v>57</v>
      </c>
      <c r="F85" s="34" t="s">
        <v>219</v>
      </c>
      <c r="G85" s="34" t="n">
        <v>44</v>
      </c>
      <c r="H85" s="310" t="n">
        <v>1</v>
      </c>
      <c r="I85" s="310" t="n">
        <v>1</v>
      </c>
      <c r="J85" s="310" t="n">
        <v>1</v>
      </c>
      <c r="K85" s="310" t="n">
        <v>1</v>
      </c>
      <c r="L85" s="311">
        <f>H85*$B$1</f>
        <v/>
      </c>
      <c r="M85" s="311">
        <f>I85*$B$1</f>
        <v/>
      </c>
      <c r="N85" s="311">
        <f>J85*$B$1</f>
        <v/>
      </c>
      <c r="O85" s="311">
        <f>K85*$B$1</f>
        <v/>
      </c>
      <c r="P85" s="311">
        <f>IFERROR(MIN(VLOOKUP(E85,Detalle!A:AA,$P$6,0),VLOOKUP(E85,Detalle!A:AA,$P$7,0),VLOOKUP(E85,Detalle!A:AA,$P$4,0)),0)</f>
        <v/>
      </c>
      <c r="Q85" s="311">
        <f>IFERROR(MIN(VLOOKUP(E85,Detalle!A:AA,$Q$6,0),VLOOKUP(E85,Detalle!A:AA,$Q$7,0)),0)</f>
        <v/>
      </c>
      <c r="R85" s="311">
        <f>IFERROR(MIN(VLOOKUP(E85,Detalle!A:AA,$R$6,0),VLOOKUP(E85,Detalle!A:AA,$R$7,0)),0)</f>
        <v/>
      </c>
      <c r="S85" s="311">
        <f>IFERROR(MIN(VLOOKUP(E85,Detalle!A:AA,$S$6,0),VLOOKUP(E85,Detalle!A:AA,$S$7,0)),0)</f>
        <v/>
      </c>
      <c r="T85" s="311">
        <f>IFERROR(MAX(VLOOKUP(E85,Detalle!A:AA,$P$6,0),VLOOKUP(E85,Detalle!A:AA,$P$7,0),VLOOKUP(E85,Detalle!A:AA,$P$4,0)),0)</f>
        <v/>
      </c>
      <c r="U85" s="311">
        <f>IFERROR(MAX(VLOOKUP(E85,Detalle!A:AA,$Q$6,0),VLOOKUP(E85,Detalle!A:AA,$Q$7,0)),0)</f>
        <v/>
      </c>
      <c r="V85" s="311">
        <f>IFERROR(MAX(VLOOKUP(E85,Detalle!A:AA,$R$6,0),VLOOKUP(E85,Detalle!A:AA,$R$7,0)),0)</f>
        <v/>
      </c>
      <c r="W85" s="311">
        <f>IFERROR(MAX(VLOOKUP(E85,Detalle!A:AA,$S$6,0),VLOOKUP(E85,Detalle!A:AA,$S$7,0)),0)</f>
        <v/>
      </c>
      <c r="X85" s="311">
        <f>INDEX($A$27:$B$246,MATCH(IFERROR(IF(P85*(1+$Y$5)&lt;H85,H85,IF(P85*(1+$Y$5)&gt;L85,L85,P85*(1+$Y$5))),0),$A$27:$A$246,1),2)</f>
        <v/>
      </c>
      <c r="Y85" s="311">
        <f>INDEX($A$27:$B$246,MATCH(IFERROR(IF(Q85*(1+$Y$5)&lt;I85,I85,IF(Q85*(1+$Y$5)&gt;M85,M85,Q85*(1+$Y$5))),0),$A$27:$A$246,1),2)</f>
        <v/>
      </c>
      <c r="Z85" s="311">
        <f>INDEX($A$27:$B$246,MATCH(IFERROR(IF(R85*(1+$Y$5)&lt;J85,J85,IF(R85*(1+$Y$5)&gt;N85,N85,R85*(1+$Y$5))),0),$A$27:$A$246,1),2)</f>
        <v/>
      </c>
      <c r="AA85" s="311">
        <f>INDEX($A$27:$B$246,MATCH(IFERROR(IF(S85*(1+$Y$5)&lt;K85,K85,IF(S85*(1+$Y$5)&gt;O85,O85,S85*(1+$Y$5))),0),$A$27:$A$246,1),2)</f>
        <v/>
      </c>
      <c r="AB85" s="311">
        <f>INDEX($A$27:$B$246,MATCH(IFERROR(IF(P85-$AC$5&lt;H85,H85,IF(P85-$AC$5&gt;L85,L85,P85-$AC$5)),0),$A$27:$A$246,1),2)</f>
        <v/>
      </c>
      <c r="AC85" s="311">
        <f>INDEX($A$27:$B$246,MATCH(IFERROR(IF(Q85-$AC$5&lt;I85,I85,IF(Q85-$AC$5&gt;M85,M85,Q85-$AC$5)),0),$A$27:$A$246,1),2)</f>
        <v/>
      </c>
      <c r="AD85" s="311">
        <f>INDEX($A$27:$B$246,MATCH(IFERROR(IF(R85-$AC$5&lt;J85,J85,IF(R85-$AC$5&gt;N85,N85,R85-$AC$5)),0),$A$27:$A$246,1),2)</f>
        <v/>
      </c>
      <c r="AE85" s="311">
        <f>INDEX($A$27:$B$246,MATCH(IFERROR(IF(S85-$AC$5&lt;K85,K85,IF(S85-$AC$5&gt;O85,O85,S85-$AC$5)),0),$A$27:$A$246,1),2)</f>
        <v/>
      </c>
      <c r="AF85" s="311" t="s">
        <v>8</v>
      </c>
      <c r="AG85" s="311" t="s">
        <v>8</v>
      </c>
      <c r="AH85" s="311" t="s">
        <v>8</v>
      </c>
      <c r="AI85" s="311" t="s">
        <v>8</v>
      </c>
      <c r="AJ85" s="311">
        <f>INDEX($A$27:$B$246,MATCH(IFERROR(IF(T85&lt;H85,H85,IF(T85&gt;L85,L85,T85)),0),$A$27:$A$246,1),2)</f>
        <v/>
      </c>
      <c r="AK85" s="311">
        <f>INDEX($A$27:$B$246,MATCH(IFERROR(IF(U85&lt;I85,I85,IF(U85&gt;M85,M85,U85)),0),$A$27:$A$246,1),2)</f>
        <v/>
      </c>
      <c r="AL85" s="311">
        <f>INDEX($A$27:$B$246,MATCH(IFERROR(IF(V85&lt;J85,J85,IF(V85&gt;N85,N85,V85)),0),$A$27:$A$246,1),2)</f>
        <v/>
      </c>
      <c r="AM85" s="311">
        <f>INDEX($A$27:$B$246,MATCH(IFERROR(IF(W85&lt;K85,K85,IF(W85&gt;O85,O85,W85)),0),$A$27:$A$246,1),2)</f>
        <v/>
      </c>
      <c r="AN85" s="311">
        <f>INDEX($A$27:$B$246,MATCH(IFERROR(IF(T85&lt;H85,H85,IF(T85&gt;L85,L85,T85)),0),$A$27:$A$246,1),2)</f>
        <v/>
      </c>
      <c r="AO85" s="311">
        <f>INDEX($A$27:$B$246,MATCH(IFERROR(IF(U85&lt;I85,I85,IF(U85&gt;M85,M85,U85)),0),$A$27:$A$246,1),2)</f>
        <v/>
      </c>
      <c r="AP85" s="311">
        <f>INDEX($A$27:$B$246,MATCH(IFERROR(IF(V85&lt;J85,J85,IF(V85&gt;N85,N85,V85)),0),$A$27:$A$246,1),2)</f>
        <v/>
      </c>
      <c r="AQ85" s="311">
        <f>INDEX($A$27:$B$246,MATCH(IFERROR(IF(W85&lt;K85,K85,IF(W85&gt;O85,O85,W85)),0),$A$27:$A$246,1),2)</f>
        <v/>
      </c>
      <c r="AR85" s="311">
        <f>INDEX($A$27:$B$246,MATCH(IFERROR(IF(T85+$AS$5&lt;H85,H85,IF(T85+$AS$5&gt;L85,L85,T85+$AS$5)),0),$A$27:$A$246,1),2)</f>
        <v/>
      </c>
      <c r="AS85" s="311">
        <f>INDEX($A$27:$B$246,MATCH(IFERROR(IF(U85+$AS$5&lt;I85,I85,IF(U85+$AS$5&gt;M85,M85,U85+$AS$5)),0),$A$27:$A$246,1),2)</f>
        <v/>
      </c>
      <c r="AT85" s="311">
        <f>INDEX($A$27:$B$246,MATCH(IFERROR(IF(V85+$AS$5&lt;J85,J85,IF(V85+$AS$5&gt;N85,N85,V85+$AS$5)),0),$A$27:$A$246,1),2)</f>
        <v/>
      </c>
      <c r="AU85" s="311">
        <f>INDEX($A$27:$B$246,MATCH(IFERROR(IF(W85+$AS$5&lt;K85,K85,IF(W85+$AS$5&gt;O85,O85,W85+$AS$5)),0),$A$27:$A$246,1),2)</f>
        <v/>
      </c>
      <c r="AV85" s="311">
        <f>INDEX($A$27:$B$246,MATCH(IFERROR(IF(T85+$AW$5&lt;H85,H85,IF(T85+$AW$5&gt;L85,L85,T85+$AW$5)),0),$A$27:$A$246,1),2)</f>
        <v/>
      </c>
      <c r="AW85" s="311">
        <f>INDEX($A$27:$B$246,MATCH(IFERROR(IF(U85+$AW$5&lt;I85,I85,IF(U85+$AW$5&gt;M85,M85,U85+$AW$5)),0),$A$27:$A$246,1),2)</f>
        <v/>
      </c>
      <c r="AX85" s="311">
        <f>INDEX($A$27:$B$246,MATCH(IFERROR(IF(V85+$AW$5&lt;J85,J85,IF(V85+$AW$5&gt;N85,N85,V85+$AW$5)),0),$A$27:$A$246,1),2)</f>
        <v/>
      </c>
      <c r="AY85" s="311">
        <f>INDEX($A$27:$B$246,MATCH(IFERROR(IF(W85+$AW$5&lt;K85,K85,IF(W85+$AW$5&gt;O85,O85,W85+$AW$5)),0),$A$27:$A$246,1),2)</f>
        <v/>
      </c>
      <c r="AZ85" s="311">
        <f>INDEX($A$27:$B$246,MATCH(IFERROR(IF(T85+$BA$5&lt;H85,H85,IF(T85+$BA$5&gt;L85,L85,T85+$BA$5)),0),$A$27:$A$246,1),2)</f>
        <v/>
      </c>
      <c r="BA85" s="311">
        <f>INDEX($A$27:$B$246,MATCH(IFERROR(IF(U85+$BA$5&lt;I85,I85,IF(U85+$BA$5&gt;M85,M85,U85+$BA$5)),0),$A$27:$A$246,1),2)</f>
        <v/>
      </c>
      <c r="BB85" s="311">
        <f>INDEX($A$27:$B$246,MATCH(IFERROR(IF(V85+$BA$5&lt;J85,J85,IF(V85+$BA$5&gt;N85,N85,V85+$BA$5)),0),$A$27:$A$246,1),2)</f>
        <v/>
      </c>
      <c r="BC85" s="311">
        <f>INDEX($A$27:$B$246,MATCH(IFERROR(IF(W85+$BA$5&lt;K85,K85,IF(W85+$BA$5&gt;O85,O85,W85+$BA$5)),0),$A$27:$A$246,1),2)</f>
        <v/>
      </c>
      <c r="BD85" s="311" t="s">
        <v>8</v>
      </c>
      <c r="BE85" s="311" t="s">
        <v>8</v>
      </c>
      <c r="BF85" s="311" t="s">
        <v>8</v>
      </c>
      <c r="BG85" s="311" t="s">
        <v>8</v>
      </c>
    </row>
    <row r="86" spans="1:64">
      <c r="A86" s="313">
        <f>A85+$B$24</f>
        <v/>
      </c>
      <c r="B86" s="313">
        <f>B85+$B$24</f>
        <v/>
      </c>
      <c r="C86" s="314" t="n"/>
      <c r="D86" t="s">
        <v>59</v>
      </c>
      <c r="E86" s="34" t="s">
        <v>59</v>
      </c>
      <c r="F86" s="34" t="s">
        <v>227</v>
      </c>
      <c r="G86" s="34" t="n">
        <v>216</v>
      </c>
      <c r="H86" s="310" t="n">
        <v>1</v>
      </c>
      <c r="I86" s="310" t="n">
        <v>1</v>
      </c>
      <c r="J86" s="310" t="n">
        <v>1</v>
      </c>
      <c r="K86" s="310" t="n">
        <v>1</v>
      </c>
      <c r="L86" s="311">
        <f>H86*$B$1</f>
        <v/>
      </c>
      <c r="M86" s="311">
        <f>I86*$B$1</f>
        <v/>
      </c>
      <c r="N86" s="311">
        <f>J86*$B$1</f>
        <v/>
      </c>
      <c r="O86" s="311">
        <f>K86*$B$1</f>
        <v/>
      </c>
      <c r="P86" s="311">
        <f>IFERROR(MIN(VLOOKUP(E86,Detalle!A:AA,$P$6,0),VLOOKUP(E86,Detalle!A:AA,$P$7,0),VLOOKUP(E86,Detalle!A:AA,$P$4,0)),0)</f>
        <v/>
      </c>
      <c r="Q86" s="311">
        <f>IFERROR(MIN(VLOOKUP(E86,Detalle!A:AA,$Q$6,0),VLOOKUP(E86,Detalle!A:AA,$Q$7,0)),0)</f>
        <v/>
      </c>
      <c r="R86" s="311">
        <f>IFERROR(MIN(VLOOKUP(E86,Detalle!A:AA,$R$6,0),VLOOKUP(E86,Detalle!A:AA,$R$7,0)),0)</f>
        <v/>
      </c>
      <c r="S86" s="311">
        <f>IFERROR(MIN(VLOOKUP(E86,Detalle!A:AA,$S$6,0),VLOOKUP(E86,Detalle!A:AA,$S$7,0)),0)</f>
        <v/>
      </c>
      <c r="T86" s="311">
        <f>IFERROR(MAX(VLOOKUP(E86,Detalle!A:AA,$P$6,0),VLOOKUP(E86,Detalle!A:AA,$P$7,0),VLOOKUP(E86,Detalle!A:AA,$P$4,0)),0)</f>
        <v/>
      </c>
      <c r="U86" s="311">
        <f>IFERROR(MAX(VLOOKUP(E86,Detalle!A:AA,$Q$6,0),VLOOKUP(E86,Detalle!A:AA,$Q$7,0)),0)</f>
        <v/>
      </c>
      <c r="V86" s="311">
        <f>IFERROR(MAX(VLOOKUP(E86,Detalle!A:AA,$R$6,0),VLOOKUP(E86,Detalle!A:AA,$R$7,0)),0)</f>
        <v/>
      </c>
      <c r="W86" s="311">
        <f>IFERROR(MAX(VLOOKUP(E86,Detalle!A:AA,$S$6,0),VLOOKUP(E86,Detalle!A:AA,$S$7,0)),0)</f>
        <v/>
      </c>
      <c r="X86" s="311">
        <f>INDEX($A$27:$B$246,MATCH(IFERROR(IF(P86*(1+$Y$5)&lt;H86,H86,IF(P86*(1+$Y$5)&gt;L86,L86,P86*(1+$Y$5))),0),$A$27:$A$246,1),2)</f>
        <v/>
      </c>
      <c r="Y86" s="311">
        <f>INDEX($A$27:$B$246,MATCH(IFERROR(IF(Q86*(1+$Y$5)&lt;I86,I86,IF(Q86*(1+$Y$5)&gt;M86,M86,Q86*(1+$Y$5))),0),$A$27:$A$246,1),2)</f>
        <v/>
      </c>
      <c r="Z86" s="311">
        <f>INDEX($A$27:$B$246,MATCH(IFERROR(IF(R86*(1+$Y$5)&lt;J86,J86,IF(R86*(1+$Y$5)&gt;N86,N86,R86*(1+$Y$5))),0),$A$27:$A$246,1),2)</f>
        <v/>
      </c>
      <c r="AA86" s="311">
        <f>INDEX($A$27:$B$246,MATCH(IFERROR(IF(S86*(1+$Y$5)&lt;K86,K86,IF(S86*(1+$Y$5)&gt;O86,O86,S86*(1+$Y$5))),0),$A$27:$A$246,1),2)</f>
        <v/>
      </c>
      <c r="AB86" s="311">
        <f>INDEX($A$27:$B$246,MATCH(IFERROR(IF(P86-$AC$5&lt;H86,H86,IF(P86-$AC$5&gt;L86,L86,P86-$AC$5)),0),$A$27:$A$246,1),2)</f>
        <v/>
      </c>
      <c r="AC86" s="311">
        <f>INDEX($A$27:$B$246,MATCH(IFERROR(IF(Q86-$AC$5&lt;I86,I86,IF(Q86-$AC$5&gt;M86,M86,Q86-$AC$5)),0),$A$27:$A$246,1),2)</f>
        <v/>
      </c>
      <c r="AD86" s="311">
        <f>INDEX($A$27:$B$246,MATCH(IFERROR(IF(R86-$AC$5&lt;J86,J86,IF(R86-$AC$5&gt;N86,N86,R86-$AC$5)),0),$A$27:$A$246,1),2)</f>
        <v/>
      </c>
      <c r="AE86" s="311">
        <f>INDEX($A$27:$B$246,MATCH(IFERROR(IF(S86-$AC$5&lt;K86,K86,IF(S86-$AC$5&gt;O86,O86,S86-$AC$5)),0),$A$27:$A$246,1),2)</f>
        <v/>
      </c>
      <c r="AF86" s="311" t="s">
        <v>8</v>
      </c>
      <c r="AG86" s="311" t="s">
        <v>8</v>
      </c>
      <c r="AH86" s="311" t="s">
        <v>8</v>
      </c>
      <c r="AI86" s="311" t="s">
        <v>8</v>
      </c>
      <c r="AJ86" s="311">
        <f>INDEX($A$27:$B$246,MATCH(IFERROR(IF(T86&lt;H86,H86,IF(T86&gt;L86,L86,T86)),0),$A$27:$A$246,1),2)</f>
        <v/>
      </c>
      <c r="AK86" s="311">
        <f>INDEX($A$27:$B$246,MATCH(IFERROR(IF(U86&lt;I86,I86,IF(U86&gt;M86,M86,U86)),0),$A$27:$A$246,1),2)</f>
        <v/>
      </c>
      <c r="AL86" s="311">
        <f>INDEX($A$27:$B$246,MATCH(IFERROR(IF(V86&lt;J86,J86,IF(V86&gt;N86,N86,V86)),0),$A$27:$A$246,1),2)</f>
        <v/>
      </c>
      <c r="AM86" s="311">
        <f>INDEX($A$27:$B$246,MATCH(IFERROR(IF(W86&lt;K86,K86,IF(W86&gt;O86,O86,W86)),0),$A$27:$A$246,1),2)</f>
        <v/>
      </c>
      <c r="AN86" s="311">
        <f>INDEX($A$27:$B$246,MATCH(IFERROR(IF(T86&lt;H86,H86,IF(T86&gt;L86,L86,T86)),0),$A$27:$A$246,1),2)</f>
        <v/>
      </c>
      <c r="AO86" s="311">
        <f>INDEX($A$27:$B$246,MATCH(IFERROR(IF(U86&lt;I86,I86,IF(U86&gt;M86,M86,U86)),0),$A$27:$A$246,1),2)</f>
        <v/>
      </c>
      <c r="AP86" s="311">
        <f>INDEX($A$27:$B$246,MATCH(IFERROR(IF(V86&lt;J86,J86,IF(V86&gt;N86,N86,V86)),0),$A$27:$A$246,1),2)</f>
        <v/>
      </c>
      <c r="AQ86" s="311">
        <f>INDEX($A$27:$B$246,MATCH(IFERROR(IF(W86&lt;K86,K86,IF(W86&gt;O86,O86,W86)),0),$A$27:$A$246,1),2)</f>
        <v/>
      </c>
      <c r="AR86" s="311">
        <f>INDEX($A$27:$B$246,MATCH(IFERROR(IF(T86+$AS$5&lt;H86,H86,IF(T86+$AS$5&gt;L86,L86,T86+$AS$5)),0),$A$27:$A$246,1),2)</f>
        <v/>
      </c>
      <c r="AS86" s="311">
        <f>INDEX($A$27:$B$246,MATCH(IFERROR(IF(U86+$AS$5&lt;I86,I86,IF(U86+$AS$5&gt;M86,M86,U86+$AS$5)),0),$A$27:$A$246,1),2)</f>
        <v/>
      </c>
      <c r="AT86" s="311">
        <f>INDEX($A$27:$B$246,MATCH(IFERROR(IF(V86+$AS$5&lt;J86,J86,IF(V86+$AS$5&gt;N86,N86,V86+$AS$5)),0),$A$27:$A$246,1),2)</f>
        <v/>
      </c>
      <c r="AU86" s="311">
        <f>INDEX($A$27:$B$246,MATCH(IFERROR(IF(W86+$AS$5&lt;K86,K86,IF(W86+$AS$5&gt;O86,O86,W86+$AS$5)),0),$A$27:$A$246,1),2)</f>
        <v/>
      </c>
      <c r="AV86" s="311">
        <f>INDEX($A$27:$B$246,MATCH(IFERROR(IF(T86+$AW$5&lt;H86,H86,IF(T86+$AW$5&gt;L86,L86,T86+$AW$5)),0),$A$27:$A$246,1),2)</f>
        <v/>
      </c>
      <c r="AW86" s="311">
        <f>INDEX($A$27:$B$246,MATCH(IFERROR(IF(U86+$AW$5&lt;I86,I86,IF(U86+$AW$5&gt;M86,M86,U86+$AW$5)),0),$A$27:$A$246,1),2)</f>
        <v/>
      </c>
      <c r="AX86" s="311">
        <f>INDEX($A$27:$B$246,MATCH(IFERROR(IF(V86+$AW$5&lt;J86,J86,IF(V86+$AW$5&gt;N86,N86,V86+$AW$5)),0),$A$27:$A$246,1),2)</f>
        <v/>
      </c>
      <c r="AY86" s="311">
        <f>INDEX($A$27:$B$246,MATCH(IFERROR(IF(W86+$AW$5&lt;K86,K86,IF(W86+$AW$5&gt;O86,O86,W86+$AW$5)),0),$A$27:$A$246,1),2)</f>
        <v/>
      </c>
      <c r="AZ86" s="311">
        <f>INDEX($A$27:$B$246,MATCH(IFERROR(IF(T86+$BA$5&lt;H86,H86,IF(T86+$BA$5&gt;L86,L86,T86+$BA$5)),0),$A$27:$A$246,1),2)</f>
        <v/>
      </c>
      <c r="BA86" s="311">
        <f>INDEX($A$27:$B$246,MATCH(IFERROR(IF(U86+$BA$5&lt;I86,I86,IF(U86+$BA$5&gt;M86,M86,U86+$BA$5)),0),$A$27:$A$246,1),2)</f>
        <v/>
      </c>
      <c r="BB86" s="311">
        <f>INDEX($A$27:$B$246,MATCH(IFERROR(IF(V86+$BA$5&lt;J86,J86,IF(V86+$BA$5&gt;N86,N86,V86+$BA$5)),0),$A$27:$A$246,1),2)</f>
        <v/>
      </c>
      <c r="BC86" s="311">
        <f>INDEX($A$27:$B$246,MATCH(IFERROR(IF(W86+$BA$5&lt;K86,K86,IF(W86+$BA$5&gt;O86,O86,W86+$BA$5)),0),$A$27:$A$246,1),2)</f>
        <v/>
      </c>
      <c r="BD86" s="311" t="s">
        <v>8</v>
      </c>
      <c r="BE86" s="311" t="s">
        <v>8</v>
      </c>
      <c r="BF86" s="311" t="s">
        <v>8</v>
      </c>
      <c r="BG86" s="311" t="s">
        <v>8</v>
      </c>
    </row>
    <row r="87" spans="1:64">
      <c r="A87" s="313">
        <f>A86+$B$24</f>
        <v/>
      </c>
      <c r="B87" s="313">
        <f>B86+$B$24</f>
        <v/>
      </c>
      <c r="C87" s="314" t="n"/>
      <c r="D87" t="s">
        <v>60</v>
      </c>
      <c r="E87" s="34" t="s">
        <v>60</v>
      </c>
      <c r="F87" s="34" t="s">
        <v>227</v>
      </c>
      <c r="G87" s="34" t="n">
        <v>237</v>
      </c>
      <c r="H87" s="310" t="n">
        <v>1</v>
      </c>
      <c r="I87" s="310" t="n">
        <v>1</v>
      </c>
      <c r="J87" s="310" t="n">
        <v>1</v>
      </c>
      <c r="K87" s="310" t="n">
        <v>1</v>
      </c>
      <c r="L87" s="311">
        <f>H87*$B$1</f>
        <v/>
      </c>
      <c r="M87" s="311">
        <f>I87*$B$1</f>
        <v/>
      </c>
      <c r="N87" s="311">
        <f>J87*$B$1</f>
        <v/>
      </c>
      <c r="O87" s="311">
        <f>K87*$B$1</f>
        <v/>
      </c>
      <c r="P87" s="311">
        <f>IFERROR(MIN(VLOOKUP(E87,Detalle!A:AA,$P$6,0),VLOOKUP(E87,Detalle!A:AA,$P$7,0),VLOOKUP(E87,Detalle!A:AA,$P$4,0)),0)</f>
        <v/>
      </c>
      <c r="Q87" s="311">
        <f>IFERROR(MIN(VLOOKUP(E87,Detalle!A:AA,$Q$6,0),VLOOKUP(E87,Detalle!A:AA,$Q$7,0)),0)</f>
        <v/>
      </c>
      <c r="R87" s="311">
        <f>IFERROR(MIN(VLOOKUP(E87,Detalle!A:AA,$R$6,0),VLOOKUP(E87,Detalle!A:AA,$R$7,0)),0)</f>
        <v/>
      </c>
      <c r="S87" s="311">
        <f>IFERROR(MIN(VLOOKUP(E87,Detalle!A:AA,$S$6,0),VLOOKUP(E87,Detalle!A:AA,$S$7,0)),0)</f>
        <v/>
      </c>
      <c r="T87" s="311">
        <f>IFERROR(MAX(VLOOKUP(E87,Detalle!A:AA,$P$6,0),VLOOKUP(E87,Detalle!A:AA,$P$7,0),VLOOKUP(E87,Detalle!A:AA,$P$4,0)),0)</f>
        <v/>
      </c>
      <c r="U87" s="311">
        <f>IFERROR(MAX(VLOOKUP(E87,Detalle!A:AA,$Q$6,0),VLOOKUP(E87,Detalle!A:AA,$Q$7,0)),0)</f>
        <v/>
      </c>
      <c r="V87" s="311">
        <f>IFERROR(MAX(VLOOKUP(E87,Detalle!A:AA,$R$6,0),VLOOKUP(E87,Detalle!A:AA,$R$7,0)),0)</f>
        <v/>
      </c>
      <c r="W87" s="311">
        <f>IFERROR(MAX(VLOOKUP(E87,Detalle!A:AA,$S$6,0),VLOOKUP(E87,Detalle!A:AA,$S$7,0)),0)</f>
        <v/>
      </c>
      <c r="X87" s="311">
        <f>INDEX($A$27:$B$246,MATCH(IFERROR(IF(P87*(1+$Y$5)&lt;H87,H87,IF(P87*(1+$Y$5)&gt;L87,L87,P87*(1+$Y$5))),0),$A$27:$A$246,1),2)</f>
        <v/>
      </c>
      <c r="Y87" s="311">
        <f>INDEX($A$27:$B$246,MATCH(IFERROR(IF(Q87*(1+$Y$5)&lt;I87,I87,IF(Q87*(1+$Y$5)&gt;M87,M87,Q87*(1+$Y$5))),0),$A$27:$A$246,1),2)</f>
        <v/>
      </c>
      <c r="Z87" s="311">
        <f>INDEX($A$27:$B$246,MATCH(IFERROR(IF(R87*(1+$Y$5)&lt;J87,J87,IF(R87*(1+$Y$5)&gt;N87,N87,R87*(1+$Y$5))),0),$A$27:$A$246,1),2)</f>
        <v/>
      </c>
      <c r="AA87" s="311">
        <f>INDEX($A$27:$B$246,MATCH(IFERROR(IF(S87*(1+$Y$5)&lt;K87,K87,IF(S87*(1+$Y$5)&gt;O87,O87,S87*(1+$Y$5))),0),$A$27:$A$246,1),2)</f>
        <v/>
      </c>
      <c r="AB87" s="311">
        <f>INDEX($A$27:$B$246,MATCH(IFERROR(IF(P87-$AC$5&lt;H87,H87,IF(P87-$AC$5&gt;L87,L87,P87-$AC$5)),0),$A$27:$A$246,1),2)</f>
        <v/>
      </c>
      <c r="AC87" s="311">
        <f>INDEX($A$27:$B$246,MATCH(IFERROR(IF(Q87-$AC$5&lt;I87,I87,IF(Q87-$AC$5&gt;M87,M87,Q87-$AC$5)),0),$A$27:$A$246,1),2)</f>
        <v/>
      </c>
      <c r="AD87" s="311">
        <f>INDEX($A$27:$B$246,MATCH(IFERROR(IF(R87-$AC$5&lt;J87,J87,IF(R87-$AC$5&gt;N87,N87,R87-$AC$5)),0),$A$27:$A$246,1),2)</f>
        <v/>
      </c>
      <c r="AE87" s="311">
        <f>INDEX($A$27:$B$246,MATCH(IFERROR(IF(S87-$AC$5&lt;K87,K87,IF(S87-$AC$5&gt;O87,O87,S87-$AC$5)),0),$A$27:$A$246,1),2)</f>
        <v/>
      </c>
      <c r="AF87" s="311" t="s">
        <v>8</v>
      </c>
      <c r="AG87" s="311" t="s">
        <v>8</v>
      </c>
      <c r="AH87" s="311" t="s">
        <v>8</v>
      </c>
      <c r="AI87" s="311" t="s">
        <v>8</v>
      </c>
      <c r="AJ87" s="311">
        <f>INDEX($A$27:$B$246,MATCH(IFERROR(IF(T87&lt;H87,H87,IF(T87&gt;L87,L87,T87)),0),$A$27:$A$246,1),2)</f>
        <v/>
      </c>
      <c r="AK87" s="311">
        <f>INDEX($A$27:$B$246,MATCH(IFERROR(IF(U87&lt;I87,I87,IF(U87&gt;M87,M87,U87)),0),$A$27:$A$246,1),2)</f>
        <v/>
      </c>
      <c r="AL87" s="311">
        <f>INDEX($A$27:$B$246,MATCH(IFERROR(IF(V87&lt;J87,J87,IF(V87&gt;N87,N87,V87)),0),$A$27:$A$246,1),2)</f>
        <v/>
      </c>
      <c r="AM87" s="311">
        <f>INDEX($A$27:$B$246,MATCH(IFERROR(IF(W87&lt;K87,K87,IF(W87&gt;O87,O87,W87)),0),$A$27:$A$246,1),2)</f>
        <v/>
      </c>
      <c r="AN87" s="311">
        <f>INDEX($A$27:$B$246,MATCH(IFERROR(IF(T87&lt;H87,H87,IF(T87&gt;L87,L87,T87)),0),$A$27:$A$246,1),2)</f>
        <v/>
      </c>
      <c r="AO87" s="311">
        <f>INDEX($A$27:$B$246,MATCH(IFERROR(IF(U87&lt;I87,I87,IF(U87&gt;M87,M87,U87)),0),$A$27:$A$246,1),2)</f>
        <v/>
      </c>
      <c r="AP87" s="311">
        <f>INDEX($A$27:$B$246,MATCH(IFERROR(IF(V87&lt;J87,J87,IF(V87&gt;N87,N87,V87)),0),$A$27:$A$246,1),2)</f>
        <v/>
      </c>
      <c r="AQ87" s="311">
        <f>INDEX($A$27:$B$246,MATCH(IFERROR(IF(W87&lt;K87,K87,IF(W87&gt;O87,O87,W87)),0),$A$27:$A$246,1),2)</f>
        <v/>
      </c>
      <c r="AR87" s="311">
        <f>INDEX($A$27:$B$246,MATCH(IFERROR(IF(T87+$AS$5&lt;H87,H87,IF(T87+$AS$5&gt;L87,L87,T87+$AS$5)),0),$A$27:$A$246,1),2)</f>
        <v/>
      </c>
      <c r="AS87" s="311">
        <f>INDEX($A$27:$B$246,MATCH(IFERROR(IF(U87+$AS$5&lt;I87,I87,IF(U87+$AS$5&gt;M87,M87,U87+$AS$5)),0),$A$27:$A$246,1),2)</f>
        <v/>
      </c>
      <c r="AT87" s="311">
        <f>INDEX($A$27:$B$246,MATCH(IFERROR(IF(V87+$AS$5&lt;J87,J87,IF(V87+$AS$5&gt;N87,N87,V87+$AS$5)),0),$A$27:$A$246,1),2)</f>
        <v/>
      </c>
      <c r="AU87" s="311">
        <f>INDEX($A$27:$B$246,MATCH(IFERROR(IF(W87+$AS$5&lt;K87,K87,IF(W87+$AS$5&gt;O87,O87,W87+$AS$5)),0),$A$27:$A$246,1),2)</f>
        <v/>
      </c>
      <c r="AV87" s="311">
        <f>INDEX($A$27:$B$246,MATCH(IFERROR(IF(T87+$AW$5&lt;H87,H87,IF(T87+$AW$5&gt;L87,L87,T87+$AW$5)),0),$A$27:$A$246,1),2)</f>
        <v/>
      </c>
      <c r="AW87" s="311">
        <f>INDEX($A$27:$B$246,MATCH(IFERROR(IF(U87+$AW$5&lt;I87,I87,IF(U87+$AW$5&gt;M87,M87,U87+$AW$5)),0),$A$27:$A$246,1),2)</f>
        <v/>
      </c>
      <c r="AX87" s="311">
        <f>INDEX($A$27:$B$246,MATCH(IFERROR(IF(V87+$AW$5&lt;J87,J87,IF(V87+$AW$5&gt;N87,N87,V87+$AW$5)),0),$A$27:$A$246,1),2)</f>
        <v/>
      </c>
      <c r="AY87" s="311">
        <f>INDEX($A$27:$B$246,MATCH(IFERROR(IF(W87+$AW$5&lt;K87,K87,IF(W87+$AW$5&gt;O87,O87,W87+$AW$5)),0),$A$27:$A$246,1),2)</f>
        <v/>
      </c>
      <c r="AZ87" s="311">
        <f>INDEX($A$27:$B$246,MATCH(IFERROR(IF(T87+$BA$5&lt;H87,H87,IF(T87+$BA$5&gt;L87,L87,T87+$BA$5)),0),$A$27:$A$246,1),2)</f>
        <v/>
      </c>
      <c r="BA87" s="311">
        <f>INDEX($A$27:$B$246,MATCH(IFERROR(IF(U87+$BA$5&lt;I87,I87,IF(U87+$BA$5&gt;M87,M87,U87+$BA$5)),0),$A$27:$A$246,1),2)</f>
        <v/>
      </c>
      <c r="BB87" s="311">
        <f>INDEX($A$27:$B$246,MATCH(IFERROR(IF(V87+$BA$5&lt;J87,J87,IF(V87+$BA$5&gt;N87,N87,V87+$BA$5)),0),$A$27:$A$246,1),2)</f>
        <v/>
      </c>
      <c r="BC87" s="311">
        <f>INDEX($A$27:$B$246,MATCH(IFERROR(IF(W87+$BA$5&lt;K87,K87,IF(W87+$BA$5&gt;O87,O87,W87+$BA$5)),0),$A$27:$A$246,1),2)</f>
        <v/>
      </c>
      <c r="BD87" s="311" t="s">
        <v>8</v>
      </c>
      <c r="BE87" s="311" t="s">
        <v>8</v>
      </c>
      <c r="BF87" s="311" t="s">
        <v>8</v>
      </c>
      <c r="BG87" s="311" t="s">
        <v>8</v>
      </c>
    </row>
    <row r="88" spans="1:64">
      <c r="A88" s="313">
        <f>A87+$B$24</f>
        <v/>
      </c>
      <c r="B88" s="313">
        <f>B87+$B$24</f>
        <v/>
      </c>
      <c r="C88" s="314" t="n"/>
      <c r="D88" t="s">
        <v>62</v>
      </c>
      <c r="E88" s="34" t="s">
        <v>62</v>
      </c>
      <c r="F88" s="34" t="s">
        <v>227</v>
      </c>
      <c r="G88" s="34" t="n">
        <v>246</v>
      </c>
      <c r="H88" s="310" t="n">
        <v>1</v>
      </c>
      <c r="I88" s="310" t="n">
        <v>1</v>
      </c>
      <c r="J88" s="310" t="n">
        <v>1</v>
      </c>
      <c r="K88" s="310" t="n">
        <v>1</v>
      </c>
      <c r="L88" s="311">
        <f>H88*$B$1</f>
        <v/>
      </c>
      <c r="M88" s="311">
        <f>I88*$B$1</f>
        <v/>
      </c>
      <c r="N88" s="311">
        <f>J88*$B$1</f>
        <v/>
      </c>
      <c r="O88" s="311">
        <f>K88*$B$1</f>
        <v/>
      </c>
      <c r="P88" s="311">
        <f>IFERROR(MIN(VLOOKUP(E88,Detalle!A:AA,$P$6,0),VLOOKUP(E88,Detalle!A:AA,$P$7,0),VLOOKUP(E88,Detalle!A:AA,$P$4,0)),0)</f>
        <v/>
      </c>
      <c r="Q88" s="311">
        <f>IFERROR(MIN(VLOOKUP(E88,Detalle!A:AA,$Q$6,0),VLOOKUP(E88,Detalle!A:AA,$Q$7,0)),0)</f>
        <v/>
      </c>
      <c r="R88" s="311">
        <f>IFERROR(MIN(VLOOKUP(E88,Detalle!A:AA,$R$6,0),VLOOKUP(E88,Detalle!A:AA,$R$7,0)),0)</f>
        <v/>
      </c>
      <c r="S88" s="311">
        <f>IFERROR(MIN(VLOOKUP(E88,Detalle!A:AA,$S$6,0),VLOOKUP(E88,Detalle!A:AA,$S$7,0)),0)</f>
        <v/>
      </c>
      <c r="T88" s="311">
        <f>IFERROR(MAX(VLOOKUP(E88,Detalle!A:AA,$P$6,0),VLOOKUP(E88,Detalle!A:AA,$P$7,0),VLOOKUP(E88,Detalle!A:AA,$P$4,0)),0)</f>
        <v/>
      </c>
      <c r="U88" s="311">
        <f>IFERROR(MAX(VLOOKUP(E88,Detalle!A:AA,$Q$6,0),VLOOKUP(E88,Detalle!A:AA,$Q$7,0)),0)</f>
        <v/>
      </c>
      <c r="V88" s="311">
        <f>IFERROR(MAX(VLOOKUP(E88,Detalle!A:AA,$R$6,0),VLOOKUP(E88,Detalle!A:AA,$R$7,0)),0)</f>
        <v/>
      </c>
      <c r="W88" s="311">
        <f>IFERROR(MAX(VLOOKUP(E88,Detalle!A:AA,$S$6,0),VLOOKUP(E88,Detalle!A:AA,$S$7,0)),0)</f>
        <v/>
      </c>
      <c r="X88" s="311">
        <f>INDEX($A$27:$B$246,MATCH(IFERROR(IF(P88*(1+$Y$5)&lt;H88,H88,IF(P88*(1+$Y$5)&gt;L88,L88,P88*(1+$Y$5))),0),$A$27:$A$246,1),2)</f>
        <v/>
      </c>
      <c r="Y88" s="311">
        <f>INDEX($A$27:$B$246,MATCH(IFERROR(IF(Q88*(1+$Y$5)&lt;I88,I88,IF(Q88*(1+$Y$5)&gt;M88,M88,Q88*(1+$Y$5))),0),$A$27:$A$246,1),2)</f>
        <v/>
      </c>
      <c r="Z88" s="311">
        <f>INDEX($A$27:$B$246,MATCH(IFERROR(IF(R88*(1+$Y$5)&lt;J88,J88,IF(R88*(1+$Y$5)&gt;N88,N88,R88*(1+$Y$5))),0),$A$27:$A$246,1),2)</f>
        <v/>
      </c>
      <c r="AA88" s="311">
        <f>INDEX($A$27:$B$246,MATCH(IFERROR(IF(S88*(1+$Y$5)&lt;K88,K88,IF(S88*(1+$Y$5)&gt;O88,O88,S88*(1+$Y$5))),0),$A$27:$A$246,1),2)</f>
        <v/>
      </c>
      <c r="AB88" s="311">
        <f>INDEX($A$27:$B$246,MATCH(IFERROR(IF(P88-$AC$5&lt;H88,H88,IF(P88-$AC$5&gt;L88,L88,P88-$AC$5)),0),$A$27:$A$246,1),2)</f>
        <v/>
      </c>
      <c r="AC88" s="311">
        <f>INDEX($A$27:$B$246,MATCH(IFERROR(IF(Q88-$AC$5&lt;I88,I88,IF(Q88-$AC$5&gt;M88,M88,Q88-$AC$5)),0),$A$27:$A$246,1),2)</f>
        <v/>
      </c>
      <c r="AD88" s="311">
        <f>INDEX($A$27:$B$246,MATCH(IFERROR(IF(R88-$AC$5&lt;J88,J88,IF(R88-$AC$5&gt;N88,N88,R88-$AC$5)),0),$A$27:$A$246,1),2)</f>
        <v/>
      </c>
      <c r="AE88" s="311">
        <f>INDEX($A$27:$B$246,MATCH(IFERROR(IF(S88-$AC$5&lt;K88,K88,IF(S88-$AC$5&gt;O88,O88,S88-$AC$5)),0),$A$27:$A$246,1),2)</f>
        <v/>
      </c>
      <c r="AF88" s="311" t="s">
        <v>8</v>
      </c>
      <c r="AG88" s="311" t="s">
        <v>8</v>
      </c>
      <c r="AH88" s="311" t="s">
        <v>8</v>
      </c>
      <c r="AI88" s="311" t="s">
        <v>8</v>
      </c>
      <c r="AJ88" s="311">
        <f>INDEX($A$27:$B$246,MATCH(IFERROR(IF(T88&lt;H88,H88,IF(T88&gt;L88,L88,T88)),0),$A$27:$A$246,1),2)</f>
        <v/>
      </c>
      <c r="AK88" s="311">
        <f>INDEX($A$27:$B$246,MATCH(IFERROR(IF(U88&lt;I88,I88,IF(U88&gt;M88,M88,U88)),0),$A$27:$A$246,1),2)</f>
        <v/>
      </c>
      <c r="AL88" s="311">
        <f>INDEX($A$27:$B$246,MATCH(IFERROR(IF(V88&lt;J88,J88,IF(V88&gt;N88,N88,V88)),0),$A$27:$A$246,1),2)</f>
        <v/>
      </c>
      <c r="AM88" s="311">
        <f>INDEX($A$27:$B$246,MATCH(IFERROR(IF(W88&lt;K88,K88,IF(W88&gt;O88,O88,W88)),0),$A$27:$A$246,1),2)</f>
        <v/>
      </c>
      <c r="AN88" s="311">
        <f>INDEX($A$27:$B$246,MATCH(IFERROR(IF(T88&lt;H88,H88,IF(T88&gt;L88,L88,T88)),0),$A$27:$A$246,1),2)</f>
        <v/>
      </c>
      <c r="AO88" s="311">
        <f>INDEX($A$27:$B$246,MATCH(IFERROR(IF(U88&lt;I88,I88,IF(U88&gt;M88,M88,U88)),0),$A$27:$A$246,1),2)</f>
        <v/>
      </c>
      <c r="AP88" s="311">
        <f>INDEX($A$27:$B$246,MATCH(IFERROR(IF(V88&lt;J88,J88,IF(V88&gt;N88,N88,V88)),0),$A$27:$A$246,1),2)</f>
        <v/>
      </c>
      <c r="AQ88" s="311">
        <f>INDEX($A$27:$B$246,MATCH(IFERROR(IF(W88&lt;K88,K88,IF(W88&gt;O88,O88,W88)),0),$A$27:$A$246,1),2)</f>
        <v/>
      </c>
      <c r="AR88" s="311">
        <f>INDEX($A$27:$B$246,MATCH(IFERROR(IF(T88+$AS$5&lt;H88,H88,IF(T88+$AS$5&gt;L88,L88,T88+$AS$5)),0),$A$27:$A$246,1),2)</f>
        <v/>
      </c>
      <c r="AS88" s="311">
        <f>INDEX($A$27:$B$246,MATCH(IFERROR(IF(U88+$AS$5&lt;I88,I88,IF(U88+$AS$5&gt;M88,M88,U88+$AS$5)),0),$A$27:$A$246,1),2)</f>
        <v/>
      </c>
      <c r="AT88" s="311">
        <f>INDEX($A$27:$B$246,MATCH(IFERROR(IF(V88+$AS$5&lt;J88,J88,IF(V88+$AS$5&gt;N88,N88,V88+$AS$5)),0),$A$27:$A$246,1),2)</f>
        <v/>
      </c>
      <c r="AU88" s="311">
        <f>INDEX($A$27:$B$246,MATCH(IFERROR(IF(W88+$AS$5&lt;K88,K88,IF(W88+$AS$5&gt;O88,O88,W88+$AS$5)),0),$A$27:$A$246,1),2)</f>
        <v/>
      </c>
      <c r="AV88" s="311">
        <f>INDEX($A$27:$B$246,MATCH(IFERROR(IF(T88+$AW$5&lt;H88,H88,IF(T88+$AW$5&gt;L88,L88,T88+$AW$5)),0),$A$27:$A$246,1),2)</f>
        <v/>
      </c>
      <c r="AW88" s="311">
        <f>INDEX($A$27:$B$246,MATCH(IFERROR(IF(U88+$AW$5&lt;I88,I88,IF(U88+$AW$5&gt;M88,M88,U88+$AW$5)),0),$A$27:$A$246,1),2)</f>
        <v/>
      </c>
      <c r="AX88" s="311">
        <f>INDEX($A$27:$B$246,MATCH(IFERROR(IF(V88+$AW$5&lt;J88,J88,IF(V88+$AW$5&gt;N88,N88,V88+$AW$5)),0),$A$27:$A$246,1),2)</f>
        <v/>
      </c>
      <c r="AY88" s="311">
        <f>INDEX($A$27:$B$246,MATCH(IFERROR(IF(W88+$AW$5&lt;K88,K88,IF(W88+$AW$5&gt;O88,O88,W88+$AW$5)),0),$A$27:$A$246,1),2)</f>
        <v/>
      </c>
      <c r="AZ88" s="311">
        <f>INDEX($A$27:$B$246,MATCH(IFERROR(IF(T88+$BA$5&lt;H88,H88,IF(T88+$BA$5&gt;L88,L88,T88+$BA$5)),0),$A$27:$A$246,1),2)</f>
        <v/>
      </c>
      <c r="BA88" s="311">
        <f>INDEX($A$27:$B$246,MATCH(IFERROR(IF(U88+$BA$5&lt;I88,I88,IF(U88+$BA$5&gt;M88,M88,U88+$BA$5)),0),$A$27:$A$246,1),2)</f>
        <v/>
      </c>
      <c r="BB88" s="311">
        <f>INDEX($A$27:$B$246,MATCH(IFERROR(IF(V88+$BA$5&lt;J88,J88,IF(V88+$BA$5&gt;N88,N88,V88+$BA$5)),0),$A$27:$A$246,1),2)</f>
        <v/>
      </c>
      <c r="BC88" s="311">
        <f>INDEX($A$27:$B$246,MATCH(IFERROR(IF(W88+$BA$5&lt;K88,K88,IF(W88+$BA$5&gt;O88,O88,W88+$BA$5)),0),$A$27:$A$246,1),2)</f>
        <v/>
      </c>
      <c r="BD88" s="311" t="s">
        <v>8</v>
      </c>
      <c r="BE88" s="311" t="s">
        <v>8</v>
      </c>
      <c r="BF88" s="311" t="s">
        <v>8</v>
      </c>
      <c r="BG88" s="311" t="s">
        <v>8</v>
      </c>
    </row>
    <row r="89" spans="1:64">
      <c r="A89" s="313">
        <f>A88+$B$24</f>
        <v/>
      </c>
      <c r="B89" s="313">
        <f>B88+$B$24</f>
        <v/>
      </c>
      <c r="C89" s="314" t="n"/>
      <c r="D89" t="s">
        <v>64</v>
      </c>
      <c r="E89" s="34" t="s">
        <v>64</v>
      </c>
      <c r="F89" s="34" t="s">
        <v>227</v>
      </c>
      <c r="G89" s="34" t="n">
        <v>249</v>
      </c>
      <c r="H89" s="310" t="n">
        <v>1</v>
      </c>
      <c r="I89" s="310" t="n">
        <v>1</v>
      </c>
      <c r="J89" s="310" t="n">
        <v>1</v>
      </c>
      <c r="K89" s="310" t="n">
        <v>1</v>
      </c>
      <c r="L89" s="311">
        <f>H89*$B$1</f>
        <v/>
      </c>
      <c r="M89" s="311">
        <f>I89*$B$1</f>
        <v/>
      </c>
      <c r="N89" s="311">
        <f>J89*$B$1</f>
        <v/>
      </c>
      <c r="O89" s="311">
        <f>K89*$B$1</f>
        <v/>
      </c>
      <c r="P89" s="311">
        <f>IFERROR(MIN(VLOOKUP(E89,Detalle!A:AA,$P$6,0),VLOOKUP(E89,Detalle!A:AA,$P$7,0),VLOOKUP(E89,Detalle!A:AA,$P$4,0)),0)</f>
        <v/>
      </c>
      <c r="Q89" s="311">
        <f>IFERROR(MIN(VLOOKUP(E89,Detalle!A:AA,$Q$6,0),VLOOKUP(E89,Detalle!A:AA,$Q$7,0)),0)</f>
        <v/>
      </c>
      <c r="R89" s="311">
        <f>IFERROR(MIN(VLOOKUP(E89,Detalle!A:AA,$R$6,0),VLOOKUP(E89,Detalle!A:AA,$R$7,0)),0)</f>
        <v/>
      </c>
      <c r="S89" s="311">
        <f>IFERROR(MIN(VLOOKUP(E89,Detalle!A:AA,$S$6,0),VLOOKUP(E89,Detalle!A:AA,$S$7,0)),0)</f>
        <v/>
      </c>
      <c r="T89" s="311">
        <f>IFERROR(MAX(VLOOKUP(E89,Detalle!A:AA,$P$6,0),VLOOKUP(E89,Detalle!A:AA,$P$7,0),VLOOKUP(E89,Detalle!A:AA,$P$4,0)),0)</f>
        <v/>
      </c>
      <c r="U89" s="311">
        <f>IFERROR(MAX(VLOOKUP(E89,Detalle!A:AA,$Q$6,0),VLOOKUP(E89,Detalle!A:AA,$Q$7,0)),0)</f>
        <v/>
      </c>
      <c r="V89" s="311">
        <f>IFERROR(MAX(VLOOKUP(E89,Detalle!A:AA,$R$6,0),VLOOKUP(E89,Detalle!A:AA,$R$7,0)),0)</f>
        <v/>
      </c>
      <c r="W89" s="311">
        <f>IFERROR(MAX(VLOOKUP(E89,Detalle!A:AA,$S$6,0),VLOOKUP(E89,Detalle!A:AA,$S$7,0)),0)</f>
        <v/>
      </c>
      <c r="X89" s="311">
        <f>INDEX($A$27:$B$246,MATCH(IFERROR(IF(P89*(1+$Y$5)&lt;H89,H89,IF(P89*(1+$Y$5)&gt;L89,L89,P89*(1+$Y$5))),0),$A$27:$A$246,1),2)</f>
        <v/>
      </c>
      <c r="Y89" s="311">
        <f>INDEX($A$27:$B$246,MATCH(IFERROR(IF(Q89*(1+$Y$5)&lt;I89,I89,IF(Q89*(1+$Y$5)&gt;M89,M89,Q89*(1+$Y$5))),0),$A$27:$A$246,1),2)</f>
        <v/>
      </c>
      <c r="Z89" s="311">
        <f>INDEX($A$27:$B$246,MATCH(IFERROR(IF(R89*(1+$Y$5)&lt;J89,J89,IF(R89*(1+$Y$5)&gt;N89,N89,R89*(1+$Y$5))),0),$A$27:$A$246,1),2)</f>
        <v/>
      </c>
      <c r="AA89" s="311">
        <f>INDEX($A$27:$B$246,MATCH(IFERROR(IF(S89*(1+$Y$5)&lt;K89,K89,IF(S89*(1+$Y$5)&gt;O89,O89,S89*(1+$Y$5))),0),$A$27:$A$246,1),2)</f>
        <v/>
      </c>
      <c r="AB89" s="311">
        <f>INDEX($A$27:$B$246,MATCH(IFERROR(IF(P89-$AC$5&lt;H89,H89,IF(P89-$AC$5&gt;L89,L89,P89-$AC$5)),0),$A$27:$A$246,1),2)</f>
        <v/>
      </c>
      <c r="AC89" s="311">
        <f>INDEX($A$27:$B$246,MATCH(IFERROR(IF(Q89-$AC$5&lt;I89,I89,IF(Q89-$AC$5&gt;M89,M89,Q89-$AC$5)),0),$A$27:$A$246,1),2)</f>
        <v/>
      </c>
      <c r="AD89" s="311">
        <f>INDEX($A$27:$B$246,MATCH(IFERROR(IF(R89-$AC$5&lt;J89,J89,IF(R89-$AC$5&gt;N89,N89,R89-$AC$5)),0),$A$27:$A$246,1),2)</f>
        <v/>
      </c>
      <c r="AE89" s="311">
        <f>INDEX($A$27:$B$246,MATCH(IFERROR(IF(S89-$AC$5&lt;K89,K89,IF(S89-$AC$5&gt;O89,O89,S89-$AC$5)),0),$A$27:$A$246,1),2)</f>
        <v/>
      </c>
      <c r="AF89" s="311" t="s">
        <v>8</v>
      </c>
      <c r="AG89" s="311" t="s">
        <v>8</v>
      </c>
      <c r="AH89" s="311" t="s">
        <v>8</v>
      </c>
      <c r="AI89" s="311" t="s">
        <v>8</v>
      </c>
      <c r="AJ89" s="311">
        <f>INDEX($A$27:$B$246,MATCH(IFERROR(IF(T89&lt;H89,H89,IF(T89&gt;L89,L89,T89)),0),$A$27:$A$246,1),2)</f>
        <v/>
      </c>
      <c r="AK89" s="311">
        <f>INDEX($A$27:$B$246,MATCH(IFERROR(IF(U89&lt;I89,I89,IF(U89&gt;M89,M89,U89)),0),$A$27:$A$246,1),2)</f>
        <v/>
      </c>
      <c r="AL89" s="311">
        <f>INDEX($A$27:$B$246,MATCH(IFERROR(IF(V89&lt;J89,J89,IF(V89&gt;N89,N89,V89)),0),$A$27:$A$246,1),2)</f>
        <v/>
      </c>
      <c r="AM89" s="311">
        <f>INDEX($A$27:$B$246,MATCH(IFERROR(IF(W89&lt;K89,K89,IF(W89&gt;O89,O89,W89)),0),$A$27:$A$246,1),2)</f>
        <v/>
      </c>
      <c r="AN89" s="311">
        <f>INDEX($A$27:$B$246,MATCH(IFERROR(IF(T89&lt;H89,H89,IF(T89&gt;L89,L89,T89)),0),$A$27:$A$246,1),2)</f>
        <v/>
      </c>
      <c r="AO89" s="311">
        <f>INDEX($A$27:$B$246,MATCH(IFERROR(IF(U89&lt;I89,I89,IF(U89&gt;M89,M89,U89)),0),$A$27:$A$246,1),2)</f>
        <v/>
      </c>
      <c r="AP89" s="311">
        <f>INDEX($A$27:$B$246,MATCH(IFERROR(IF(V89&lt;J89,J89,IF(V89&gt;N89,N89,V89)),0),$A$27:$A$246,1),2)</f>
        <v/>
      </c>
      <c r="AQ89" s="311">
        <f>INDEX($A$27:$B$246,MATCH(IFERROR(IF(W89&lt;K89,K89,IF(W89&gt;O89,O89,W89)),0),$A$27:$A$246,1),2)</f>
        <v/>
      </c>
      <c r="AR89" s="311">
        <f>INDEX($A$27:$B$246,MATCH(IFERROR(IF(T89+$AS$5&lt;H89,H89,IF(T89+$AS$5&gt;L89,L89,T89+$AS$5)),0),$A$27:$A$246,1),2)</f>
        <v/>
      </c>
      <c r="AS89" s="311">
        <f>INDEX($A$27:$B$246,MATCH(IFERROR(IF(U89+$AS$5&lt;I89,I89,IF(U89+$AS$5&gt;M89,M89,U89+$AS$5)),0),$A$27:$A$246,1),2)</f>
        <v/>
      </c>
      <c r="AT89" s="311">
        <f>INDEX($A$27:$B$246,MATCH(IFERROR(IF(V89+$AS$5&lt;J89,J89,IF(V89+$AS$5&gt;N89,N89,V89+$AS$5)),0),$A$27:$A$246,1),2)</f>
        <v/>
      </c>
      <c r="AU89" s="311">
        <f>INDEX($A$27:$B$246,MATCH(IFERROR(IF(W89+$AS$5&lt;K89,K89,IF(W89+$AS$5&gt;O89,O89,W89+$AS$5)),0),$A$27:$A$246,1),2)</f>
        <v/>
      </c>
      <c r="AV89" s="311">
        <f>INDEX($A$27:$B$246,MATCH(IFERROR(IF(T89+$AW$5&lt;H89,H89,IF(T89+$AW$5&gt;L89,L89,T89+$AW$5)),0),$A$27:$A$246,1),2)</f>
        <v/>
      </c>
      <c r="AW89" s="311">
        <f>INDEX($A$27:$B$246,MATCH(IFERROR(IF(U89+$AW$5&lt;I89,I89,IF(U89+$AW$5&gt;M89,M89,U89+$AW$5)),0),$A$27:$A$246,1),2)</f>
        <v/>
      </c>
      <c r="AX89" s="311">
        <f>INDEX($A$27:$B$246,MATCH(IFERROR(IF(V89+$AW$5&lt;J89,J89,IF(V89+$AW$5&gt;N89,N89,V89+$AW$5)),0),$A$27:$A$246,1),2)</f>
        <v/>
      </c>
      <c r="AY89" s="311">
        <f>INDEX($A$27:$B$246,MATCH(IFERROR(IF(W89+$AW$5&lt;K89,K89,IF(W89+$AW$5&gt;O89,O89,W89+$AW$5)),0),$A$27:$A$246,1),2)</f>
        <v/>
      </c>
      <c r="AZ89" s="311">
        <f>INDEX($A$27:$B$246,MATCH(IFERROR(IF(T89+$BA$5&lt;H89,H89,IF(T89+$BA$5&gt;L89,L89,T89+$BA$5)),0),$A$27:$A$246,1),2)</f>
        <v/>
      </c>
      <c r="BA89" s="311">
        <f>INDEX($A$27:$B$246,MATCH(IFERROR(IF(U89+$BA$5&lt;I89,I89,IF(U89+$BA$5&gt;M89,M89,U89+$BA$5)),0),$A$27:$A$246,1),2)</f>
        <v/>
      </c>
      <c r="BB89" s="311">
        <f>INDEX($A$27:$B$246,MATCH(IFERROR(IF(V89+$BA$5&lt;J89,J89,IF(V89+$BA$5&gt;N89,N89,V89+$BA$5)),0),$A$27:$A$246,1),2)</f>
        <v/>
      </c>
      <c r="BC89" s="311">
        <f>INDEX($A$27:$B$246,MATCH(IFERROR(IF(W89+$BA$5&lt;K89,K89,IF(W89+$BA$5&gt;O89,O89,W89+$BA$5)),0),$A$27:$A$246,1),2)</f>
        <v/>
      </c>
      <c r="BD89" s="311" t="s">
        <v>8</v>
      </c>
      <c r="BE89" s="311" t="s">
        <v>8</v>
      </c>
      <c r="BF89" s="311" t="s">
        <v>8</v>
      </c>
      <c r="BG89" s="311" t="s">
        <v>8</v>
      </c>
    </row>
    <row r="90" spans="1:64">
      <c r="A90" s="313">
        <f>A89+$B$24</f>
        <v/>
      </c>
      <c r="B90" s="313">
        <f>B89+$B$24</f>
        <v/>
      </c>
      <c r="C90" s="314" t="n"/>
      <c r="D90" t="s">
        <v>67</v>
      </c>
      <c r="E90" s="34" t="s">
        <v>67</v>
      </c>
      <c r="F90" s="34" t="s">
        <v>227</v>
      </c>
      <c r="G90" s="34" t="n">
        <v>278</v>
      </c>
      <c r="H90" s="310" t="n">
        <v>1</v>
      </c>
      <c r="I90" s="310" t="n">
        <v>1</v>
      </c>
      <c r="J90" s="310" t="n">
        <v>1</v>
      </c>
      <c r="K90" s="310" t="n">
        <v>1</v>
      </c>
      <c r="L90" s="311">
        <f>H90*$B$1</f>
        <v/>
      </c>
      <c r="M90" s="311">
        <f>I90*$B$1</f>
        <v/>
      </c>
      <c r="N90" s="311">
        <f>J90*$B$1</f>
        <v/>
      </c>
      <c r="O90" s="311">
        <f>K90*$B$1</f>
        <v/>
      </c>
      <c r="P90" s="311">
        <f>IFERROR(MIN(VLOOKUP(E90,Detalle!A:AA,$P$6,0),VLOOKUP(E90,Detalle!A:AA,$P$7,0),VLOOKUP(E90,Detalle!A:AA,$P$4,0)),0)</f>
        <v/>
      </c>
      <c r="Q90" s="311">
        <f>IFERROR(MIN(VLOOKUP(E90,Detalle!A:AA,$Q$6,0),VLOOKUP(E90,Detalle!A:AA,$Q$7,0)),0)</f>
        <v/>
      </c>
      <c r="R90" s="311">
        <f>IFERROR(MIN(VLOOKUP(E90,Detalle!A:AA,$R$6,0),VLOOKUP(E90,Detalle!A:AA,$R$7,0)),0)</f>
        <v/>
      </c>
      <c r="S90" s="311">
        <f>IFERROR(MIN(VLOOKUP(E90,Detalle!A:AA,$S$6,0),VLOOKUP(E90,Detalle!A:AA,$S$7,0)),0)</f>
        <v/>
      </c>
      <c r="T90" s="311">
        <f>IFERROR(MAX(VLOOKUP(E90,Detalle!A:AA,$P$6,0),VLOOKUP(E90,Detalle!A:AA,$P$7,0),VLOOKUP(E90,Detalle!A:AA,$P$4,0)),0)</f>
        <v/>
      </c>
      <c r="U90" s="311">
        <f>IFERROR(MAX(VLOOKUP(E90,Detalle!A:AA,$Q$6,0),VLOOKUP(E90,Detalle!A:AA,$Q$7,0)),0)</f>
        <v/>
      </c>
      <c r="V90" s="311">
        <f>IFERROR(MAX(VLOOKUP(E90,Detalle!A:AA,$R$6,0),VLOOKUP(E90,Detalle!A:AA,$R$7,0)),0)</f>
        <v/>
      </c>
      <c r="W90" s="311">
        <f>IFERROR(MAX(VLOOKUP(E90,Detalle!A:AA,$S$6,0),VLOOKUP(E90,Detalle!A:AA,$S$7,0)),0)</f>
        <v/>
      </c>
      <c r="X90" s="311">
        <f>INDEX($A$27:$B$246,MATCH(IFERROR(IF(P90*(1+$Y$5)&lt;H90,H90,IF(P90*(1+$Y$5)&gt;L90,L90,P90*(1+$Y$5))),0),$A$27:$A$246,1),2)</f>
        <v/>
      </c>
      <c r="Y90" s="311">
        <f>INDEX($A$27:$B$246,MATCH(IFERROR(IF(Q90*(1+$Y$5)&lt;I90,I90,IF(Q90*(1+$Y$5)&gt;M90,M90,Q90*(1+$Y$5))),0),$A$27:$A$246,1),2)</f>
        <v/>
      </c>
      <c r="Z90" s="311">
        <f>INDEX($A$27:$B$246,MATCH(IFERROR(IF(R90*(1+$Y$5)&lt;J90,J90,IF(R90*(1+$Y$5)&gt;N90,N90,R90*(1+$Y$5))),0),$A$27:$A$246,1),2)</f>
        <v/>
      </c>
      <c r="AA90" s="311">
        <f>INDEX($A$27:$B$246,MATCH(IFERROR(IF(S90*(1+$Y$5)&lt;K90,K90,IF(S90*(1+$Y$5)&gt;O90,O90,S90*(1+$Y$5))),0),$A$27:$A$246,1),2)</f>
        <v/>
      </c>
      <c r="AB90" s="311">
        <f>INDEX($A$27:$B$246,MATCH(IFERROR(IF(P90-$AC$5&lt;H90,H90,IF(P90-$AC$5&gt;L90,L90,P90-$AC$5)),0),$A$27:$A$246,1),2)</f>
        <v/>
      </c>
      <c r="AC90" s="311">
        <f>INDEX($A$27:$B$246,MATCH(IFERROR(IF(Q90-$AC$5&lt;I90,I90,IF(Q90-$AC$5&gt;M90,M90,Q90-$AC$5)),0),$A$27:$A$246,1),2)</f>
        <v/>
      </c>
      <c r="AD90" s="311">
        <f>INDEX($A$27:$B$246,MATCH(IFERROR(IF(R90-$AC$5&lt;J90,J90,IF(R90-$AC$5&gt;N90,N90,R90-$AC$5)),0),$A$27:$A$246,1),2)</f>
        <v/>
      </c>
      <c r="AE90" s="311">
        <f>INDEX($A$27:$B$246,MATCH(IFERROR(IF(S90-$AC$5&lt;K90,K90,IF(S90-$AC$5&gt;O90,O90,S90-$AC$5)),0),$A$27:$A$246,1),2)</f>
        <v/>
      </c>
      <c r="AF90" s="311" t="s">
        <v>8</v>
      </c>
      <c r="AG90" s="311" t="s">
        <v>8</v>
      </c>
      <c r="AH90" s="311" t="s">
        <v>8</v>
      </c>
      <c r="AI90" s="311" t="s">
        <v>8</v>
      </c>
      <c r="AJ90" s="311">
        <f>INDEX($A$27:$B$246,MATCH(IFERROR(IF(T90&lt;H90,H90,IF(T90&gt;L90,L90,T90)),0),$A$27:$A$246,1),2)</f>
        <v/>
      </c>
      <c r="AK90" s="311">
        <f>INDEX($A$27:$B$246,MATCH(IFERROR(IF(U90&lt;I90,I90,IF(U90&gt;M90,M90,U90)),0),$A$27:$A$246,1),2)</f>
        <v/>
      </c>
      <c r="AL90" s="311">
        <f>INDEX($A$27:$B$246,MATCH(IFERROR(IF(V90&lt;J90,J90,IF(V90&gt;N90,N90,V90)),0),$A$27:$A$246,1),2)</f>
        <v/>
      </c>
      <c r="AM90" s="311">
        <f>INDEX($A$27:$B$246,MATCH(IFERROR(IF(W90&lt;K90,K90,IF(W90&gt;O90,O90,W90)),0),$A$27:$A$246,1),2)</f>
        <v/>
      </c>
      <c r="AN90" s="311">
        <f>INDEX($A$27:$B$246,MATCH(IFERROR(IF(T90&lt;H90,H90,IF(T90&gt;L90,L90,T90)),0),$A$27:$A$246,1),2)</f>
        <v/>
      </c>
      <c r="AO90" s="311">
        <f>INDEX($A$27:$B$246,MATCH(IFERROR(IF(U90&lt;I90,I90,IF(U90&gt;M90,M90,U90)),0),$A$27:$A$246,1),2)</f>
        <v/>
      </c>
      <c r="AP90" s="311">
        <f>INDEX($A$27:$B$246,MATCH(IFERROR(IF(V90&lt;J90,J90,IF(V90&gt;N90,N90,V90)),0),$A$27:$A$246,1),2)</f>
        <v/>
      </c>
      <c r="AQ90" s="311">
        <f>INDEX($A$27:$B$246,MATCH(IFERROR(IF(W90&lt;K90,K90,IF(W90&gt;O90,O90,W90)),0),$A$27:$A$246,1),2)</f>
        <v/>
      </c>
      <c r="AR90" s="311">
        <f>INDEX($A$27:$B$246,MATCH(IFERROR(IF(T90+$AS$5&lt;H90,H90,IF(T90+$AS$5&gt;L90,L90,T90+$AS$5)),0),$A$27:$A$246,1),2)</f>
        <v/>
      </c>
      <c r="AS90" s="311">
        <f>INDEX($A$27:$B$246,MATCH(IFERROR(IF(U90+$AS$5&lt;I90,I90,IF(U90+$AS$5&gt;M90,M90,U90+$AS$5)),0),$A$27:$A$246,1),2)</f>
        <v/>
      </c>
      <c r="AT90" s="311">
        <f>INDEX($A$27:$B$246,MATCH(IFERROR(IF(V90+$AS$5&lt;J90,J90,IF(V90+$AS$5&gt;N90,N90,V90+$AS$5)),0),$A$27:$A$246,1),2)</f>
        <v/>
      </c>
      <c r="AU90" s="311">
        <f>INDEX($A$27:$B$246,MATCH(IFERROR(IF(W90+$AS$5&lt;K90,K90,IF(W90+$AS$5&gt;O90,O90,W90+$AS$5)),0),$A$27:$A$246,1),2)</f>
        <v/>
      </c>
      <c r="AV90" s="311">
        <f>INDEX($A$27:$B$246,MATCH(IFERROR(IF(T90+$AW$5&lt;H90,H90,IF(T90+$AW$5&gt;L90,L90,T90+$AW$5)),0),$A$27:$A$246,1),2)</f>
        <v/>
      </c>
      <c r="AW90" s="311">
        <f>INDEX($A$27:$B$246,MATCH(IFERROR(IF(U90+$AW$5&lt;I90,I90,IF(U90+$AW$5&gt;M90,M90,U90+$AW$5)),0),$A$27:$A$246,1),2)</f>
        <v/>
      </c>
      <c r="AX90" s="311">
        <f>INDEX($A$27:$B$246,MATCH(IFERROR(IF(V90+$AW$5&lt;J90,J90,IF(V90+$AW$5&gt;N90,N90,V90+$AW$5)),0),$A$27:$A$246,1),2)</f>
        <v/>
      </c>
      <c r="AY90" s="311">
        <f>INDEX($A$27:$B$246,MATCH(IFERROR(IF(W90+$AW$5&lt;K90,K90,IF(W90+$AW$5&gt;O90,O90,W90+$AW$5)),0),$A$27:$A$246,1),2)</f>
        <v/>
      </c>
      <c r="AZ90" s="311">
        <f>INDEX($A$27:$B$246,MATCH(IFERROR(IF(T90+$BA$5&lt;H90,H90,IF(T90+$BA$5&gt;L90,L90,T90+$BA$5)),0),$A$27:$A$246,1),2)</f>
        <v/>
      </c>
      <c r="BA90" s="311">
        <f>INDEX($A$27:$B$246,MATCH(IFERROR(IF(U90+$BA$5&lt;I90,I90,IF(U90+$BA$5&gt;M90,M90,U90+$BA$5)),0),$A$27:$A$246,1),2)</f>
        <v/>
      </c>
      <c r="BB90" s="311">
        <f>INDEX($A$27:$B$246,MATCH(IFERROR(IF(V90+$BA$5&lt;J90,J90,IF(V90+$BA$5&gt;N90,N90,V90+$BA$5)),0),$A$27:$A$246,1),2)</f>
        <v/>
      </c>
      <c r="BC90" s="311">
        <f>INDEX($A$27:$B$246,MATCH(IFERROR(IF(W90+$BA$5&lt;K90,K90,IF(W90+$BA$5&gt;O90,O90,W90+$BA$5)),0),$A$27:$A$246,1),2)</f>
        <v/>
      </c>
      <c r="BD90" s="311" t="s">
        <v>8</v>
      </c>
      <c r="BE90" s="311" t="s">
        <v>8</v>
      </c>
      <c r="BF90" s="311" t="s">
        <v>8</v>
      </c>
      <c r="BG90" s="311" t="s">
        <v>8</v>
      </c>
    </row>
    <row r="91" spans="1:64">
      <c r="A91" s="313">
        <f>A90+$B$24</f>
        <v/>
      </c>
      <c r="B91" s="313">
        <f>B90+$B$24</f>
        <v/>
      </c>
      <c r="C91" s="314" t="n"/>
      <c r="D91" t="s">
        <v>69</v>
      </c>
      <c r="E91" s="34" t="s">
        <v>69</v>
      </c>
      <c r="F91" s="34" t="s">
        <v>227</v>
      </c>
      <c r="G91" s="34" t="n">
        <v>263</v>
      </c>
      <c r="H91" s="310" t="n">
        <v>1</v>
      </c>
      <c r="I91" s="310" t="n">
        <v>1</v>
      </c>
      <c r="J91" s="310" t="n">
        <v>1</v>
      </c>
      <c r="K91" s="310" t="n">
        <v>1</v>
      </c>
      <c r="L91" s="311">
        <f>H91*$B$1</f>
        <v/>
      </c>
      <c r="M91" s="311">
        <f>I91*$B$1</f>
        <v/>
      </c>
      <c r="N91" s="311">
        <f>J91*$B$1</f>
        <v/>
      </c>
      <c r="O91" s="311">
        <f>K91*$B$1</f>
        <v/>
      </c>
      <c r="P91" s="311">
        <f>IFERROR(MIN(VLOOKUP(E91,Detalle!A:AA,$P$6,0),VLOOKUP(E91,Detalle!A:AA,$P$7,0),VLOOKUP(E91,Detalle!A:AA,$P$4,0)),0)</f>
        <v/>
      </c>
      <c r="Q91" s="311">
        <f>IFERROR(MIN(VLOOKUP(E91,Detalle!A:AA,$Q$6,0),VLOOKUP(E91,Detalle!A:AA,$Q$7,0)),0)</f>
        <v/>
      </c>
      <c r="R91" s="311">
        <f>IFERROR(MIN(VLOOKUP(E91,Detalle!A:AA,$R$6,0),VLOOKUP(E91,Detalle!A:AA,$R$7,0)),0)</f>
        <v/>
      </c>
      <c r="S91" s="311">
        <f>IFERROR(MIN(VLOOKUP(E91,Detalle!A:AA,$S$6,0),VLOOKUP(E91,Detalle!A:AA,$S$7,0)),0)</f>
        <v/>
      </c>
      <c r="T91" s="311">
        <f>IFERROR(MAX(VLOOKUP(E91,Detalle!A:AA,$P$6,0),VLOOKUP(E91,Detalle!A:AA,$P$7,0),VLOOKUP(E91,Detalle!A:AA,$P$4,0)),0)</f>
        <v/>
      </c>
      <c r="U91" s="311">
        <f>IFERROR(MAX(VLOOKUP(E91,Detalle!A:AA,$Q$6,0),VLOOKUP(E91,Detalle!A:AA,$Q$7,0)),0)</f>
        <v/>
      </c>
      <c r="V91" s="311">
        <f>IFERROR(MAX(VLOOKUP(E91,Detalle!A:AA,$R$6,0),VLOOKUP(E91,Detalle!A:AA,$R$7,0)),0)</f>
        <v/>
      </c>
      <c r="W91" s="311">
        <f>IFERROR(MAX(VLOOKUP(E91,Detalle!A:AA,$S$6,0),VLOOKUP(E91,Detalle!A:AA,$S$7,0)),0)</f>
        <v/>
      </c>
      <c r="X91" s="311">
        <f>INDEX($A$27:$B$246,MATCH(IFERROR(IF(P91*(1+$Y$5)&lt;H91,H91,IF(P91*(1+$Y$5)&gt;L91,L91,P91*(1+$Y$5))),0),$A$27:$A$246,1),2)</f>
        <v/>
      </c>
      <c r="Y91" s="311">
        <f>INDEX($A$27:$B$246,MATCH(IFERROR(IF(Q91*(1+$Y$5)&lt;I91,I91,IF(Q91*(1+$Y$5)&gt;M91,M91,Q91*(1+$Y$5))),0),$A$27:$A$246,1),2)</f>
        <v/>
      </c>
      <c r="Z91" s="311">
        <f>INDEX($A$27:$B$246,MATCH(IFERROR(IF(R91*(1+$Y$5)&lt;J91,J91,IF(R91*(1+$Y$5)&gt;N91,N91,R91*(1+$Y$5))),0),$A$27:$A$246,1),2)</f>
        <v/>
      </c>
      <c r="AA91" s="311">
        <f>INDEX($A$27:$B$246,MATCH(IFERROR(IF(S91*(1+$Y$5)&lt;K91,K91,IF(S91*(1+$Y$5)&gt;O91,O91,S91*(1+$Y$5))),0),$A$27:$A$246,1),2)</f>
        <v/>
      </c>
      <c r="AB91" s="311">
        <f>INDEX($A$27:$B$246,MATCH(IFERROR(IF(P91-$AC$5&lt;H91,H91,IF(P91-$AC$5&gt;L91,L91,P91-$AC$5)),0),$A$27:$A$246,1),2)</f>
        <v/>
      </c>
      <c r="AC91" s="311">
        <f>INDEX($A$27:$B$246,MATCH(IFERROR(IF(Q91-$AC$5&lt;I91,I91,IF(Q91-$AC$5&gt;M91,M91,Q91-$AC$5)),0),$A$27:$A$246,1),2)</f>
        <v/>
      </c>
      <c r="AD91" s="311">
        <f>INDEX($A$27:$B$246,MATCH(IFERROR(IF(R91-$AC$5&lt;J91,J91,IF(R91-$AC$5&gt;N91,N91,R91-$AC$5)),0),$A$27:$A$246,1),2)</f>
        <v/>
      </c>
      <c r="AE91" s="311">
        <f>INDEX($A$27:$B$246,MATCH(IFERROR(IF(S91-$AC$5&lt;K91,K91,IF(S91-$AC$5&gt;O91,O91,S91-$AC$5)),0),$A$27:$A$246,1),2)</f>
        <v/>
      </c>
      <c r="AF91" s="311" t="s">
        <v>8</v>
      </c>
      <c r="AG91" s="311" t="s">
        <v>8</v>
      </c>
      <c r="AH91" s="311" t="s">
        <v>8</v>
      </c>
      <c r="AI91" s="311" t="s">
        <v>8</v>
      </c>
      <c r="AJ91" s="311">
        <f>INDEX($A$27:$B$246,MATCH(IFERROR(IF(T91&lt;H91,H91,IF(T91&gt;L91,L91,T91)),0),$A$27:$A$246,1),2)</f>
        <v/>
      </c>
      <c r="AK91" s="311">
        <f>INDEX($A$27:$B$246,MATCH(IFERROR(IF(U91&lt;I91,I91,IF(U91&gt;M91,M91,U91)),0),$A$27:$A$246,1),2)</f>
        <v/>
      </c>
      <c r="AL91" s="311">
        <f>INDEX($A$27:$B$246,MATCH(IFERROR(IF(V91&lt;J91,J91,IF(V91&gt;N91,N91,V91)),0),$A$27:$A$246,1),2)</f>
        <v/>
      </c>
      <c r="AM91" s="311">
        <f>INDEX($A$27:$B$246,MATCH(IFERROR(IF(W91&lt;K91,K91,IF(W91&gt;O91,O91,W91)),0),$A$27:$A$246,1),2)</f>
        <v/>
      </c>
      <c r="AN91" s="311">
        <f>INDEX($A$27:$B$246,MATCH(IFERROR(IF(T91&lt;H91,H91,IF(T91&gt;L91,L91,T91)),0),$A$27:$A$246,1),2)</f>
        <v/>
      </c>
      <c r="AO91" s="311">
        <f>INDEX($A$27:$B$246,MATCH(IFERROR(IF(U91&lt;I91,I91,IF(U91&gt;M91,M91,U91)),0),$A$27:$A$246,1),2)</f>
        <v/>
      </c>
      <c r="AP91" s="311">
        <f>INDEX($A$27:$B$246,MATCH(IFERROR(IF(V91&lt;J91,J91,IF(V91&gt;N91,N91,V91)),0),$A$27:$A$246,1),2)</f>
        <v/>
      </c>
      <c r="AQ91" s="311">
        <f>INDEX($A$27:$B$246,MATCH(IFERROR(IF(W91&lt;K91,K91,IF(W91&gt;O91,O91,W91)),0),$A$27:$A$246,1),2)</f>
        <v/>
      </c>
      <c r="AR91" s="311">
        <f>INDEX($A$27:$B$246,MATCH(IFERROR(IF(T91+$AS$5&lt;H91,H91,IF(T91+$AS$5&gt;L91,L91,T91+$AS$5)),0),$A$27:$A$246,1),2)</f>
        <v/>
      </c>
      <c r="AS91" s="311">
        <f>INDEX($A$27:$B$246,MATCH(IFERROR(IF(U91+$AS$5&lt;I91,I91,IF(U91+$AS$5&gt;M91,M91,U91+$AS$5)),0),$A$27:$A$246,1),2)</f>
        <v/>
      </c>
      <c r="AT91" s="311">
        <f>INDEX($A$27:$B$246,MATCH(IFERROR(IF(V91+$AS$5&lt;J91,J91,IF(V91+$AS$5&gt;N91,N91,V91+$AS$5)),0),$A$27:$A$246,1),2)</f>
        <v/>
      </c>
      <c r="AU91" s="311">
        <f>INDEX($A$27:$B$246,MATCH(IFERROR(IF(W91+$AS$5&lt;K91,K91,IF(W91+$AS$5&gt;O91,O91,W91+$AS$5)),0),$A$27:$A$246,1),2)</f>
        <v/>
      </c>
      <c r="AV91" s="311">
        <f>INDEX($A$27:$B$246,MATCH(IFERROR(IF(T91+$AW$5&lt;H91,H91,IF(T91+$AW$5&gt;L91,L91,T91+$AW$5)),0),$A$27:$A$246,1),2)</f>
        <v/>
      </c>
      <c r="AW91" s="311">
        <f>INDEX($A$27:$B$246,MATCH(IFERROR(IF(U91+$AW$5&lt;I91,I91,IF(U91+$AW$5&gt;M91,M91,U91+$AW$5)),0),$A$27:$A$246,1),2)</f>
        <v/>
      </c>
      <c r="AX91" s="311">
        <f>INDEX($A$27:$B$246,MATCH(IFERROR(IF(V91+$AW$5&lt;J91,J91,IF(V91+$AW$5&gt;N91,N91,V91+$AW$5)),0),$A$27:$A$246,1),2)</f>
        <v/>
      </c>
      <c r="AY91" s="311">
        <f>INDEX($A$27:$B$246,MATCH(IFERROR(IF(W91+$AW$5&lt;K91,K91,IF(W91+$AW$5&gt;O91,O91,W91+$AW$5)),0),$A$27:$A$246,1),2)</f>
        <v/>
      </c>
      <c r="AZ91" s="311">
        <f>INDEX($A$27:$B$246,MATCH(IFERROR(IF(T91+$BA$5&lt;H91,H91,IF(T91+$BA$5&gt;L91,L91,T91+$BA$5)),0),$A$27:$A$246,1),2)</f>
        <v/>
      </c>
      <c r="BA91" s="311">
        <f>INDEX($A$27:$B$246,MATCH(IFERROR(IF(U91+$BA$5&lt;I91,I91,IF(U91+$BA$5&gt;M91,M91,U91+$BA$5)),0),$A$27:$A$246,1),2)</f>
        <v/>
      </c>
      <c r="BB91" s="311">
        <f>INDEX($A$27:$B$246,MATCH(IFERROR(IF(V91+$BA$5&lt;J91,J91,IF(V91+$BA$5&gt;N91,N91,V91+$BA$5)),0),$A$27:$A$246,1),2)</f>
        <v/>
      </c>
      <c r="BC91" s="311">
        <f>INDEX($A$27:$B$246,MATCH(IFERROR(IF(W91+$BA$5&lt;K91,K91,IF(W91+$BA$5&gt;O91,O91,W91+$BA$5)),0),$A$27:$A$246,1),2)</f>
        <v/>
      </c>
      <c r="BD91" s="311" t="s">
        <v>8</v>
      </c>
      <c r="BE91" s="311" t="s">
        <v>8</v>
      </c>
      <c r="BF91" s="311" t="s">
        <v>8</v>
      </c>
      <c r="BG91" s="311" t="s">
        <v>8</v>
      </c>
    </row>
    <row r="92" spans="1:64">
      <c r="A92" s="313">
        <f>A91+$B$24</f>
        <v/>
      </c>
      <c r="B92" s="313">
        <f>B91+$B$24</f>
        <v/>
      </c>
      <c r="C92" s="314" t="n"/>
      <c r="D92" t="s">
        <v>76</v>
      </c>
      <c r="E92" s="34" t="s">
        <v>76</v>
      </c>
      <c r="F92" s="34" t="s">
        <v>239</v>
      </c>
      <c r="G92" s="34" t="n">
        <v>54</v>
      </c>
      <c r="H92" s="310" t="n">
        <v>1</v>
      </c>
      <c r="I92" s="310" t="n">
        <v>1</v>
      </c>
      <c r="J92" s="310" t="n">
        <v>1</v>
      </c>
      <c r="K92" s="310" t="n">
        <v>1</v>
      </c>
      <c r="L92" s="311">
        <f>H92*$B$1</f>
        <v/>
      </c>
      <c r="M92" s="311">
        <f>I92*$B$1</f>
        <v/>
      </c>
      <c r="N92" s="311">
        <f>J92*$B$1</f>
        <v/>
      </c>
      <c r="O92" s="311">
        <f>K92*$B$1</f>
        <v/>
      </c>
      <c r="P92" s="311">
        <f>IFERROR(MIN(VLOOKUP(E92,Detalle!A:AA,$P$6,0),VLOOKUP(E92,Detalle!A:AA,$P$7,0),VLOOKUP(E92,Detalle!A:AA,$P$4,0)),0)</f>
        <v/>
      </c>
      <c r="Q92" s="311">
        <f>IFERROR(MIN(VLOOKUP(E92,Detalle!A:AA,$Q$6,0),VLOOKUP(E92,Detalle!A:AA,$Q$7,0)),0)</f>
        <v/>
      </c>
      <c r="R92" s="311">
        <f>IFERROR(MIN(VLOOKUP(E92,Detalle!A:AA,$R$6,0),VLOOKUP(E92,Detalle!A:AA,$R$7,0)),0)</f>
        <v/>
      </c>
      <c r="S92" s="311">
        <f>IFERROR(MIN(VLOOKUP(E92,Detalle!A:AA,$S$6,0),VLOOKUP(E92,Detalle!A:AA,$S$7,0)),0)</f>
        <v/>
      </c>
      <c r="T92" s="311">
        <f>IFERROR(MAX(VLOOKUP(E92,Detalle!A:AA,$P$6,0),VLOOKUP(E92,Detalle!A:AA,$P$7,0),VLOOKUP(E92,Detalle!A:AA,$P$4,0)),0)</f>
        <v/>
      </c>
      <c r="U92" s="311">
        <f>IFERROR(MAX(VLOOKUP(E92,Detalle!A:AA,$Q$6,0),VLOOKUP(E92,Detalle!A:AA,$Q$7,0)),0)</f>
        <v/>
      </c>
      <c r="V92" s="311">
        <f>IFERROR(MAX(VLOOKUP(E92,Detalle!A:AA,$R$6,0),VLOOKUP(E92,Detalle!A:AA,$R$7,0)),0)</f>
        <v/>
      </c>
      <c r="W92" s="311">
        <f>IFERROR(MAX(VLOOKUP(E92,Detalle!A:AA,$S$6,0),VLOOKUP(E92,Detalle!A:AA,$S$7,0)),0)</f>
        <v/>
      </c>
      <c r="X92" s="311">
        <f>INDEX($A$27:$B$246,MATCH(IFERROR(IF(P92*(1+$Y$5)&lt;H92,H92,IF(P92*(1+$Y$5)&gt;L92,L92,P92*(1+$Y$5))),0),$A$27:$A$246,1),2)</f>
        <v/>
      </c>
      <c r="Y92" s="311">
        <f>INDEX($A$27:$B$246,MATCH(IFERROR(IF(Q92*(1+$Y$5)&lt;I92,I92,IF(Q92*(1+$Y$5)&gt;M92,M92,Q92*(1+$Y$5))),0),$A$27:$A$246,1),2)</f>
        <v/>
      </c>
      <c r="Z92" s="311">
        <f>INDEX($A$27:$B$246,MATCH(IFERROR(IF(R92*(1+$Y$5)&lt;J92,J92,IF(R92*(1+$Y$5)&gt;N92,N92,R92*(1+$Y$5))),0),$A$27:$A$246,1),2)</f>
        <v/>
      </c>
      <c r="AA92" s="311">
        <f>INDEX($A$27:$B$246,MATCH(IFERROR(IF(S92*(1+$Y$5)&lt;K92,K92,IF(S92*(1+$Y$5)&gt;O92,O92,S92*(1+$Y$5))),0),$A$27:$A$246,1),2)</f>
        <v/>
      </c>
      <c r="AB92" s="311">
        <f>INDEX($A$27:$B$246,MATCH(IFERROR(IF(P92-$AC$5&lt;H92,H92,IF(P92-$AC$5&gt;L92,L92,P92-$AC$5)),0),$A$27:$A$246,1),2)</f>
        <v/>
      </c>
      <c r="AC92" s="311">
        <f>INDEX($A$27:$B$246,MATCH(IFERROR(IF(Q92-$AC$5&lt;I92,I92,IF(Q92-$AC$5&gt;M92,M92,Q92-$AC$5)),0),$A$27:$A$246,1),2)</f>
        <v/>
      </c>
      <c r="AD92" s="311">
        <f>INDEX($A$27:$B$246,MATCH(IFERROR(IF(R92-$AC$5&lt;J92,J92,IF(R92-$AC$5&gt;N92,N92,R92-$AC$5)),0),$A$27:$A$246,1),2)</f>
        <v/>
      </c>
      <c r="AE92" s="311">
        <f>INDEX($A$27:$B$246,MATCH(IFERROR(IF(S92-$AC$5&lt;K92,K92,IF(S92-$AC$5&gt;O92,O92,S92-$AC$5)),0),$A$27:$A$246,1),2)</f>
        <v/>
      </c>
      <c r="AF92" s="311" t="s">
        <v>8</v>
      </c>
      <c r="AG92" s="311" t="s">
        <v>8</v>
      </c>
      <c r="AH92" s="311" t="s">
        <v>8</v>
      </c>
      <c r="AI92" s="311" t="s">
        <v>8</v>
      </c>
      <c r="AJ92" s="311">
        <f>INDEX($A$27:$B$246,MATCH(IFERROR(IF(T92&lt;H92,H92,IF(T92&gt;L92,L92,T92)),0),$A$27:$A$246,1),2)</f>
        <v/>
      </c>
      <c r="AK92" s="311">
        <f>INDEX($A$27:$B$246,MATCH(IFERROR(IF(U92&lt;I92,I92,IF(U92&gt;M92,M92,U92)),0),$A$27:$A$246,1),2)</f>
        <v/>
      </c>
      <c r="AL92" s="311">
        <f>INDEX($A$27:$B$246,MATCH(IFERROR(IF(V92&lt;J92,J92,IF(V92&gt;N92,N92,V92)),0),$A$27:$A$246,1),2)</f>
        <v/>
      </c>
      <c r="AM92" s="311">
        <f>INDEX($A$27:$B$246,MATCH(IFERROR(IF(W92&lt;K92,K92,IF(W92&gt;O92,O92,W92)),0),$A$27:$A$246,1),2)</f>
        <v/>
      </c>
      <c r="AN92" s="311">
        <f>INDEX($A$27:$B$246,MATCH(IFERROR(IF(T92&lt;H92,H92,IF(T92&gt;L92,L92,T92)),0),$A$27:$A$246,1),2)</f>
        <v/>
      </c>
      <c r="AO92" s="311">
        <f>INDEX($A$27:$B$246,MATCH(IFERROR(IF(U92&lt;I92,I92,IF(U92&gt;M92,M92,U92)),0),$A$27:$A$246,1),2)</f>
        <v/>
      </c>
      <c r="AP92" s="311">
        <f>INDEX($A$27:$B$246,MATCH(IFERROR(IF(V92&lt;J92,J92,IF(V92&gt;N92,N92,V92)),0),$A$27:$A$246,1),2)</f>
        <v/>
      </c>
      <c r="AQ92" s="311">
        <f>INDEX($A$27:$B$246,MATCH(IFERROR(IF(W92&lt;K92,K92,IF(W92&gt;O92,O92,W92)),0),$A$27:$A$246,1),2)</f>
        <v/>
      </c>
      <c r="AR92" s="311">
        <f>INDEX($A$27:$B$246,MATCH(IFERROR(IF(T92+$AS$5&lt;H92,H92,IF(T92+$AS$5&gt;L92,L92,T92+$AS$5)),0),$A$27:$A$246,1),2)</f>
        <v/>
      </c>
      <c r="AS92" s="311">
        <f>INDEX($A$27:$B$246,MATCH(IFERROR(IF(U92+$AS$5&lt;I92,I92,IF(U92+$AS$5&gt;M92,M92,U92+$AS$5)),0),$A$27:$A$246,1),2)</f>
        <v/>
      </c>
      <c r="AT92" s="311">
        <f>INDEX($A$27:$B$246,MATCH(IFERROR(IF(V92+$AS$5&lt;J92,J92,IF(V92+$AS$5&gt;N92,N92,V92+$AS$5)),0),$A$27:$A$246,1),2)</f>
        <v/>
      </c>
      <c r="AU92" s="311">
        <f>INDEX($A$27:$B$246,MATCH(IFERROR(IF(W92+$AS$5&lt;K92,K92,IF(W92+$AS$5&gt;O92,O92,W92+$AS$5)),0),$A$27:$A$246,1),2)</f>
        <v/>
      </c>
      <c r="AV92" s="311">
        <f>INDEX($A$27:$B$246,MATCH(IFERROR(IF(T92+$AW$5&lt;H92,H92,IF(T92+$AW$5&gt;L92,L92,T92+$AW$5)),0),$A$27:$A$246,1),2)</f>
        <v/>
      </c>
      <c r="AW92" s="311">
        <f>INDEX($A$27:$B$246,MATCH(IFERROR(IF(U92+$AW$5&lt;I92,I92,IF(U92+$AW$5&gt;M92,M92,U92+$AW$5)),0),$A$27:$A$246,1),2)</f>
        <v/>
      </c>
      <c r="AX92" s="311">
        <f>INDEX($A$27:$B$246,MATCH(IFERROR(IF(V92+$AW$5&lt;J92,J92,IF(V92+$AW$5&gt;N92,N92,V92+$AW$5)),0),$A$27:$A$246,1),2)</f>
        <v/>
      </c>
      <c r="AY92" s="311">
        <f>INDEX($A$27:$B$246,MATCH(IFERROR(IF(W92+$AW$5&lt;K92,K92,IF(W92+$AW$5&gt;O92,O92,W92+$AW$5)),0),$A$27:$A$246,1),2)</f>
        <v/>
      </c>
      <c r="AZ92" s="311">
        <f>INDEX($A$27:$B$246,MATCH(IFERROR(IF(T92+$BA$5&lt;H92,H92,IF(T92+$BA$5&gt;L92,L92,T92+$BA$5)),0),$A$27:$A$246,1),2)</f>
        <v/>
      </c>
      <c r="BA92" s="311">
        <f>INDEX($A$27:$B$246,MATCH(IFERROR(IF(U92+$BA$5&lt;I92,I92,IF(U92+$BA$5&gt;M92,M92,U92+$BA$5)),0),$A$27:$A$246,1),2)</f>
        <v/>
      </c>
      <c r="BB92" s="311">
        <f>INDEX($A$27:$B$246,MATCH(IFERROR(IF(V92+$BA$5&lt;J92,J92,IF(V92+$BA$5&gt;N92,N92,V92+$BA$5)),0),$A$27:$A$246,1),2)</f>
        <v/>
      </c>
      <c r="BC92" s="311">
        <f>INDEX($A$27:$B$246,MATCH(IFERROR(IF(W92+$BA$5&lt;K92,K92,IF(W92+$BA$5&gt;O92,O92,W92+$BA$5)),0),$A$27:$A$246,1),2)</f>
        <v/>
      </c>
      <c r="BD92" s="311" t="s">
        <v>8</v>
      </c>
      <c r="BE92" s="311" t="s">
        <v>8</v>
      </c>
      <c r="BF92" s="311" t="s">
        <v>8</v>
      </c>
      <c r="BG92" s="311" t="s">
        <v>8</v>
      </c>
    </row>
    <row r="93" spans="1:64">
      <c r="A93" s="313">
        <f>A92+$B$24</f>
        <v/>
      </c>
      <c r="B93" s="313">
        <f>B92+$B$24</f>
        <v/>
      </c>
      <c r="C93" s="314" t="n"/>
      <c r="D93" t="s">
        <v>77</v>
      </c>
      <c r="E93" s="34" t="s">
        <v>77</v>
      </c>
      <c r="F93" s="34" t="s">
        <v>239</v>
      </c>
      <c r="G93" s="34" t="n">
        <v>64</v>
      </c>
      <c r="H93" s="310" t="n">
        <v>1</v>
      </c>
      <c r="I93" s="310" t="n">
        <v>1</v>
      </c>
      <c r="J93" s="310" t="n">
        <v>1</v>
      </c>
      <c r="K93" s="310" t="n">
        <v>1</v>
      </c>
      <c r="L93" s="311">
        <f>H93*$B$1</f>
        <v/>
      </c>
      <c r="M93" s="311">
        <f>I93*$B$1</f>
        <v/>
      </c>
      <c r="N93" s="311">
        <f>J93*$B$1</f>
        <v/>
      </c>
      <c r="O93" s="311">
        <f>K93*$B$1</f>
        <v/>
      </c>
      <c r="P93" s="311">
        <f>IFERROR(MIN(VLOOKUP(E93,Detalle!A:AA,$P$6,0),VLOOKUP(E93,Detalle!A:AA,$P$7,0),VLOOKUP(E93,Detalle!A:AA,$P$4,0)),0)</f>
        <v/>
      </c>
      <c r="Q93" s="311">
        <f>IFERROR(MIN(VLOOKUP(E93,Detalle!A:AA,$Q$6,0),VLOOKUP(E93,Detalle!A:AA,$Q$7,0)),0)</f>
        <v/>
      </c>
      <c r="R93" s="311">
        <f>IFERROR(MIN(VLOOKUP(E93,Detalle!A:AA,$R$6,0),VLOOKUP(E93,Detalle!A:AA,$R$7,0)),0)</f>
        <v/>
      </c>
      <c r="S93" s="311">
        <f>IFERROR(MIN(VLOOKUP(E93,Detalle!A:AA,$S$6,0),VLOOKUP(E93,Detalle!A:AA,$S$7,0)),0)</f>
        <v/>
      </c>
      <c r="T93" s="311">
        <f>IFERROR(MAX(VLOOKUP(E93,Detalle!A:AA,$P$6,0),VLOOKUP(E93,Detalle!A:AA,$P$7,0),VLOOKUP(E93,Detalle!A:AA,$P$4,0)),0)</f>
        <v/>
      </c>
      <c r="U93" s="311">
        <f>IFERROR(MAX(VLOOKUP(E93,Detalle!A:AA,$Q$6,0),VLOOKUP(E93,Detalle!A:AA,$Q$7,0)),0)</f>
        <v/>
      </c>
      <c r="V93" s="311">
        <f>IFERROR(MAX(VLOOKUP(E93,Detalle!A:AA,$R$6,0),VLOOKUP(E93,Detalle!A:AA,$R$7,0)),0)</f>
        <v/>
      </c>
      <c r="W93" s="311">
        <f>IFERROR(MAX(VLOOKUP(E93,Detalle!A:AA,$S$6,0),VLOOKUP(E93,Detalle!A:AA,$S$7,0)),0)</f>
        <v/>
      </c>
      <c r="X93" s="311">
        <f>INDEX($A$27:$B$246,MATCH(IFERROR(IF(P93*(1+$Y$5)&lt;H93,H93,IF(P93*(1+$Y$5)&gt;L93,L93,P93*(1+$Y$5))),0),$A$27:$A$246,1),2)</f>
        <v/>
      </c>
      <c r="Y93" s="311">
        <f>INDEX($A$27:$B$246,MATCH(IFERROR(IF(Q93*(1+$Y$5)&lt;I93,I93,IF(Q93*(1+$Y$5)&gt;M93,M93,Q93*(1+$Y$5))),0),$A$27:$A$246,1),2)</f>
        <v/>
      </c>
      <c r="Z93" s="311">
        <f>INDEX($A$27:$B$246,MATCH(IFERROR(IF(R93*(1+$Y$5)&lt;J93,J93,IF(R93*(1+$Y$5)&gt;N93,N93,R93*(1+$Y$5))),0),$A$27:$A$246,1),2)</f>
        <v/>
      </c>
      <c r="AA93" s="311">
        <f>INDEX($A$27:$B$246,MATCH(IFERROR(IF(S93*(1+$Y$5)&lt;K93,K93,IF(S93*(1+$Y$5)&gt;O93,O93,S93*(1+$Y$5))),0),$A$27:$A$246,1),2)</f>
        <v/>
      </c>
      <c r="AB93" s="311">
        <f>INDEX($A$27:$B$246,MATCH(IFERROR(IF(P93-$AC$5&lt;H93,H93,IF(P93-$AC$5&gt;L93,L93,P93-$AC$5)),0),$A$27:$A$246,1),2)</f>
        <v/>
      </c>
      <c r="AC93" s="311">
        <f>INDEX($A$27:$B$246,MATCH(IFERROR(IF(Q93-$AC$5&lt;I93,I93,IF(Q93-$AC$5&gt;M93,M93,Q93-$AC$5)),0),$A$27:$A$246,1),2)</f>
        <v/>
      </c>
      <c r="AD93" s="311">
        <f>INDEX($A$27:$B$246,MATCH(IFERROR(IF(R93-$AC$5&lt;J93,J93,IF(R93-$AC$5&gt;N93,N93,R93-$AC$5)),0),$A$27:$A$246,1),2)</f>
        <v/>
      </c>
      <c r="AE93" s="311">
        <f>INDEX($A$27:$B$246,MATCH(IFERROR(IF(S93-$AC$5&lt;K93,K93,IF(S93-$AC$5&gt;O93,O93,S93-$AC$5)),0),$A$27:$A$246,1),2)</f>
        <v/>
      </c>
      <c r="AF93" s="311" t="s">
        <v>8</v>
      </c>
      <c r="AG93" s="311" t="s">
        <v>8</v>
      </c>
      <c r="AH93" s="311" t="s">
        <v>8</v>
      </c>
      <c r="AI93" s="311" t="s">
        <v>8</v>
      </c>
      <c r="AJ93" s="311">
        <f>INDEX($A$27:$B$246,MATCH(IFERROR(IF(T93&lt;H93,H93,IF(T93&gt;L93,L93,T93)),0),$A$27:$A$246,1),2)</f>
        <v/>
      </c>
      <c r="AK93" s="311">
        <f>INDEX($A$27:$B$246,MATCH(IFERROR(IF(U93&lt;I93,I93,IF(U93&gt;M93,M93,U93)),0),$A$27:$A$246,1),2)</f>
        <v/>
      </c>
      <c r="AL93" s="311">
        <f>INDEX($A$27:$B$246,MATCH(IFERROR(IF(V93&lt;J93,J93,IF(V93&gt;N93,N93,V93)),0),$A$27:$A$246,1),2)</f>
        <v/>
      </c>
      <c r="AM93" s="311">
        <f>INDEX($A$27:$B$246,MATCH(IFERROR(IF(W93&lt;K93,K93,IF(W93&gt;O93,O93,W93)),0),$A$27:$A$246,1),2)</f>
        <v/>
      </c>
      <c r="AN93" s="311">
        <f>INDEX($A$27:$B$246,MATCH(IFERROR(IF(T93&lt;H93,H93,IF(T93&gt;L93,L93,T93)),0),$A$27:$A$246,1),2)</f>
        <v/>
      </c>
      <c r="AO93" s="311">
        <f>INDEX($A$27:$B$246,MATCH(IFERROR(IF(U93&lt;I93,I93,IF(U93&gt;M93,M93,U93)),0),$A$27:$A$246,1),2)</f>
        <v/>
      </c>
      <c r="AP93" s="311">
        <f>INDEX($A$27:$B$246,MATCH(IFERROR(IF(V93&lt;J93,J93,IF(V93&gt;N93,N93,V93)),0),$A$27:$A$246,1),2)</f>
        <v/>
      </c>
      <c r="AQ93" s="311">
        <f>INDEX($A$27:$B$246,MATCH(IFERROR(IF(W93&lt;K93,K93,IF(W93&gt;O93,O93,W93)),0),$A$27:$A$246,1),2)</f>
        <v/>
      </c>
      <c r="AR93" s="311">
        <f>INDEX($A$27:$B$246,MATCH(IFERROR(IF(T93+$AS$5&lt;H93,H93,IF(T93+$AS$5&gt;L93,L93,T93+$AS$5)),0),$A$27:$A$246,1),2)</f>
        <v/>
      </c>
      <c r="AS93" s="311">
        <f>INDEX($A$27:$B$246,MATCH(IFERROR(IF(U93+$AS$5&lt;I93,I93,IF(U93+$AS$5&gt;M93,M93,U93+$AS$5)),0),$A$27:$A$246,1),2)</f>
        <v/>
      </c>
      <c r="AT93" s="311">
        <f>INDEX($A$27:$B$246,MATCH(IFERROR(IF(V93+$AS$5&lt;J93,J93,IF(V93+$AS$5&gt;N93,N93,V93+$AS$5)),0),$A$27:$A$246,1),2)</f>
        <v/>
      </c>
      <c r="AU93" s="311">
        <f>INDEX($A$27:$B$246,MATCH(IFERROR(IF(W93+$AS$5&lt;K93,K93,IF(W93+$AS$5&gt;O93,O93,W93+$AS$5)),0),$A$27:$A$246,1),2)</f>
        <v/>
      </c>
      <c r="AV93" s="311">
        <f>INDEX($A$27:$B$246,MATCH(IFERROR(IF(T93+$AW$5&lt;H93,H93,IF(T93+$AW$5&gt;L93,L93,T93+$AW$5)),0),$A$27:$A$246,1),2)</f>
        <v/>
      </c>
      <c r="AW93" s="311">
        <f>INDEX($A$27:$B$246,MATCH(IFERROR(IF(U93+$AW$5&lt;I93,I93,IF(U93+$AW$5&gt;M93,M93,U93+$AW$5)),0),$A$27:$A$246,1),2)</f>
        <v/>
      </c>
      <c r="AX93" s="311">
        <f>INDEX($A$27:$B$246,MATCH(IFERROR(IF(V93+$AW$5&lt;J93,J93,IF(V93+$AW$5&gt;N93,N93,V93+$AW$5)),0),$A$27:$A$246,1),2)</f>
        <v/>
      </c>
      <c r="AY93" s="311">
        <f>INDEX($A$27:$B$246,MATCH(IFERROR(IF(W93+$AW$5&lt;K93,K93,IF(W93+$AW$5&gt;O93,O93,W93+$AW$5)),0),$A$27:$A$246,1),2)</f>
        <v/>
      </c>
      <c r="AZ93" s="311">
        <f>INDEX($A$27:$B$246,MATCH(IFERROR(IF(T93+$BA$5&lt;H93,H93,IF(T93+$BA$5&gt;L93,L93,T93+$BA$5)),0),$A$27:$A$246,1),2)</f>
        <v/>
      </c>
      <c r="BA93" s="311">
        <f>INDEX($A$27:$B$246,MATCH(IFERROR(IF(U93+$BA$5&lt;I93,I93,IF(U93+$BA$5&gt;M93,M93,U93+$BA$5)),0),$A$27:$A$246,1),2)</f>
        <v/>
      </c>
      <c r="BB93" s="311">
        <f>INDEX($A$27:$B$246,MATCH(IFERROR(IF(V93+$BA$5&lt;J93,J93,IF(V93+$BA$5&gt;N93,N93,V93+$BA$5)),0),$A$27:$A$246,1),2)</f>
        <v/>
      </c>
      <c r="BC93" s="311">
        <f>INDEX($A$27:$B$246,MATCH(IFERROR(IF(W93+$BA$5&lt;K93,K93,IF(W93+$BA$5&gt;O93,O93,W93+$BA$5)),0),$A$27:$A$246,1),2)</f>
        <v/>
      </c>
      <c r="BD93" s="311" t="s">
        <v>8</v>
      </c>
      <c r="BE93" s="311" t="s">
        <v>8</v>
      </c>
      <c r="BF93" s="311" t="s">
        <v>8</v>
      </c>
      <c r="BG93" s="311" t="s">
        <v>8</v>
      </c>
    </row>
    <row r="94" spans="1:64">
      <c r="A94" s="313">
        <f>A93+$B$24</f>
        <v/>
      </c>
      <c r="B94" s="313">
        <f>B93+$B$24</f>
        <v/>
      </c>
      <c r="C94" s="314" t="n"/>
      <c r="D94" t="s">
        <v>78</v>
      </c>
      <c r="E94" s="34" t="s">
        <v>78</v>
      </c>
      <c r="F94" s="34" t="s">
        <v>239</v>
      </c>
      <c r="G94" s="34" t="n">
        <v>67</v>
      </c>
      <c r="H94" s="310" t="n">
        <v>1</v>
      </c>
      <c r="I94" s="310" t="n">
        <v>1</v>
      </c>
      <c r="J94" s="310" t="n">
        <v>1</v>
      </c>
      <c r="K94" s="310" t="n">
        <v>1</v>
      </c>
      <c r="L94" s="311">
        <f>H94*$B$1</f>
        <v/>
      </c>
      <c r="M94" s="311">
        <f>I94*$B$1</f>
        <v/>
      </c>
      <c r="N94" s="311">
        <f>J94*$B$1</f>
        <v/>
      </c>
      <c r="O94" s="311">
        <f>K94*$B$1</f>
        <v/>
      </c>
      <c r="P94" s="311">
        <f>IFERROR(MIN(VLOOKUP(E94,Detalle!A:AA,$P$6,0),VLOOKUP(E94,Detalle!A:AA,$P$7,0),VLOOKUP(E94,Detalle!A:AA,$P$4,0)),0)</f>
        <v/>
      </c>
      <c r="Q94" s="311">
        <f>IFERROR(MIN(VLOOKUP(E94,Detalle!A:AA,$Q$6,0),VLOOKUP(E94,Detalle!A:AA,$Q$7,0)),0)</f>
        <v/>
      </c>
      <c r="R94" s="311">
        <f>IFERROR(MIN(VLOOKUP(E94,Detalle!A:AA,$R$6,0),VLOOKUP(E94,Detalle!A:AA,$R$7,0)),0)</f>
        <v/>
      </c>
      <c r="S94" s="311">
        <f>IFERROR(MIN(VLOOKUP(E94,Detalle!A:AA,$S$6,0),VLOOKUP(E94,Detalle!A:AA,$S$7,0)),0)</f>
        <v/>
      </c>
      <c r="T94" s="311">
        <f>IFERROR(MAX(VLOOKUP(E94,Detalle!A:AA,$P$6,0),VLOOKUP(E94,Detalle!A:AA,$P$7,0),VLOOKUP(E94,Detalle!A:AA,$P$4,0)),0)</f>
        <v/>
      </c>
      <c r="U94" s="311">
        <f>IFERROR(MAX(VLOOKUP(E94,Detalle!A:AA,$Q$6,0),VLOOKUP(E94,Detalle!A:AA,$Q$7,0)),0)</f>
        <v/>
      </c>
      <c r="V94" s="311">
        <f>IFERROR(MAX(VLOOKUP(E94,Detalle!A:AA,$R$6,0),VLOOKUP(E94,Detalle!A:AA,$R$7,0)),0)</f>
        <v/>
      </c>
      <c r="W94" s="311">
        <f>IFERROR(MAX(VLOOKUP(E94,Detalle!A:AA,$S$6,0),VLOOKUP(E94,Detalle!A:AA,$S$7,0)),0)</f>
        <v/>
      </c>
      <c r="X94" s="311">
        <f>INDEX($A$27:$B$246,MATCH(IFERROR(IF(P94*(1+$Y$5)&lt;H94,H94,IF(P94*(1+$Y$5)&gt;L94,L94,P94*(1+$Y$5))),0),$A$27:$A$246,1),2)</f>
        <v/>
      </c>
      <c r="Y94" s="311">
        <f>INDEX($A$27:$B$246,MATCH(IFERROR(IF(Q94*(1+$Y$5)&lt;I94,I94,IF(Q94*(1+$Y$5)&gt;M94,M94,Q94*(1+$Y$5))),0),$A$27:$A$246,1),2)</f>
        <v/>
      </c>
      <c r="Z94" s="311">
        <f>INDEX($A$27:$B$246,MATCH(IFERROR(IF(R94*(1+$Y$5)&lt;J94,J94,IF(R94*(1+$Y$5)&gt;N94,N94,R94*(1+$Y$5))),0),$A$27:$A$246,1),2)</f>
        <v/>
      </c>
      <c r="AA94" s="311">
        <f>INDEX($A$27:$B$246,MATCH(IFERROR(IF(S94*(1+$Y$5)&lt;K94,K94,IF(S94*(1+$Y$5)&gt;O94,O94,S94*(1+$Y$5))),0),$A$27:$A$246,1),2)</f>
        <v/>
      </c>
      <c r="AB94" s="311">
        <f>INDEX($A$27:$B$246,MATCH(IFERROR(IF(P94-$AC$5&lt;H94,H94,IF(P94-$AC$5&gt;L94,L94,P94-$AC$5)),0),$A$27:$A$246,1),2)</f>
        <v/>
      </c>
      <c r="AC94" s="311">
        <f>INDEX($A$27:$B$246,MATCH(IFERROR(IF(Q94-$AC$5&lt;I94,I94,IF(Q94-$AC$5&gt;M94,M94,Q94-$AC$5)),0),$A$27:$A$246,1),2)</f>
        <v/>
      </c>
      <c r="AD94" s="311">
        <f>INDEX($A$27:$B$246,MATCH(IFERROR(IF(R94-$AC$5&lt;J94,J94,IF(R94-$AC$5&gt;N94,N94,R94-$AC$5)),0),$A$27:$A$246,1),2)</f>
        <v/>
      </c>
      <c r="AE94" s="311">
        <f>INDEX($A$27:$B$246,MATCH(IFERROR(IF(S94-$AC$5&lt;K94,K94,IF(S94-$AC$5&gt;O94,O94,S94-$AC$5)),0),$A$27:$A$246,1),2)</f>
        <v/>
      </c>
      <c r="AF94" s="311" t="s">
        <v>8</v>
      </c>
      <c r="AG94" s="311" t="s">
        <v>8</v>
      </c>
      <c r="AH94" s="311" t="s">
        <v>8</v>
      </c>
      <c r="AI94" s="311" t="s">
        <v>8</v>
      </c>
      <c r="AJ94" s="311">
        <f>INDEX($A$27:$B$246,MATCH(IFERROR(IF(T94&lt;H94,H94,IF(T94&gt;L94,L94,T94)),0),$A$27:$A$246,1),2)</f>
        <v/>
      </c>
      <c r="AK94" s="311">
        <f>INDEX($A$27:$B$246,MATCH(IFERROR(IF(U94&lt;I94,I94,IF(U94&gt;M94,M94,U94)),0),$A$27:$A$246,1),2)</f>
        <v/>
      </c>
      <c r="AL94" s="311">
        <f>INDEX($A$27:$B$246,MATCH(IFERROR(IF(V94&lt;J94,J94,IF(V94&gt;N94,N94,V94)),0),$A$27:$A$246,1),2)</f>
        <v/>
      </c>
      <c r="AM94" s="311">
        <f>INDEX($A$27:$B$246,MATCH(IFERROR(IF(W94&lt;K94,K94,IF(W94&gt;O94,O94,W94)),0),$A$27:$A$246,1),2)</f>
        <v/>
      </c>
      <c r="AN94" s="311">
        <f>INDEX($A$27:$B$246,MATCH(IFERROR(IF(T94&lt;H94,H94,IF(T94&gt;L94,L94,T94)),0),$A$27:$A$246,1),2)</f>
        <v/>
      </c>
      <c r="AO94" s="311">
        <f>INDEX($A$27:$B$246,MATCH(IFERROR(IF(U94&lt;I94,I94,IF(U94&gt;M94,M94,U94)),0),$A$27:$A$246,1),2)</f>
        <v/>
      </c>
      <c r="AP94" s="311">
        <f>INDEX($A$27:$B$246,MATCH(IFERROR(IF(V94&lt;J94,J94,IF(V94&gt;N94,N94,V94)),0),$A$27:$A$246,1),2)</f>
        <v/>
      </c>
      <c r="AQ94" s="311">
        <f>INDEX($A$27:$B$246,MATCH(IFERROR(IF(W94&lt;K94,K94,IF(W94&gt;O94,O94,W94)),0),$A$27:$A$246,1),2)</f>
        <v/>
      </c>
      <c r="AR94" s="311">
        <f>INDEX($A$27:$B$246,MATCH(IFERROR(IF(T94+$AS$5&lt;H94,H94,IF(T94+$AS$5&gt;L94,L94,T94+$AS$5)),0),$A$27:$A$246,1),2)</f>
        <v/>
      </c>
      <c r="AS94" s="311">
        <f>INDEX($A$27:$B$246,MATCH(IFERROR(IF(U94+$AS$5&lt;I94,I94,IF(U94+$AS$5&gt;M94,M94,U94+$AS$5)),0),$A$27:$A$246,1),2)</f>
        <v/>
      </c>
      <c r="AT94" s="311">
        <f>INDEX($A$27:$B$246,MATCH(IFERROR(IF(V94+$AS$5&lt;J94,J94,IF(V94+$AS$5&gt;N94,N94,V94+$AS$5)),0),$A$27:$A$246,1),2)</f>
        <v/>
      </c>
      <c r="AU94" s="311">
        <f>INDEX($A$27:$B$246,MATCH(IFERROR(IF(W94+$AS$5&lt;K94,K94,IF(W94+$AS$5&gt;O94,O94,W94+$AS$5)),0),$A$27:$A$246,1),2)</f>
        <v/>
      </c>
      <c r="AV94" s="311">
        <f>INDEX($A$27:$B$246,MATCH(IFERROR(IF(T94+$AW$5&lt;H94,H94,IF(T94+$AW$5&gt;L94,L94,T94+$AW$5)),0),$A$27:$A$246,1),2)</f>
        <v/>
      </c>
      <c r="AW94" s="311">
        <f>INDEX($A$27:$B$246,MATCH(IFERROR(IF(U94+$AW$5&lt;I94,I94,IF(U94+$AW$5&gt;M94,M94,U94+$AW$5)),0),$A$27:$A$246,1),2)</f>
        <v/>
      </c>
      <c r="AX94" s="311">
        <f>INDEX($A$27:$B$246,MATCH(IFERROR(IF(V94+$AW$5&lt;J94,J94,IF(V94+$AW$5&gt;N94,N94,V94+$AW$5)),0),$A$27:$A$246,1),2)</f>
        <v/>
      </c>
      <c r="AY94" s="311">
        <f>INDEX($A$27:$B$246,MATCH(IFERROR(IF(W94+$AW$5&lt;K94,K94,IF(W94+$AW$5&gt;O94,O94,W94+$AW$5)),0),$A$27:$A$246,1),2)</f>
        <v/>
      </c>
      <c r="AZ94" s="311">
        <f>INDEX($A$27:$B$246,MATCH(IFERROR(IF(T94+$BA$5&lt;H94,H94,IF(T94+$BA$5&gt;L94,L94,T94+$BA$5)),0),$A$27:$A$246,1),2)</f>
        <v/>
      </c>
      <c r="BA94" s="311">
        <f>INDEX($A$27:$B$246,MATCH(IFERROR(IF(U94+$BA$5&lt;I94,I94,IF(U94+$BA$5&gt;M94,M94,U94+$BA$5)),0),$A$27:$A$246,1),2)</f>
        <v/>
      </c>
      <c r="BB94" s="311">
        <f>INDEX($A$27:$B$246,MATCH(IFERROR(IF(V94+$BA$5&lt;J94,J94,IF(V94+$BA$5&gt;N94,N94,V94+$BA$5)),0),$A$27:$A$246,1),2)</f>
        <v/>
      </c>
      <c r="BC94" s="311">
        <f>INDEX($A$27:$B$246,MATCH(IFERROR(IF(W94+$BA$5&lt;K94,K94,IF(W94+$BA$5&gt;O94,O94,W94+$BA$5)),0),$A$27:$A$246,1),2)</f>
        <v/>
      </c>
      <c r="BD94" s="311" t="s">
        <v>8</v>
      </c>
      <c r="BE94" s="311" t="s">
        <v>8</v>
      </c>
      <c r="BF94" s="311" t="s">
        <v>8</v>
      </c>
      <c r="BG94" s="311" t="s">
        <v>8</v>
      </c>
    </row>
    <row r="95" spans="1:64">
      <c r="A95" s="313">
        <f>A94+$B$24</f>
        <v/>
      </c>
      <c r="B95" s="313">
        <f>B94+$B$24</f>
        <v/>
      </c>
      <c r="C95" s="314" t="n"/>
      <c r="D95" t="s">
        <v>79</v>
      </c>
      <c r="E95" s="34" t="s">
        <v>79</v>
      </c>
      <c r="F95" s="34" t="s">
        <v>239</v>
      </c>
      <c r="G95" s="34" t="n">
        <v>76</v>
      </c>
      <c r="H95" s="310" t="n">
        <v>1</v>
      </c>
      <c r="I95" s="310" t="n">
        <v>1</v>
      </c>
      <c r="J95" s="310" t="n">
        <v>1</v>
      </c>
      <c r="K95" s="310" t="n">
        <v>1</v>
      </c>
      <c r="L95" s="311">
        <f>H95*$B$1</f>
        <v/>
      </c>
      <c r="M95" s="311">
        <f>I95*$B$1</f>
        <v/>
      </c>
      <c r="N95" s="311">
        <f>J95*$B$1</f>
        <v/>
      </c>
      <c r="O95" s="311">
        <f>K95*$B$1</f>
        <v/>
      </c>
      <c r="P95" s="311">
        <f>IFERROR(MIN(VLOOKUP(E95,Detalle!A:AA,$P$6,0),VLOOKUP(E95,Detalle!A:AA,$P$7,0),VLOOKUP(E95,Detalle!A:AA,$P$4,0)),0)</f>
        <v/>
      </c>
      <c r="Q95" s="311">
        <f>IFERROR(MIN(VLOOKUP(E95,Detalle!A:AA,$Q$6,0),VLOOKUP(E95,Detalle!A:AA,$Q$7,0)),0)</f>
        <v/>
      </c>
      <c r="R95" s="311">
        <f>IFERROR(MIN(VLOOKUP(E95,Detalle!A:AA,$R$6,0),VLOOKUP(E95,Detalle!A:AA,$R$7,0)),0)</f>
        <v/>
      </c>
      <c r="S95" s="311">
        <f>IFERROR(MIN(VLOOKUP(E95,Detalle!A:AA,$S$6,0),VLOOKUP(E95,Detalle!A:AA,$S$7,0)),0)</f>
        <v/>
      </c>
      <c r="T95" s="311">
        <f>IFERROR(MAX(VLOOKUP(E95,Detalle!A:AA,$P$6,0),VLOOKUP(E95,Detalle!A:AA,$P$7,0),VLOOKUP(E95,Detalle!A:AA,$P$4,0)),0)</f>
        <v/>
      </c>
      <c r="U95" s="311">
        <f>IFERROR(MAX(VLOOKUP(E95,Detalle!A:AA,$Q$6,0),VLOOKUP(E95,Detalle!A:AA,$Q$7,0)),0)</f>
        <v/>
      </c>
      <c r="V95" s="311">
        <f>IFERROR(MAX(VLOOKUP(E95,Detalle!A:AA,$R$6,0),VLOOKUP(E95,Detalle!A:AA,$R$7,0)),0)</f>
        <v/>
      </c>
      <c r="W95" s="311">
        <f>IFERROR(MAX(VLOOKUP(E95,Detalle!A:AA,$S$6,0),VLOOKUP(E95,Detalle!A:AA,$S$7,0)),0)</f>
        <v/>
      </c>
      <c r="X95" s="311">
        <f>INDEX($A$27:$B$246,MATCH(IFERROR(IF(P95*(1+$Y$5)&lt;H95,H95,IF(P95*(1+$Y$5)&gt;L95,L95,P95*(1+$Y$5))),0),$A$27:$A$246,1),2)</f>
        <v/>
      </c>
      <c r="Y95" s="311">
        <f>INDEX($A$27:$B$246,MATCH(IFERROR(IF(Q95*(1+$Y$5)&lt;I95,I95,IF(Q95*(1+$Y$5)&gt;M95,M95,Q95*(1+$Y$5))),0),$A$27:$A$246,1),2)</f>
        <v/>
      </c>
      <c r="Z95" s="311">
        <f>INDEX($A$27:$B$246,MATCH(IFERROR(IF(R95*(1+$Y$5)&lt;J95,J95,IF(R95*(1+$Y$5)&gt;N95,N95,R95*(1+$Y$5))),0),$A$27:$A$246,1),2)</f>
        <v/>
      </c>
      <c r="AA95" s="311">
        <f>INDEX($A$27:$B$246,MATCH(IFERROR(IF(S95*(1+$Y$5)&lt;K95,K95,IF(S95*(1+$Y$5)&gt;O95,O95,S95*(1+$Y$5))),0),$A$27:$A$246,1),2)</f>
        <v/>
      </c>
      <c r="AB95" s="311">
        <f>INDEX($A$27:$B$246,MATCH(IFERROR(IF(P95-$AC$5&lt;H95,H95,IF(P95-$AC$5&gt;L95,L95,P95-$AC$5)),0),$A$27:$A$246,1),2)</f>
        <v/>
      </c>
      <c r="AC95" s="311">
        <f>INDEX($A$27:$B$246,MATCH(IFERROR(IF(Q95-$AC$5&lt;I95,I95,IF(Q95-$AC$5&gt;M95,M95,Q95-$AC$5)),0),$A$27:$A$246,1),2)</f>
        <v/>
      </c>
      <c r="AD95" s="311">
        <f>INDEX($A$27:$B$246,MATCH(IFERROR(IF(R95-$AC$5&lt;J95,J95,IF(R95-$AC$5&gt;N95,N95,R95-$AC$5)),0),$A$27:$A$246,1),2)</f>
        <v/>
      </c>
      <c r="AE95" s="311">
        <f>INDEX($A$27:$B$246,MATCH(IFERROR(IF(S95-$AC$5&lt;K95,K95,IF(S95-$AC$5&gt;O95,O95,S95-$AC$5)),0),$A$27:$A$246,1),2)</f>
        <v/>
      </c>
      <c r="AF95" s="311" t="s">
        <v>8</v>
      </c>
      <c r="AG95" s="311" t="s">
        <v>8</v>
      </c>
      <c r="AH95" s="311" t="s">
        <v>8</v>
      </c>
      <c r="AI95" s="311" t="s">
        <v>8</v>
      </c>
      <c r="AJ95" s="311">
        <f>INDEX($A$27:$B$246,MATCH(IFERROR(IF(T95&lt;H95,H95,IF(T95&gt;L95,L95,T95)),0),$A$27:$A$246,1),2)</f>
        <v/>
      </c>
      <c r="AK95" s="311">
        <f>INDEX($A$27:$B$246,MATCH(IFERROR(IF(U95&lt;I95,I95,IF(U95&gt;M95,M95,U95)),0),$A$27:$A$246,1),2)</f>
        <v/>
      </c>
      <c r="AL95" s="311">
        <f>INDEX($A$27:$B$246,MATCH(IFERROR(IF(V95&lt;J95,J95,IF(V95&gt;N95,N95,V95)),0),$A$27:$A$246,1),2)</f>
        <v/>
      </c>
      <c r="AM95" s="311">
        <f>INDEX($A$27:$B$246,MATCH(IFERROR(IF(W95&lt;K95,K95,IF(W95&gt;O95,O95,W95)),0),$A$27:$A$246,1),2)</f>
        <v/>
      </c>
      <c r="AN95" s="311">
        <f>INDEX($A$27:$B$246,MATCH(IFERROR(IF(T95&lt;H95,H95,IF(T95&gt;L95,L95,T95)),0),$A$27:$A$246,1),2)</f>
        <v/>
      </c>
      <c r="AO95" s="311">
        <f>INDEX($A$27:$B$246,MATCH(IFERROR(IF(U95&lt;I95,I95,IF(U95&gt;M95,M95,U95)),0),$A$27:$A$246,1),2)</f>
        <v/>
      </c>
      <c r="AP95" s="311">
        <f>INDEX($A$27:$B$246,MATCH(IFERROR(IF(V95&lt;J95,J95,IF(V95&gt;N95,N95,V95)),0),$A$27:$A$246,1),2)</f>
        <v/>
      </c>
      <c r="AQ95" s="311">
        <f>INDEX($A$27:$B$246,MATCH(IFERROR(IF(W95&lt;K95,K95,IF(W95&gt;O95,O95,W95)),0),$A$27:$A$246,1),2)</f>
        <v/>
      </c>
      <c r="AR95" s="311">
        <f>INDEX($A$27:$B$246,MATCH(IFERROR(IF(T95+$AS$5&lt;H95,H95,IF(T95+$AS$5&gt;L95,L95,T95+$AS$5)),0),$A$27:$A$246,1),2)</f>
        <v/>
      </c>
      <c r="AS95" s="311">
        <f>INDEX($A$27:$B$246,MATCH(IFERROR(IF(U95+$AS$5&lt;I95,I95,IF(U95+$AS$5&gt;M95,M95,U95+$AS$5)),0),$A$27:$A$246,1),2)</f>
        <v/>
      </c>
      <c r="AT95" s="311">
        <f>INDEX($A$27:$B$246,MATCH(IFERROR(IF(V95+$AS$5&lt;J95,J95,IF(V95+$AS$5&gt;N95,N95,V95+$AS$5)),0),$A$27:$A$246,1),2)</f>
        <v/>
      </c>
      <c r="AU95" s="311">
        <f>INDEX($A$27:$B$246,MATCH(IFERROR(IF(W95+$AS$5&lt;K95,K95,IF(W95+$AS$5&gt;O95,O95,W95+$AS$5)),0),$A$27:$A$246,1),2)</f>
        <v/>
      </c>
      <c r="AV95" s="311">
        <f>INDEX($A$27:$B$246,MATCH(IFERROR(IF(T95+$AW$5&lt;H95,H95,IF(T95+$AW$5&gt;L95,L95,T95+$AW$5)),0),$A$27:$A$246,1),2)</f>
        <v/>
      </c>
      <c r="AW95" s="311">
        <f>INDEX($A$27:$B$246,MATCH(IFERROR(IF(U95+$AW$5&lt;I95,I95,IF(U95+$AW$5&gt;M95,M95,U95+$AW$5)),0),$A$27:$A$246,1),2)</f>
        <v/>
      </c>
      <c r="AX95" s="311">
        <f>INDEX($A$27:$B$246,MATCH(IFERROR(IF(V95+$AW$5&lt;J95,J95,IF(V95+$AW$5&gt;N95,N95,V95+$AW$5)),0),$A$27:$A$246,1),2)</f>
        <v/>
      </c>
      <c r="AY95" s="311">
        <f>INDEX($A$27:$B$246,MATCH(IFERROR(IF(W95+$AW$5&lt;K95,K95,IF(W95+$AW$5&gt;O95,O95,W95+$AW$5)),0),$A$27:$A$246,1),2)</f>
        <v/>
      </c>
      <c r="AZ95" s="311">
        <f>INDEX($A$27:$B$246,MATCH(IFERROR(IF(T95+$BA$5&lt;H95,H95,IF(T95+$BA$5&gt;L95,L95,T95+$BA$5)),0),$A$27:$A$246,1),2)</f>
        <v/>
      </c>
      <c r="BA95" s="311">
        <f>INDEX($A$27:$B$246,MATCH(IFERROR(IF(U95+$BA$5&lt;I95,I95,IF(U95+$BA$5&gt;M95,M95,U95+$BA$5)),0),$A$27:$A$246,1),2)</f>
        <v/>
      </c>
      <c r="BB95" s="311">
        <f>INDEX($A$27:$B$246,MATCH(IFERROR(IF(V95+$BA$5&lt;J95,J95,IF(V95+$BA$5&gt;N95,N95,V95+$BA$5)),0),$A$27:$A$246,1),2)</f>
        <v/>
      </c>
      <c r="BC95" s="311">
        <f>INDEX($A$27:$B$246,MATCH(IFERROR(IF(W95+$BA$5&lt;K95,K95,IF(W95+$BA$5&gt;O95,O95,W95+$BA$5)),0),$A$27:$A$246,1),2)</f>
        <v/>
      </c>
      <c r="BD95" s="311" t="s">
        <v>8</v>
      </c>
      <c r="BE95" s="311" t="s">
        <v>8</v>
      </c>
      <c r="BF95" s="311" t="s">
        <v>8</v>
      </c>
      <c r="BG95" s="311" t="s">
        <v>8</v>
      </c>
    </row>
    <row r="96" spans="1:64">
      <c r="A96" s="313">
        <f>A95+$B$24</f>
        <v/>
      </c>
      <c r="B96" s="313">
        <f>B95+$B$24</f>
        <v/>
      </c>
      <c r="C96" s="314" t="n"/>
      <c r="D96" t="s">
        <v>81</v>
      </c>
      <c r="E96" s="34" t="s">
        <v>81</v>
      </c>
      <c r="F96" s="34" t="s">
        <v>239</v>
      </c>
      <c r="G96" s="34" t="n">
        <v>81</v>
      </c>
      <c r="H96" s="310" t="n">
        <v>1</v>
      </c>
      <c r="I96" s="310" t="n">
        <v>1</v>
      </c>
      <c r="J96" s="310" t="n">
        <v>1</v>
      </c>
      <c r="K96" s="310" t="n">
        <v>1</v>
      </c>
      <c r="L96" s="311">
        <f>H96*$B$1</f>
        <v/>
      </c>
      <c r="M96" s="311">
        <f>I96*$B$1</f>
        <v/>
      </c>
      <c r="N96" s="311">
        <f>J96*$B$1</f>
        <v/>
      </c>
      <c r="O96" s="311">
        <f>K96*$B$1</f>
        <v/>
      </c>
      <c r="P96" s="311">
        <f>IFERROR(MIN(VLOOKUP(E96,Detalle!A:AA,$P$6,0),VLOOKUP(E96,Detalle!A:AA,$P$7,0),VLOOKUP(E96,Detalle!A:AA,$P$4,0)),0)</f>
        <v/>
      </c>
      <c r="Q96" s="311">
        <f>IFERROR(MIN(VLOOKUP(E96,Detalle!A:AA,$Q$6,0),VLOOKUP(E96,Detalle!A:AA,$Q$7,0)),0)</f>
        <v/>
      </c>
      <c r="R96" s="311">
        <f>IFERROR(MIN(VLOOKUP(E96,Detalle!A:AA,$R$6,0),VLOOKUP(E96,Detalle!A:AA,$R$7,0)),0)</f>
        <v/>
      </c>
      <c r="S96" s="311">
        <f>IFERROR(MIN(VLOOKUP(E96,Detalle!A:AA,$S$6,0),VLOOKUP(E96,Detalle!A:AA,$S$7,0)),0)</f>
        <v/>
      </c>
      <c r="T96" s="311">
        <f>IFERROR(MAX(VLOOKUP(E96,Detalle!A:AA,$P$6,0),VLOOKUP(E96,Detalle!A:AA,$P$7,0),VLOOKUP(E96,Detalle!A:AA,$P$4,0)),0)</f>
        <v/>
      </c>
      <c r="U96" s="311">
        <f>IFERROR(MAX(VLOOKUP(E96,Detalle!A:AA,$Q$6,0),VLOOKUP(E96,Detalle!A:AA,$Q$7,0)),0)</f>
        <v/>
      </c>
      <c r="V96" s="311">
        <f>IFERROR(MAX(VLOOKUP(E96,Detalle!A:AA,$R$6,0),VLOOKUP(E96,Detalle!A:AA,$R$7,0)),0)</f>
        <v/>
      </c>
      <c r="W96" s="311">
        <f>IFERROR(MAX(VLOOKUP(E96,Detalle!A:AA,$S$6,0),VLOOKUP(E96,Detalle!A:AA,$S$7,0)),0)</f>
        <v/>
      </c>
      <c r="X96" s="311">
        <f>INDEX($A$27:$B$246,MATCH(IFERROR(IF(P96*(1+$Y$5)&lt;H96,H96,IF(P96*(1+$Y$5)&gt;L96,L96,P96*(1+$Y$5))),0),$A$27:$A$246,1),2)</f>
        <v/>
      </c>
      <c r="Y96" s="311">
        <f>INDEX($A$27:$B$246,MATCH(IFERROR(IF(Q96*(1+$Y$5)&lt;I96,I96,IF(Q96*(1+$Y$5)&gt;M96,M96,Q96*(1+$Y$5))),0),$A$27:$A$246,1),2)</f>
        <v/>
      </c>
      <c r="Z96" s="311">
        <f>INDEX($A$27:$B$246,MATCH(IFERROR(IF(R96*(1+$Y$5)&lt;J96,J96,IF(R96*(1+$Y$5)&gt;N96,N96,R96*(1+$Y$5))),0),$A$27:$A$246,1),2)</f>
        <v/>
      </c>
      <c r="AA96" s="311">
        <f>INDEX($A$27:$B$246,MATCH(IFERROR(IF(S96*(1+$Y$5)&lt;K96,K96,IF(S96*(1+$Y$5)&gt;O96,O96,S96*(1+$Y$5))),0),$A$27:$A$246,1),2)</f>
        <v/>
      </c>
      <c r="AB96" s="311">
        <f>INDEX($A$27:$B$246,MATCH(IFERROR(IF(P96-$AC$5&lt;H96,H96,IF(P96-$AC$5&gt;L96,L96,P96-$AC$5)),0),$A$27:$A$246,1),2)</f>
        <v/>
      </c>
      <c r="AC96" s="311">
        <f>INDEX($A$27:$B$246,MATCH(IFERROR(IF(Q96-$AC$5&lt;I96,I96,IF(Q96-$AC$5&gt;M96,M96,Q96-$AC$5)),0),$A$27:$A$246,1),2)</f>
        <v/>
      </c>
      <c r="AD96" s="311">
        <f>INDEX($A$27:$B$246,MATCH(IFERROR(IF(R96-$AC$5&lt;J96,J96,IF(R96-$AC$5&gt;N96,N96,R96-$AC$5)),0),$A$27:$A$246,1),2)</f>
        <v/>
      </c>
      <c r="AE96" s="311">
        <f>INDEX($A$27:$B$246,MATCH(IFERROR(IF(S96-$AC$5&lt;K96,K96,IF(S96-$AC$5&gt;O96,O96,S96-$AC$5)),0),$A$27:$A$246,1),2)</f>
        <v/>
      </c>
      <c r="AF96" s="311" t="s">
        <v>8</v>
      </c>
      <c r="AG96" s="311" t="s">
        <v>8</v>
      </c>
      <c r="AH96" s="311" t="s">
        <v>8</v>
      </c>
      <c r="AI96" s="311" t="s">
        <v>8</v>
      </c>
      <c r="AJ96" s="311">
        <f>INDEX($A$27:$B$246,MATCH(IFERROR(IF(T96&lt;H96,H96,IF(T96&gt;L96,L96,T96)),0),$A$27:$A$246,1),2)</f>
        <v/>
      </c>
      <c r="AK96" s="311">
        <f>INDEX($A$27:$B$246,MATCH(IFERROR(IF(U96&lt;I96,I96,IF(U96&gt;M96,M96,U96)),0),$A$27:$A$246,1),2)</f>
        <v/>
      </c>
      <c r="AL96" s="311">
        <f>INDEX($A$27:$B$246,MATCH(IFERROR(IF(V96&lt;J96,J96,IF(V96&gt;N96,N96,V96)),0),$A$27:$A$246,1),2)</f>
        <v/>
      </c>
      <c r="AM96" s="311">
        <f>INDEX($A$27:$B$246,MATCH(IFERROR(IF(W96&lt;K96,K96,IF(W96&gt;O96,O96,W96)),0),$A$27:$A$246,1),2)</f>
        <v/>
      </c>
      <c r="AN96" s="311">
        <f>INDEX($A$27:$B$246,MATCH(IFERROR(IF(T96&lt;H96,H96,IF(T96&gt;L96,L96,T96)),0),$A$27:$A$246,1),2)</f>
        <v/>
      </c>
      <c r="AO96" s="311">
        <f>INDEX($A$27:$B$246,MATCH(IFERROR(IF(U96&lt;I96,I96,IF(U96&gt;M96,M96,U96)),0),$A$27:$A$246,1),2)</f>
        <v/>
      </c>
      <c r="AP96" s="311">
        <f>INDEX($A$27:$B$246,MATCH(IFERROR(IF(V96&lt;J96,J96,IF(V96&gt;N96,N96,V96)),0),$A$27:$A$246,1),2)</f>
        <v/>
      </c>
      <c r="AQ96" s="311">
        <f>INDEX($A$27:$B$246,MATCH(IFERROR(IF(W96&lt;K96,K96,IF(W96&gt;O96,O96,W96)),0),$A$27:$A$246,1),2)</f>
        <v/>
      </c>
      <c r="AR96" s="311">
        <f>INDEX($A$27:$B$246,MATCH(IFERROR(IF(T96+$AS$5&lt;H96,H96,IF(T96+$AS$5&gt;L96,L96,T96+$AS$5)),0),$A$27:$A$246,1),2)</f>
        <v/>
      </c>
      <c r="AS96" s="311">
        <f>INDEX($A$27:$B$246,MATCH(IFERROR(IF(U96+$AS$5&lt;I96,I96,IF(U96+$AS$5&gt;M96,M96,U96+$AS$5)),0),$A$27:$A$246,1),2)</f>
        <v/>
      </c>
      <c r="AT96" s="311">
        <f>INDEX($A$27:$B$246,MATCH(IFERROR(IF(V96+$AS$5&lt;J96,J96,IF(V96+$AS$5&gt;N96,N96,V96+$AS$5)),0),$A$27:$A$246,1),2)</f>
        <v/>
      </c>
      <c r="AU96" s="311">
        <f>INDEX($A$27:$B$246,MATCH(IFERROR(IF(W96+$AS$5&lt;K96,K96,IF(W96+$AS$5&gt;O96,O96,W96+$AS$5)),0),$A$27:$A$246,1),2)</f>
        <v/>
      </c>
      <c r="AV96" s="311">
        <f>INDEX($A$27:$B$246,MATCH(IFERROR(IF(T96+$AW$5&lt;H96,H96,IF(T96+$AW$5&gt;L96,L96,T96+$AW$5)),0),$A$27:$A$246,1),2)</f>
        <v/>
      </c>
      <c r="AW96" s="311">
        <f>INDEX($A$27:$B$246,MATCH(IFERROR(IF(U96+$AW$5&lt;I96,I96,IF(U96+$AW$5&gt;M96,M96,U96+$AW$5)),0),$A$27:$A$246,1),2)</f>
        <v/>
      </c>
      <c r="AX96" s="311">
        <f>INDEX($A$27:$B$246,MATCH(IFERROR(IF(V96+$AW$5&lt;J96,J96,IF(V96+$AW$5&gt;N96,N96,V96+$AW$5)),0),$A$27:$A$246,1),2)</f>
        <v/>
      </c>
      <c r="AY96" s="311">
        <f>INDEX($A$27:$B$246,MATCH(IFERROR(IF(W96+$AW$5&lt;K96,K96,IF(W96+$AW$5&gt;O96,O96,W96+$AW$5)),0),$A$27:$A$246,1),2)</f>
        <v/>
      </c>
      <c r="AZ96" s="311">
        <f>INDEX($A$27:$B$246,MATCH(IFERROR(IF(T96+$BA$5&lt;H96,H96,IF(T96+$BA$5&gt;L96,L96,T96+$BA$5)),0),$A$27:$A$246,1),2)</f>
        <v/>
      </c>
      <c r="BA96" s="311">
        <f>INDEX($A$27:$B$246,MATCH(IFERROR(IF(U96+$BA$5&lt;I96,I96,IF(U96+$BA$5&gt;M96,M96,U96+$BA$5)),0),$A$27:$A$246,1),2)</f>
        <v/>
      </c>
      <c r="BB96" s="311">
        <f>INDEX($A$27:$B$246,MATCH(IFERROR(IF(V96+$BA$5&lt;J96,J96,IF(V96+$BA$5&gt;N96,N96,V96+$BA$5)),0),$A$27:$A$246,1),2)</f>
        <v/>
      </c>
      <c r="BC96" s="311">
        <f>INDEX($A$27:$B$246,MATCH(IFERROR(IF(W96+$BA$5&lt;K96,K96,IF(W96+$BA$5&gt;O96,O96,W96+$BA$5)),0),$A$27:$A$246,1),2)</f>
        <v/>
      </c>
      <c r="BD96" s="311" t="s">
        <v>8</v>
      </c>
      <c r="BE96" s="311" t="s">
        <v>8</v>
      </c>
      <c r="BF96" s="311" t="s">
        <v>8</v>
      </c>
      <c r="BG96" s="311" t="s">
        <v>8</v>
      </c>
    </row>
    <row r="97" spans="1:64">
      <c r="A97" s="313">
        <f>A96+$B$24</f>
        <v/>
      </c>
      <c r="B97" s="313">
        <f>B96+$B$24</f>
        <v/>
      </c>
      <c r="C97" s="314" t="n"/>
      <c r="D97" t="s">
        <v>87</v>
      </c>
      <c r="E97" s="34" t="s">
        <v>87</v>
      </c>
      <c r="F97" s="34" t="s">
        <v>227</v>
      </c>
      <c r="G97" s="34" t="n">
        <v>161</v>
      </c>
      <c r="H97" s="310" t="n">
        <v>1</v>
      </c>
      <c r="I97" s="310" t="n">
        <v>1</v>
      </c>
      <c r="J97" s="310" t="n">
        <v>1</v>
      </c>
      <c r="K97" s="310" t="n">
        <v>1</v>
      </c>
      <c r="L97" s="311">
        <f>H97*$B$1</f>
        <v/>
      </c>
      <c r="M97" s="311">
        <f>I97*$B$1</f>
        <v/>
      </c>
      <c r="N97" s="311">
        <f>J97*$B$1</f>
        <v/>
      </c>
      <c r="O97" s="311">
        <f>K97*$B$1</f>
        <v/>
      </c>
      <c r="P97" s="311">
        <f>IFERROR(MIN(VLOOKUP(E97,Detalle!A:AA,$P$6,0),VLOOKUP(E97,Detalle!A:AA,$P$7,0),VLOOKUP(E97,Detalle!A:AA,$P$4,0)),0)</f>
        <v/>
      </c>
      <c r="Q97" s="311">
        <f>IFERROR(MIN(VLOOKUP(E97,Detalle!A:AA,$Q$6,0),VLOOKUP(E97,Detalle!A:AA,$Q$7,0)),0)</f>
        <v/>
      </c>
      <c r="R97" s="311">
        <f>IFERROR(MIN(VLOOKUP(E97,Detalle!A:AA,$R$6,0),VLOOKUP(E97,Detalle!A:AA,$R$7,0)),0)</f>
        <v/>
      </c>
      <c r="S97" s="311">
        <f>IFERROR(MIN(VLOOKUP(E97,Detalle!A:AA,$S$6,0),VLOOKUP(E97,Detalle!A:AA,$S$7,0)),0)</f>
        <v/>
      </c>
      <c r="T97" s="311">
        <f>IFERROR(MAX(VLOOKUP(E97,Detalle!A:AA,$P$6,0),VLOOKUP(E97,Detalle!A:AA,$P$7,0),VLOOKUP(E97,Detalle!A:AA,$P$4,0)),0)</f>
        <v/>
      </c>
      <c r="U97" s="311">
        <f>IFERROR(MAX(VLOOKUP(E97,Detalle!A:AA,$Q$6,0),VLOOKUP(E97,Detalle!A:AA,$Q$7,0)),0)</f>
        <v/>
      </c>
      <c r="V97" s="311">
        <f>IFERROR(MAX(VLOOKUP(E97,Detalle!A:AA,$R$6,0),VLOOKUP(E97,Detalle!A:AA,$R$7,0)),0)</f>
        <v/>
      </c>
      <c r="W97" s="311">
        <f>IFERROR(MAX(VLOOKUP(E97,Detalle!A:AA,$S$6,0),VLOOKUP(E97,Detalle!A:AA,$S$7,0)),0)</f>
        <v/>
      </c>
      <c r="X97" s="311">
        <f>INDEX($A$27:$B$246,MATCH(IFERROR(IF(P97*(1+$Y$5)&lt;H97,H97,IF(P97*(1+$Y$5)&gt;L97,L97,P97*(1+$Y$5))),0),$A$27:$A$246,1),2)</f>
        <v/>
      </c>
      <c r="Y97" s="311">
        <f>INDEX($A$27:$B$246,MATCH(IFERROR(IF(Q97*(1+$Y$5)&lt;I97,I97,IF(Q97*(1+$Y$5)&gt;M97,M97,Q97*(1+$Y$5))),0),$A$27:$A$246,1),2)</f>
        <v/>
      </c>
      <c r="Z97" s="311">
        <f>INDEX($A$27:$B$246,MATCH(IFERROR(IF(R97*(1+$Y$5)&lt;J97,J97,IF(R97*(1+$Y$5)&gt;N97,N97,R97*(1+$Y$5))),0),$A$27:$A$246,1),2)</f>
        <v/>
      </c>
      <c r="AA97" s="311">
        <f>INDEX($A$27:$B$246,MATCH(IFERROR(IF(S97*(1+$Y$5)&lt;K97,K97,IF(S97*(1+$Y$5)&gt;O97,O97,S97*(1+$Y$5))),0),$A$27:$A$246,1),2)</f>
        <v/>
      </c>
      <c r="AB97" s="311">
        <f>INDEX($A$27:$B$246,MATCH(IFERROR(IF(P97-$AC$5&lt;H97,H97,IF(P97-$AC$5&gt;L97,L97,P97-$AC$5)),0),$A$27:$A$246,1),2)</f>
        <v/>
      </c>
      <c r="AC97" s="311">
        <f>INDEX($A$27:$B$246,MATCH(IFERROR(IF(Q97-$AC$5&lt;I97,I97,IF(Q97-$AC$5&gt;M97,M97,Q97-$AC$5)),0),$A$27:$A$246,1),2)</f>
        <v/>
      </c>
      <c r="AD97" s="311">
        <f>INDEX($A$27:$B$246,MATCH(IFERROR(IF(R97-$AC$5&lt;J97,J97,IF(R97-$AC$5&gt;N97,N97,R97-$AC$5)),0),$A$27:$A$246,1),2)</f>
        <v/>
      </c>
      <c r="AE97" s="311">
        <f>INDEX($A$27:$B$246,MATCH(IFERROR(IF(S97-$AC$5&lt;K97,K97,IF(S97-$AC$5&gt;O97,O97,S97-$AC$5)),0),$A$27:$A$246,1),2)</f>
        <v/>
      </c>
      <c r="AF97" s="311" t="s">
        <v>8</v>
      </c>
      <c r="AG97" s="311" t="s">
        <v>8</v>
      </c>
      <c r="AH97" s="311" t="s">
        <v>8</v>
      </c>
      <c r="AI97" s="311" t="s">
        <v>8</v>
      </c>
      <c r="AJ97" s="311">
        <f>INDEX($A$27:$B$246,MATCH(IFERROR(IF(T97&lt;H97,H97,IF(T97&gt;L97,L97,T97)),0),$A$27:$A$246,1),2)</f>
        <v/>
      </c>
      <c r="AK97" s="311">
        <f>INDEX($A$27:$B$246,MATCH(IFERROR(IF(U97&lt;I97,I97,IF(U97&gt;M97,M97,U97)),0),$A$27:$A$246,1),2)</f>
        <v/>
      </c>
      <c r="AL97" s="311">
        <f>INDEX($A$27:$B$246,MATCH(IFERROR(IF(V97&lt;J97,J97,IF(V97&gt;N97,N97,V97)),0),$A$27:$A$246,1),2)</f>
        <v/>
      </c>
      <c r="AM97" s="311">
        <f>INDEX($A$27:$B$246,MATCH(IFERROR(IF(W97&lt;K97,K97,IF(W97&gt;O97,O97,W97)),0),$A$27:$A$246,1),2)</f>
        <v/>
      </c>
      <c r="AN97" s="311">
        <f>INDEX($A$27:$B$246,MATCH(IFERROR(IF(T97&lt;H97,H97,IF(T97&gt;L97,L97,T97)),0),$A$27:$A$246,1),2)</f>
        <v/>
      </c>
      <c r="AO97" s="311">
        <f>INDEX($A$27:$B$246,MATCH(IFERROR(IF(U97&lt;I97,I97,IF(U97&gt;M97,M97,U97)),0),$A$27:$A$246,1),2)</f>
        <v/>
      </c>
      <c r="AP97" s="311">
        <f>INDEX($A$27:$B$246,MATCH(IFERROR(IF(V97&lt;J97,J97,IF(V97&gt;N97,N97,V97)),0),$A$27:$A$246,1),2)</f>
        <v/>
      </c>
      <c r="AQ97" s="311">
        <f>INDEX($A$27:$B$246,MATCH(IFERROR(IF(W97&lt;K97,K97,IF(W97&gt;O97,O97,W97)),0),$A$27:$A$246,1),2)</f>
        <v/>
      </c>
      <c r="AR97" s="311">
        <f>INDEX($A$27:$B$246,MATCH(IFERROR(IF(T97+$AS$5&lt;H97,H97,IF(T97+$AS$5&gt;L97,L97,T97+$AS$5)),0),$A$27:$A$246,1),2)</f>
        <v/>
      </c>
      <c r="AS97" s="311">
        <f>INDEX($A$27:$B$246,MATCH(IFERROR(IF(U97+$AS$5&lt;I97,I97,IF(U97+$AS$5&gt;M97,M97,U97+$AS$5)),0),$A$27:$A$246,1),2)</f>
        <v/>
      </c>
      <c r="AT97" s="311">
        <f>INDEX($A$27:$B$246,MATCH(IFERROR(IF(V97+$AS$5&lt;J97,J97,IF(V97+$AS$5&gt;N97,N97,V97+$AS$5)),0),$A$27:$A$246,1),2)</f>
        <v/>
      </c>
      <c r="AU97" s="311">
        <f>INDEX($A$27:$B$246,MATCH(IFERROR(IF(W97+$AS$5&lt;K97,K97,IF(W97+$AS$5&gt;O97,O97,W97+$AS$5)),0),$A$27:$A$246,1),2)</f>
        <v/>
      </c>
      <c r="AV97" s="311">
        <f>INDEX($A$27:$B$246,MATCH(IFERROR(IF(T97+$AW$5&lt;H97,H97,IF(T97+$AW$5&gt;L97,L97,T97+$AW$5)),0),$A$27:$A$246,1),2)</f>
        <v/>
      </c>
      <c r="AW97" s="311">
        <f>INDEX($A$27:$B$246,MATCH(IFERROR(IF(U97+$AW$5&lt;I97,I97,IF(U97+$AW$5&gt;M97,M97,U97+$AW$5)),0),$A$27:$A$246,1),2)</f>
        <v/>
      </c>
      <c r="AX97" s="311">
        <f>INDEX($A$27:$B$246,MATCH(IFERROR(IF(V97+$AW$5&lt;J97,J97,IF(V97+$AW$5&gt;N97,N97,V97+$AW$5)),0),$A$27:$A$246,1),2)</f>
        <v/>
      </c>
      <c r="AY97" s="311">
        <f>INDEX($A$27:$B$246,MATCH(IFERROR(IF(W97+$AW$5&lt;K97,K97,IF(W97+$AW$5&gt;O97,O97,W97+$AW$5)),0),$A$27:$A$246,1),2)</f>
        <v/>
      </c>
      <c r="AZ97" s="311">
        <f>INDEX($A$27:$B$246,MATCH(IFERROR(IF(T97+$BA$5&lt;H97,H97,IF(T97+$BA$5&gt;L97,L97,T97+$BA$5)),0),$A$27:$A$246,1),2)</f>
        <v/>
      </c>
      <c r="BA97" s="311">
        <f>INDEX($A$27:$B$246,MATCH(IFERROR(IF(U97+$BA$5&lt;I97,I97,IF(U97+$BA$5&gt;M97,M97,U97+$BA$5)),0),$A$27:$A$246,1),2)</f>
        <v/>
      </c>
      <c r="BB97" s="311">
        <f>INDEX($A$27:$B$246,MATCH(IFERROR(IF(V97+$BA$5&lt;J97,J97,IF(V97+$BA$5&gt;N97,N97,V97+$BA$5)),0),$A$27:$A$246,1),2)</f>
        <v/>
      </c>
      <c r="BC97" s="311">
        <f>INDEX($A$27:$B$246,MATCH(IFERROR(IF(W97+$BA$5&lt;K97,K97,IF(W97+$BA$5&gt;O97,O97,W97+$BA$5)),0),$A$27:$A$246,1),2)</f>
        <v/>
      </c>
      <c r="BD97" s="311" t="s">
        <v>8</v>
      </c>
      <c r="BE97" s="311" t="s">
        <v>8</v>
      </c>
      <c r="BF97" s="311" t="s">
        <v>8</v>
      </c>
      <c r="BG97" s="311" t="s">
        <v>8</v>
      </c>
    </row>
    <row r="98" spans="1:64">
      <c r="A98" s="313">
        <f>A97+$B$24</f>
        <v/>
      </c>
      <c r="B98" s="313">
        <f>B97+$B$24</f>
        <v/>
      </c>
      <c r="C98" s="314" t="n"/>
      <c r="D98" t="s">
        <v>88</v>
      </c>
      <c r="E98" s="34" t="s">
        <v>88</v>
      </c>
      <c r="F98" s="34" t="s">
        <v>227</v>
      </c>
      <c r="G98" s="34" t="n">
        <v>371</v>
      </c>
      <c r="H98" s="310" t="n">
        <v>1</v>
      </c>
      <c r="I98" s="310" t="n">
        <v>1</v>
      </c>
      <c r="J98" s="310" t="n">
        <v>1</v>
      </c>
      <c r="K98" s="310" t="n">
        <v>1</v>
      </c>
      <c r="L98" s="311">
        <f>H98*$B$1</f>
        <v/>
      </c>
      <c r="M98" s="311">
        <f>I98*$B$1</f>
        <v/>
      </c>
      <c r="N98" s="311">
        <f>J98*$B$1</f>
        <v/>
      </c>
      <c r="O98" s="311">
        <f>K98*$B$1</f>
        <v/>
      </c>
      <c r="P98" s="311">
        <f>IFERROR(MIN(VLOOKUP(E98,Detalle!A:AA,$P$6,0),VLOOKUP(E98,Detalle!A:AA,$P$7,0),VLOOKUP(E98,Detalle!A:AA,$P$4,0)),0)</f>
        <v/>
      </c>
      <c r="Q98" s="311">
        <f>IFERROR(MIN(VLOOKUP(E98,Detalle!A:AA,$Q$6,0),VLOOKUP(E98,Detalle!A:AA,$Q$7,0)),0)</f>
        <v/>
      </c>
      <c r="R98" s="311">
        <f>IFERROR(MIN(VLOOKUP(E98,Detalle!A:AA,$R$6,0),VLOOKUP(E98,Detalle!A:AA,$R$7,0)),0)</f>
        <v/>
      </c>
      <c r="S98" s="311">
        <f>IFERROR(MIN(VLOOKUP(E98,Detalle!A:AA,$S$6,0),VLOOKUP(E98,Detalle!A:AA,$S$7,0)),0)</f>
        <v/>
      </c>
      <c r="T98" s="311">
        <f>IFERROR(MAX(VLOOKUP(E98,Detalle!A:AA,$P$6,0),VLOOKUP(E98,Detalle!A:AA,$P$7,0),VLOOKUP(E98,Detalle!A:AA,$P$4,0)),0)</f>
        <v/>
      </c>
      <c r="U98" s="311">
        <f>IFERROR(MAX(VLOOKUP(E98,Detalle!A:AA,$Q$6,0),VLOOKUP(E98,Detalle!A:AA,$Q$7,0)),0)</f>
        <v/>
      </c>
      <c r="V98" s="311">
        <f>IFERROR(MAX(VLOOKUP(E98,Detalle!A:AA,$R$6,0),VLOOKUP(E98,Detalle!A:AA,$R$7,0)),0)</f>
        <v/>
      </c>
      <c r="W98" s="311">
        <f>IFERROR(MAX(VLOOKUP(E98,Detalle!A:AA,$S$6,0),VLOOKUP(E98,Detalle!A:AA,$S$7,0)),0)</f>
        <v/>
      </c>
      <c r="X98" s="311">
        <f>INDEX($A$27:$B$246,MATCH(IFERROR(IF(P98*(1+$Y$5)&lt;H98,H98,IF(P98*(1+$Y$5)&gt;L98,L98,P98*(1+$Y$5))),0),$A$27:$A$246,1),2)</f>
        <v/>
      </c>
      <c r="Y98" s="311">
        <f>INDEX($A$27:$B$246,MATCH(IFERROR(IF(Q98*(1+$Y$5)&lt;I98,I98,IF(Q98*(1+$Y$5)&gt;M98,M98,Q98*(1+$Y$5))),0),$A$27:$A$246,1),2)</f>
        <v/>
      </c>
      <c r="Z98" s="311">
        <f>INDEX($A$27:$B$246,MATCH(IFERROR(IF(R98*(1+$Y$5)&lt;J98,J98,IF(R98*(1+$Y$5)&gt;N98,N98,R98*(1+$Y$5))),0),$A$27:$A$246,1),2)</f>
        <v/>
      </c>
      <c r="AA98" s="311">
        <f>INDEX($A$27:$B$246,MATCH(IFERROR(IF(S98*(1+$Y$5)&lt;K98,K98,IF(S98*(1+$Y$5)&gt;O98,O98,S98*(1+$Y$5))),0),$A$27:$A$246,1),2)</f>
        <v/>
      </c>
      <c r="AB98" s="311">
        <f>INDEX($A$27:$B$246,MATCH(IFERROR(IF(P98-$AC$5&lt;H98,H98,IF(P98-$AC$5&gt;L98,L98,P98-$AC$5)),0),$A$27:$A$246,1),2)</f>
        <v/>
      </c>
      <c r="AC98" s="311">
        <f>INDEX($A$27:$B$246,MATCH(IFERROR(IF(Q98-$AC$5&lt;I98,I98,IF(Q98-$AC$5&gt;M98,M98,Q98-$AC$5)),0),$A$27:$A$246,1),2)</f>
        <v/>
      </c>
      <c r="AD98" s="311">
        <f>INDEX($A$27:$B$246,MATCH(IFERROR(IF(R98-$AC$5&lt;J98,J98,IF(R98-$AC$5&gt;N98,N98,R98-$AC$5)),0),$A$27:$A$246,1),2)</f>
        <v/>
      </c>
      <c r="AE98" s="311">
        <f>INDEX($A$27:$B$246,MATCH(IFERROR(IF(S98-$AC$5&lt;K98,K98,IF(S98-$AC$5&gt;O98,O98,S98-$AC$5)),0),$A$27:$A$246,1),2)</f>
        <v/>
      </c>
      <c r="AF98" s="311" t="s">
        <v>8</v>
      </c>
      <c r="AG98" s="311" t="s">
        <v>8</v>
      </c>
      <c r="AH98" s="311" t="s">
        <v>8</v>
      </c>
      <c r="AI98" s="311" t="s">
        <v>8</v>
      </c>
      <c r="AJ98" s="311">
        <f>INDEX($A$27:$B$246,MATCH(IFERROR(IF(T98&lt;H98,H98,IF(T98&gt;L98,L98,T98)),0),$A$27:$A$246,1),2)</f>
        <v/>
      </c>
      <c r="AK98" s="311">
        <f>INDEX($A$27:$B$246,MATCH(IFERROR(IF(U98&lt;I98,I98,IF(U98&gt;M98,M98,U98)),0),$A$27:$A$246,1),2)</f>
        <v/>
      </c>
      <c r="AL98" s="311">
        <f>INDEX($A$27:$B$246,MATCH(IFERROR(IF(V98&lt;J98,J98,IF(V98&gt;N98,N98,V98)),0),$A$27:$A$246,1),2)</f>
        <v/>
      </c>
      <c r="AM98" s="311">
        <f>INDEX($A$27:$B$246,MATCH(IFERROR(IF(W98&lt;K98,K98,IF(W98&gt;O98,O98,W98)),0),$A$27:$A$246,1),2)</f>
        <v/>
      </c>
      <c r="AN98" s="311">
        <f>INDEX($A$27:$B$246,MATCH(IFERROR(IF(T98&lt;H98,H98,IF(T98&gt;L98,L98,T98)),0),$A$27:$A$246,1),2)</f>
        <v/>
      </c>
      <c r="AO98" s="311">
        <f>INDEX($A$27:$B$246,MATCH(IFERROR(IF(U98&lt;I98,I98,IF(U98&gt;M98,M98,U98)),0),$A$27:$A$246,1),2)</f>
        <v/>
      </c>
      <c r="AP98" s="311">
        <f>INDEX($A$27:$B$246,MATCH(IFERROR(IF(V98&lt;J98,J98,IF(V98&gt;N98,N98,V98)),0),$A$27:$A$246,1),2)</f>
        <v/>
      </c>
      <c r="AQ98" s="311">
        <f>INDEX($A$27:$B$246,MATCH(IFERROR(IF(W98&lt;K98,K98,IF(W98&gt;O98,O98,W98)),0),$A$27:$A$246,1),2)</f>
        <v/>
      </c>
      <c r="AR98" s="311">
        <f>INDEX($A$27:$B$246,MATCH(IFERROR(IF(T98+$AS$5&lt;H98,H98,IF(T98+$AS$5&gt;L98,L98,T98+$AS$5)),0),$A$27:$A$246,1),2)</f>
        <v/>
      </c>
      <c r="AS98" s="311">
        <f>INDEX($A$27:$B$246,MATCH(IFERROR(IF(U98+$AS$5&lt;I98,I98,IF(U98+$AS$5&gt;M98,M98,U98+$AS$5)),0),$A$27:$A$246,1),2)</f>
        <v/>
      </c>
      <c r="AT98" s="311">
        <f>INDEX($A$27:$B$246,MATCH(IFERROR(IF(V98+$AS$5&lt;J98,J98,IF(V98+$AS$5&gt;N98,N98,V98+$AS$5)),0),$A$27:$A$246,1),2)</f>
        <v/>
      </c>
      <c r="AU98" s="311">
        <f>INDEX($A$27:$B$246,MATCH(IFERROR(IF(W98+$AS$5&lt;K98,K98,IF(W98+$AS$5&gt;O98,O98,W98+$AS$5)),0),$A$27:$A$246,1),2)</f>
        <v/>
      </c>
      <c r="AV98" s="311">
        <f>INDEX($A$27:$B$246,MATCH(IFERROR(IF(T98+$AW$5&lt;H98,H98,IF(T98+$AW$5&gt;L98,L98,T98+$AW$5)),0),$A$27:$A$246,1),2)</f>
        <v/>
      </c>
      <c r="AW98" s="311">
        <f>INDEX($A$27:$B$246,MATCH(IFERROR(IF(U98+$AW$5&lt;I98,I98,IF(U98+$AW$5&gt;M98,M98,U98+$AW$5)),0),$A$27:$A$246,1),2)</f>
        <v/>
      </c>
      <c r="AX98" s="311">
        <f>INDEX($A$27:$B$246,MATCH(IFERROR(IF(V98+$AW$5&lt;J98,J98,IF(V98+$AW$5&gt;N98,N98,V98+$AW$5)),0),$A$27:$A$246,1),2)</f>
        <v/>
      </c>
      <c r="AY98" s="311">
        <f>INDEX($A$27:$B$246,MATCH(IFERROR(IF(W98+$AW$5&lt;K98,K98,IF(W98+$AW$5&gt;O98,O98,W98+$AW$5)),0),$A$27:$A$246,1),2)</f>
        <v/>
      </c>
      <c r="AZ98" s="311">
        <f>INDEX($A$27:$B$246,MATCH(IFERROR(IF(T98+$BA$5&lt;H98,H98,IF(T98+$BA$5&gt;L98,L98,T98+$BA$5)),0),$A$27:$A$246,1),2)</f>
        <v/>
      </c>
      <c r="BA98" s="311">
        <f>INDEX($A$27:$B$246,MATCH(IFERROR(IF(U98+$BA$5&lt;I98,I98,IF(U98+$BA$5&gt;M98,M98,U98+$BA$5)),0),$A$27:$A$246,1),2)</f>
        <v/>
      </c>
      <c r="BB98" s="311">
        <f>INDEX($A$27:$B$246,MATCH(IFERROR(IF(V98+$BA$5&lt;J98,J98,IF(V98+$BA$5&gt;N98,N98,V98+$BA$5)),0),$A$27:$A$246,1),2)</f>
        <v/>
      </c>
      <c r="BC98" s="311">
        <f>INDEX($A$27:$B$246,MATCH(IFERROR(IF(W98+$BA$5&lt;K98,K98,IF(W98+$BA$5&gt;O98,O98,W98+$BA$5)),0),$A$27:$A$246,1),2)</f>
        <v/>
      </c>
      <c r="BD98" s="311" t="s">
        <v>8</v>
      </c>
      <c r="BE98" s="311" t="s">
        <v>8</v>
      </c>
      <c r="BF98" s="311" t="s">
        <v>8</v>
      </c>
      <c r="BG98" s="311" t="s">
        <v>8</v>
      </c>
    </row>
    <row r="99" spans="1:64">
      <c r="A99" s="313">
        <f>A98+$B$24</f>
        <v/>
      </c>
      <c r="B99" s="313">
        <f>B98+$B$24</f>
        <v/>
      </c>
      <c r="C99" s="314" t="n"/>
      <c r="D99" t="s">
        <v>91</v>
      </c>
      <c r="E99" s="34" t="s">
        <v>91</v>
      </c>
      <c r="F99" s="34" t="s">
        <v>227</v>
      </c>
      <c r="G99" s="34" t="n">
        <v>173</v>
      </c>
      <c r="H99" s="310" t="n">
        <v>1</v>
      </c>
      <c r="I99" s="310" t="n">
        <v>1</v>
      </c>
      <c r="J99" s="310" t="n">
        <v>1</v>
      </c>
      <c r="K99" s="310" t="n">
        <v>1</v>
      </c>
      <c r="L99" s="311">
        <f>H99*$B$1</f>
        <v/>
      </c>
      <c r="M99" s="311">
        <f>I99*$B$1</f>
        <v/>
      </c>
      <c r="N99" s="311">
        <f>J99*$B$1</f>
        <v/>
      </c>
      <c r="O99" s="311">
        <f>K99*$B$1</f>
        <v/>
      </c>
      <c r="P99" s="311">
        <f>IFERROR(MIN(VLOOKUP(E99,Detalle!A:AA,$P$6,0),VLOOKUP(E99,Detalle!A:AA,$P$7,0),VLOOKUP(E99,Detalle!A:AA,$P$4,0)),0)</f>
        <v/>
      </c>
      <c r="Q99" s="311">
        <f>IFERROR(MIN(VLOOKUP(E99,Detalle!A:AA,$Q$6,0),VLOOKUP(E99,Detalle!A:AA,$Q$7,0)),0)</f>
        <v/>
      </c>
      <c r="R99" s="311">
        <f>IFERROR(MIN(VLOOKUP(E99,Detalle!A:AA,$R$6,0),VLOOKUP(E99,Detalle!A:AA,$R$7,0)),0)</f>
        <v/>
      </c>
      <c r="S99" s="311">
        <f>IFERROR(MIN(VLOOKUP(E99,Detalle!A:AA,$S$6,0),VLOOKUP(E99,Detalle!A:AA,$S$7,0)),0)</f>
        <v/>
      </c>
      <c r="T99" s="311">
        <f>IFERROR(MAX(VLOOKUP(E99,Detalle!A:AA,$P$6,0),VLOOKUP(E99,Detalle!A:AA,$P$7,0),VLOOKUP(E99,Detalle!A:AA,$P$4,0)),0)</f>
        <v/>
      </c>
      <c r="U99" s="311">
        <f>IFERROR(MAX(VLOOKUP(E99,Detalle!A:AA,$Q$6,0),VLOOKUP(E99,Detalle!A:AA,$Q$7,0)),0)</f>
        <v/>
      </c>
      <c r="V99" s="311">
        <f>IFERROR(MAX(VLOOKUP(E99,Detalle!A:AA,$R$6,0),VLOOKUP(E99,Detalle!A:AA,$R$7,0)),0)</f>
        <v/>
      </c>
      <c r="W99" s="311">
        <f>IFERROR(MAX(VLOOKUP(E99,Detalle!A:AA,$S$6,0),VLOOKUP(E99,Detalle!A:AA,$S$7,0)),0)</f>
        <v/>
      </c>
      <c r="X99" s="311">
        <f>INDEX($A$27:$B$246,MATCH(IFERROR(IF(P99*(1+$Y$5)&lt;H99,H99,IF(P99*(1+$Y$5)&gt;L99,L99,P99*(1+$Y$5))),0),$A$27:$A$246,1),2)</f>
        <v/>
      </c>
      <c r="Y99" s="311">
        <f>INDEX($A$27:$B$246,MATCH(IFERROR(IF(Q99*(1+$Y$5)&lt;I99,I99,IF(Q99*(1+$Y$5)&gt;M99,M99,Q99*(1+$Y$5))),0),$A$27:$A$246,1),2)</f>
        <v/>
      </c>
      <c r="Z99" s="311">
        <f>INDEX($A$27:$B$246,MATCH(IFERROR(IF(R99*(1+$Y$5)&lt;J99,J99,IF(R99*(1+$Y$5)&gt;N99,N99,R99*(1+$Y$5))),0),$A$27:$A$246,1),2)</f>
        <v/>
      </c>
      <c r="AA99" s="311">
        <f>INDEX($A$27:$B$246,MATCH(IFERROR(IF(S99*(1+$Y$5)&lt;K99,K99,IF(S99*(1+$Y$5)&gt;O99,O99,S99*(1+$Y$5))),0),$A$27:$A$246,1),2)</f>
        <v/>
      </c>
      <c r="AB99" s="311">
        <f>INDEX($A$27:$B$246,MATCH(IFERROR(IF(P99-$AC$5&lt;H99,H99,IF(P99-$AC$5&gt;L99,L99,P99-$AC$5)),0),$A$27:$A$246,1),2)</f>
        <v/>
      </c>
      <c r="AC99" s="311">
        <f>INDEX($A$27:$B$246,MATCH(IFERROR(IF(Q99-$AC$5&lt;I99,I99,IF(Q99-$AC$5&gt;M99,M99,Q99-$AC$5)),0),$A$27:$A$246,1),2)</f>
        <v/>
      </c>
      <c r="AD99" s="311">
        <f>INDEX($A$27:$B$246,MATCH(IFERROR(IF(R99-$AC$5&lt;J99,J99,IF(R99-$AC$5&gt;N99,N99,R99-$AC$5)),0),$A$27:$A$246,1),2)</f>
        <v/>
      </c>
      <c r="AE99" s="311">
        <f>INDEX($A$27:$B$246,MATCH(IFERROR(IF(S99-$AC$5&lt;K99,K99,IF(S99-$AC$5&gt;O99,O99,S99-$AC$5)),0),$A$27:$A$246,1),2)</f>
        <v/>
      </c>
      <c r="AF99" s="311" t="s">
        <v>8</v>
      </c>
      <c r="AG99" s="311" t="s">
        <v>8</v>
      </c>
      <c r="AH99" s="311" t="s">
        <v>8</v>
      </c>
      <c r="AI99" s="311" t="s">
        <v>8</v>
      </c>
      <c r="AJ99" s="311">
        <f>INDEX($A$27:$B$246,MATCH(IFERROR(IF(T99&lt;H99,H99,IF(T99&gt;L99,L99,T99)),0),$A$27:$A$246,1),2)</f>
        <v/>
      </c>
      <c r="AK99" s="311">
        <f>INDEX($A$27:$B$246,MATCH(IFERROR(IF(U99&lt;I99,I99,IF(U99&gt;M99,M99,U99)),0),$A$27:$A$246,1),2)</f>
        <v/>
      </c>
      <c r="AL99" s="311">
        <f>INDEX($A$27:$B$246,MATCH(IFERROR(IF(V99&lt;J99,J99,IF(V99&gt;N99,N99,V99)),0),$A$27:$A$246,1),2)</f>
        <v/>
      </c>
      <c r="AM99" s="311">
        <f>INDEX($A$27:$B$246,MATCH(IFERROR(IF(W99&lt;K99,K99,IF(W99&gt;O99,O99,W99)),0),$A$27:$A$246,1),2)</f>
        <v/>
      </c>
      <c r="AN99" s="311">
        <f>INDEX($A$27:$B$246,MATCH(IFERROR(IF(T99&lt;H99,H99,IF(T99&gt;L99,L99,T99)),0),$A$27:$A$246,1),2)</f>
        <v/>
      </c>
      <c r="AO99" s="311">
        <f>INDEX($A$27:$B$246,MATCH(IFERROR(IF(U99&lt;I99,I99,IF(U99&gt;M99,M99,U99)),0),$A$27:$A$246,1),2)</f>
        <v/>
      </c>
      <c r="AP99" s="311">
        <f>INDEX($A$27:$B$246,MATCH(IFERROR(IF(V99&lt;J99,J99,IF(V99&gt;N99,N99,V99)),0),$A$27:$A$246,1),2)</f>
        <v/>
      </c>
      <c r="AQ99" s="311">
        <f>INDEX($A$27:$B$246,MATCH(IFERROR(IF(W99&lt;K99,K99,IF(W99&gt;O99,O99,W99)),0),$A$27:$A$246,1),2)</f>
        <v/>
      </c>
      <c r="AR99" s="311">
        <f>INDEX($A$27:$B$246,MATCH(IFERROR(IF(T99+$AS$5&lt;H99,H99,IF(T99+$AS$5&gt;L99,L99,T99+$AS$5)),0),$A$27:$A$246,1),2)</f>
        <v/>
      </c>
      <c r="AS99" s="311">
        <f>INDEX($A$27:$B$246,MATCH(IFERROR(IF(U99+$AS$5&lt;I99,I99,IF(U99+$AS$5&gt;M99,M99,U99+$AS$5)),0),$A$27:$A$246,1),2)</f>
        <v/>
      </c>
      <c r="AT99" s="311">
        <f>INDEX($A$27:$B$246,MATCH(IFERROR(IF(V99+$AS$5&lt;J99,J99,IF(V99+$AS$5&gt;N99,N99,V99+$AS$5)),0),$A$27:$A$246,1),2)</f>
        <v/>
      </c>
      <c r="AU99" s="311">
        <f>INDEX($A$27:$B$246,MATCH(IFERROR(IF(W99+$AS$5&lt;K99,K99,IF(W99+$AS$5&gt;O99,O99,W99+$AS$5)),0),$A$27:$A$246,1),2)</f>
        <v/>
      </c>
      <c r="AV99" s="311">
        <f>INDEX($A$27:$B$246,MATCH(IFERROR(IF(T99+$AW$5&lt;H99,H99,IF(T99+$AW$5&gt;L99,L99,T99+$AW$5)),0),$A$27:$A$246,1),2)</f>
        <v/>
      </c>
      <c r="AW99" s="311">
        <f>INDEX($A$27:$B$246,MATCH(IFERROR(IF(U99+$AW$5&lt;I99,I99,IF(U99+$AW$5&gt;M99,M99,U99+$AW$5)),0),$A$27:$A$246,1),2)</f>
        <v/>
      </c>
      <c r="AX99" s="311">
        <f>INDEX($A$27:$B$246,MATCH(IFERROR(IF(V99+$AW$5&lt;J99,J99,IF(V99+$AW$5&gt;N99,N99,V99+$AW$5)),0),$A$27:$A$246,1),2)</f>
        <v/>
      </c>
      <c r="AY99" s="311">
        <f>INDEX($A$27:$B$246,MATCH(IFERROR(IF(W99+$AW$5&lt;K99,K99,IF(W99+$AW$5&gt;O99,O99,W99+$AW$5)),0),$A$27:$A$246,1),2)</f>
        <v/>
      </c>
      <c r="AZ99" s="311">
        <f>INDEX($A$27:$B$246,MATCH(IFERROR(IF(T99+$BA$5&lt;H99,H99,IF(T99+$BA$5&gt;L99,L99,T99+$BA$5)),0),$A$27:$A$246,1),2)</f>
        <v/>
      </c>
      <c r="BA99" s="311">
        <f>INDEX($A$27:$B$246,MATCH(IFERROR(IF(U99+$BA$5&lt;I99,I99,IF(U99+$BA$5&gt;M99,M99,U99+$BA$5)),0),$A$27:$A$246,1),2)</f>
        <v/>
      </c>
      <c r="BB99" s="311">
        <f>INDEX($A$27:$B$246,MATCH(IFERROR(IF(V99+$BA$5&lt;J99,J99,IF(V99+$BA$5&gt;N99,N99,V99+$BA$5)),0),$A$27:$A$246,1),2)</f>
        <v/>
      </c>
      <c r="BC99" s="311">
        <f>INDEX($A$27:$B$246,MATCH(IFERROR(IF(W99+$BA$5&lt;K99,K99,IF(W99+$BA$5&gt;O99,O99,W99+$BA$5)),0),$A$27:$A$246,1),2)</f>
        <v/>
      </c>
      <c r="BD99" s="311" t="s">
        <v>8</v>
      </c>
      <c r="BE99" s="311" t="s">
        <v>8</v>
      </c>
      <c r="BF99" s="311" t="s">
        <v>8</v>
      </c>
      <c r="BG99" s="311" t="s">
        <v>8</v>
      </c>
    </row>
    <row r="100" spans="1:64">
      <c r="A100" s="313">
        <f>A99+$B$24</f>
        <v/>
      </c>
      <c r="B100" s="313">
        <f>B99+$B$24</f>
        <v/>
      </c>
      <c r="C100" s="314" t="n"/>
      <c r="D100" t="s">
        <v>92</v>
      </c>
      <c r="E100" s="34" t="s">
        <v>92</v>
      </c>
      <c r="F100" s="34" t="s">
        <v>227</v>
      </c>
      <c r="G100" s="34" t="n">
        <v>180</v>
      </c>
      <c r="H100" s="310" t="n">
        <v>1</v>
      </c>
      <c r="I100" s="310" t="n">
        <v>1</v>
      </c>
      <c r="J100" s="310" t="n">
        <v>1</v>
      </c>
      <c r="K100" s="310" t="n">
        <v>1</v>
      </c>
      <c r="L100" s="311">
        <f>H100*$B$1</f>
        <v/>
      </c>
      <c r="M100" s="311">
        <f>I100*$B$1</f>
        <v/>
      </c>
      <c r="N100" s="311">
        <f>J100*$B$1</f>
        <v/>
      </c>
      <c r="O100" s="311">
        <f>K100*$B$1</f>
        <v/>
      </c>
      <c r="P100" s="311">
        <f>IFERROR(MIN(VLOOKUP(E100,Detalle!A:AA,$P$6,0),VLOOKUP(E100,Detalle!A:AA,$P$7,0),VLOOKUP(E100,Detalle!A:AA,$P$4,0)),0)</f>
        <v/>
      </c>
      <c r="Q100" s="311">
        <f>IFERROR(MIN(VLOOKUP(E100,Detalle!A:AA,$Q$6,0),VLOOKUP(E100,Detalle!A:AA,$Q$7,0)),0)</f>
        <v/>
      </c>
      <c r="R100" s="311">
        <f>IFERROR(MIN(VLOOKUP(E100,Detalle!A:AA,$R$6,0),VLOOKUP(E100,Detalle!A:AA,$R$7,0)),0)</f>
        <v/>
      </c>
      <c r="S100" s="311">
        <f>IFERROR(MIN(VLOOKUP(E100,Detalle!A:AA,$S$6,0),VLOOKUP(E100,Detalle!A:AA,$S$7,0)),0)</f>
        <v/>
      </c>
      <c r="T100" s="311">
        <f>IFERROR(MAX(VLOOKUP(E100,Detalle!A:AA,$P$6,0),VLOOKUP(E100,Detalle!A:AA,$P$7,0),VLOOKUP(E100,Detalle!A:AA,$P$4,0)),0)</f>
        <v/>
      </c>
      <c r="U100" s="311">
        <f>IFERROR(MAX(VLOOKUP(E100,Detalle!A:AA,$Q$6,0),VLOOKUP(E100,Detalle!A:AA,$Q$7,0)),0)</f>
        <v/>
      </c>
      <c r="V100" s="311">
        <f>IFERROR(MAX(VLOOKUP(E100,Detalle!A:AA,$R$6,0),VLOOKUP(E100,Detalle!A:AA,$R$7,0)),0)</f>
        <v/>
      </c>
      <c r="W100" s="311">
        <f>IFERROR(MAX(VLOOKUP(E100,Detalle!A:AA,$S$6,0),VLOOKUP(E100,Detalle!A:AA,$S$7,0)),0)</f>
        <v/>
      </c>
      <c r="X100" s="311">
        <f>INDEX($A$27:$B$246,MATCH(IFERROR(IF(P100*(1+$Y$5)&lt;H100,H100,IF(P100*(1+$Y$5)&gt;L100,L100,P100*(1+$Y$5))),0),$A$27:$A$246,1),2)</f>
        <v/>
      </c>
      <c r="Y100" s="311">
        <f>INDEX($A$27:$B$246,MATCH(IFERROR(IF(Q100*(1+$Y$5)&lt;I100,I100,IF(Q100*(1+$Y$5)&gt;M100,M100,Q100*(1+$Y$5))),0),$A$27:$A$246,1),2)</f>
        <v/>
      </c>
      <c r="Z100" s="311">
        <f>INDEX($A$27:$B$246,MATCH(IFERROR(IF(R100*(1+$Y$5)&lt;J100,J100,IF(R100*(1+$Y$5)&gt;N100,N100,R100*(1+$Y$5))),0),$A$27:$A$246,1),2)</f>
        <v/>
      </c>
      <c r="AA100" s="311">
        <f>INDEX($A$27:$B$246,MATCH(IFERROR(IF(S100*(1+$Y$5)&lt;K100,K100,IF(S100*(1+$Y$5)&gt;O100,O100,S100*(1+$Y$5))),0),$A$27:$A$246,1),2)</f>
        <v/>
      </c>
      <c r="AB100" s="311">
        <f>INDEX($A$27:$B$246,MATCH(IFERROR(IF(P100-$AC$5&lt;H100,H100,IF(P100-$AC$5&gt;L100,L100,P100-$AC$5)),0),$A$27:$A$246,1),2)</f>
        <v/>
      </c>
      <c r="AC100" s="311">
        <f>INDEX($A$27:$B$246,MATCH(IFERROR(IF(Q100-$AC$5&lt;I100,I100,IF(Q100-$AC$5&gt;M100,M100,Q100-$AC$5)),0),$A$27:$A$246,1),2)</f>
        <v/>
      </c>
      <c r="AD100" s="311">
        <f>INDEX($A$27:$B$246,MATCH(IFERROR(IF(R100-$AC$5&lt;J100,J100,IF(R100-$AC$5&gt;N100,N100,R100-$AC$5)),0),$A$27:$A$246,1),2)</f>
        <v/>
      </c>
      <c r="AE100" s="311">
        <f>INDEX($A$27:$B$246,MATCH(IFERROR(IF(S100-$AC$5&lt;K100,K100,IF(S100-$AC$5&gt;O100,O100,S100-$AC$5)),0),$A$27:$A$246,1),2)</f>
        <v/>
      </c>
      <c r="AF100" s="311" t="s">
        <v>8</v>
      </c>
      <c r="AG100" s="311" t="s">
        <v>8</v>
      </c>
      <c r="AH100" s="311" t="s">
        <v>8</v>
      </c>
      <c r="AI100" s="311" t="s">
        <v>8</v>
      </c>
      <c r="AJ100" s="311">
        <f>INDEX($A$27:$B$246,MATCH(IFERROR(IF(T100&lt;H100,H100,IF(T100&gt;L100,L100,T100)),0),$A$27:$A$246,1),2)</f>
        <v/>
      </c>
      <c r="AK100" s="311">
        <f>INDEX($A$27:$B$246,MATCH(IFERROR(IF(U100&lt;I100,I100,IF(U100&gt;M100,M100,U100)),0),$A$27:$A$246,1),2)</f>
        <v/>
      </c>
      <c r="AL100" s="311">
        <f>INDEX($A$27:$B$246,MATCH(IFERROR(IF(V100&lt;J100,J100,IF(V100&gt;N100,N100,V100)),0),$A$27:$A$246,1),2)</f>
        <v/>
      </c>
      <c r="AM100" s="311">
        <f>INDEX($A$27:$B$246,MATCH(IFERROR(IF(W100&lt;K100,K100,IF(W100&gt;O100,O100,W100)),0),$A$27:$A$246,1),2)</f>
        <v/>
      </c>
      <c r="AN100" s="311">
        <f>INDEX($A$27:$B$246,MATCH(IFERROR(IF(T100&lt;H100,H100,IF(T100&gt;L100,L100,T100)),0),$A$27:$A$246,1),2)</f>
        <v/>
      </c>
      <c r="AO100" s="311">
        <f>INDEX($A$27:$B$246,MATCH(IFERROR(IF(U100&lt;I100,I100,IF(U100&gt;M100,M100,U100)),0),$A$27:$A$246,1),2)</f>
        <v/>
      </c>
      <c r="AP100" s="311">
        <f>INDEX($A$27:$B$246,MATCH(IFERROR(IF(V100&lt;J100,J100,IF(V100&gt;N100,N100,V100)),0),$A$27:$A$246,1),2)</f>
        <v/>
      </c>
      <c r="AQ100" s="311">
        <f>INDEX($A$27:$B$246,MATCH(IFERROR(IF(W100&lt;K100,K100,IF(W100&gt;O100,O100,W100)),0),$A$27:$A$246,1),2)</f>
        <v/>
      </c>
      <c r="AR100" s="311">
        <f>INDEX($A$27:$B$246,MATCH(IFERROR(IF(T100+$AS$5&lt;H100,H100,IF(T100+$AS$5&gt;L100,L100,T100+$AS$5)),0),$A$27:$A$246,1),2)</f>
        <v/>
      </c>
      <c r="AS100" s="311">
        <f>INDEX($A$27:$B$246,MATCH(IFERROR(IF(U100+$AS$5&lt;I100,I100,IF(U100+$AS$5&gt;M100,M100,U100+$AS$5)),0),$A$27:$A$246,1),2)</f>
        <v/>
      </c>
      <c r="AT100" s="311">
        <f>INDEX($A$27:$B$246,MATCH(IFERROR(IF(V100+$AS$5&lt;J100,J100,IF(V100+$AS$5&gt;N100,N100,V100+$AS$5)),0),$A$27:$A$246,1),2)</f>
        <v/>
      </c>
      <c r="AU100" s="311">
        <f>INDEX($A$27:$B$246,MATCH(IFERROR(IF(W100+$AS$5&lt;K100,K100,IF(W100+$AS$5&gt;O100,O100,W100+$AS$5)),0),$A$27:$A$246,1),2)</f>
        <v/>
      </c>
      <c r="AV100" s="311">
        <f>INDEX($A$27:$B$246,MATCH(IFERROR(IF(T100+$AW$5&lt;H100,H100,IF(T100+$AW$5&gt;L100,L100,T100+$AW$5)),0),$A$27:$A$246,1),2)</f>
        <v/>
      </c>
      <c r="AW100" s="311">
        <f>INDEX($A$27:$B$246,MATCH(IFERROR(IF(U100+$AW$5&lt;I100,I100,IF(U100+$AW$5&gt;M100,M100,U100+$AW$5)),0),$A$27:$A$246,1),2)</f>
        <v/>
      </c>
      <c r="AX100" s="311">
        <f>INDEX($A$27:$B$246,MATCH(IFERROR(IF(V100+$AW$5&lt;J100,J100,IF(V100+$AW$5&gt;N100,N100,V100+$AW$5)),0),$A$27:$A$246,1),2)</f>
        <v/>
      </c>
      <c r="AY100" s="311">
        <f>INDEX($A$27:$B$246,MATCH(IFERROR(IF(W100+$AW$5&lt;K100,K100,IF(W100+$AW$5&gt;O100,O100,W100+$AW$5)),0),$A$27:$A$246,1),2)</f>
        <v/>
      </c>
      <c r="AZ100" s="311">
        <f>INDEX($A$27:$B$246,MATCH(IFERROR(IF(T100+$BA$5&lt;H100,H100,IF(T100+$BA$5&gt;L100,L100,T100+$BA$5)),0),$A$27:$A$246,1),2)</f>
        <v/>
      </c>
      <c r="BA100" s="311">
        <f>INDEX($A$27:$B$246,MATCH(IFERROR(IF(U100+$BA$5&lt;I100,I100,IF(U100+$BA$5&gt;M100,M100,U100+$BA$5)),0),$A$27:$A$246,1),2)</f>
        <v/>
      </c>
      <c r="BB100" s="311">
        <f>INDEX($A$27:$B$246,MATCH(IFERROR(IF(V100+$BA$5&lt;J100,J100,IF(V100+$BA$5&gt;N100,N100,V100+$BA$5)),0),$A$27:$A$246,1),2)</f>
        <v/>
      </c>
      <c r="BC100" s="311">
        <f>INDEX($A$27:$B$246,MATCH(IFERROR(IF(W100+$BA$5&lt;K100,K100,IF(W100+$BA$5&gt;O100,O100,W100+$BA$5)),0),$A$27:$A$246,1),2)</f>
        <v/>
      </c>
      <c r="BD100" s="311" t="s">
        <v>8</v>
      </c>
      <c r="BE100" s="311" t="s">
        <v>8</v>
      </c>
      <c r="BF100" s="311" t="s">
        <v>8</v>
      </c>
      <c r="BG100" s="311" t="s">
        <v>8</v>
      </c>
    </row>
    <row r="101" spans="1:64">
      <c r="A101" s="313">
        <f>A100+$B$24</f>
        <v/>
      </c>
      <c r="B101" s="313">
        <f>B100+$B$24</f>
        <v/>
      </c>
      <c r="C101" s="314" t="n"/>
      <c r="D101" t="s">
        <v>97</v>
      </c>
      <c r="E101" s="34" t="s">
        <v>97</v>
      </c>
      <c r="F101" s="34" t="s">
        <v>239</v>
      </c>
      <c r="G101" s="34" t="n">
        <v>106</v>
      </c>
      <c r="H101" s="310" t="n">
        <v>1</v>
      </c>
      <c r="I101" s="310" t="n">
        <v>1</v>
      </c>
      <c r="J101" s="310" t="n">
        <v>1</v>
      </c>
      <c r="K101" s="310" t="n">
        <v>1</v>
      </c>
      <c r="L101" s="311">
        <f>H101*$B$1</f>
        <v/>
      </c>
      <c r="M101" s="311">
        <f>I101*$B$1</f>
        <v/>
      </c>
      <c r="N101" s="311">
        <f>J101*$B$1</f>
        <v/>
      </c>
      <c r="O101" s="311">
        <f>K101*$B$1</f>
        <v/>
      </c>
      <c r="P101" s="311">
        <f>IFERROR(MIN(VLOOKUP(E101,Detalle!A:AA,$P$6,0),VLOOKUP(E101,Detalle!A:AA,$P$7,0),VLOOKUP(E101,Detalle!A:AA,$P$4,0)),0)</f>
        <v/>
      </c>
      <c r="Q101" s="311">
        <f>IFERROR(MIN(VLOOKUP(E101,Detalle!A:AA,$Q$6,0),VLOOKUP(E101,Detalle!A:AA,$Q$7,0)),0)</f>
        <v/>
      </c>
      <c r="R101" s="311">
        <f>IFERROR(MIN(VLOOKUP(E101,Detalle!A:AA,$R$6,0),VLOOKUP(E101,Detalle!A:AA,$R$7,0)),0)</f>
        <v/>
      </c>
      <c r="S101" s="311">
        <f>IFERROR(MIN(VLOOKUP(E101,Detalle!A:AA,$S$6,0),VLOOKUP(E101,Detalle!A:AA,$S$7,0)),0)</f>
        <v/>
      </c>
      <c r="T101" s="311">
        <f>IFERROR(MAX(VLOOKUP(E101,Detalle!A:AA,$P$6,0),VLOOKUP(E101,Detalle!A:AA,$P$7,0),VLOOKUP(E101,Detalle!A:AA,$P$4,0)),0)</f>
        <v/>
      </c>
      <c r="U101" s="311">
        <f>IFERROR(MAX(VLOOKUP(E101,Detalle!A:AA,$Q$6,0),VLOOKUP(E101,Detalle!A:AA,$Q$7,0)),0)</f>
        <v/>
      </c>
      <c r="V101" s="311">
        <f>IFERROR(MAX(VLOOKUP(E101,Detalle!A:AA,$R$6,0),VLOOKUP(E101,Detalle!A:AA,$R$7,0)),0)</f>
        <v/>
      </c>
      <c r="W101" s="311">
        <f>IFERROR(MAX(VLOOKUP(E101,Detalle!A:AA,$S$6,0),VLOOKUP(E101,Detalle!A:AA,$S$7,0)),0)</f>
        <v/>
      </c>
      <c r="X101" s="311">
        <f>INDEX($A$27:$B$246,MATCH(IFERROR(IF(P101*(1+$Y$5)&lt;H101,H101,IF(P101*(1+$Y$5)&gt;L101,L101,P101*(1+$Y$5))),0),$A$27:$A$246,1),2)</f>
        <v/>
      </c>
      <c r="Y101" s="311">
        <f>INDEX($A$27:$B$246,MATCH(IFERROR(IF(Q101*(1+$Y$5)&lt;I101,I101,IF(Q101*(1+$Y$5)&gt;M101,M101,Q101*(1+$Y$5))),0),$A$27:$A$246,1),2)</f>
        <v/>
      </c>
      <c r="Z101" s="311">
        <f>INDEX($A$27:$B$246,MATCH(IFERROR(IF(R101*(1+$Y$5)&lt;J101,J101,IF(R101*(1+$Y$5)&gt;N101,N101,R101*(1+$Y$5))),0),$A$27:$A$246,1),2)</f>
        <v/>
      </c>
      <c r="AA101" s="311">
        <f>INDEX($A$27:$B$246,MATCH(IFERROR(IF(S101*(1+$Y$5)&lt;K101,K101,IF(S101*(1+$Y$5)&gt;O101,O101,S101*(1+$Y$5))),0),$A$27:$A$246,1),2)</f>
        <v/>
      </c>
      <c r="AB101" s="311">
        <f>INDEX($A$27:$B$246,MATCH(IFERROR(IF(P101-$AC$5&lt;H101,H101,IF(P101-$AC$5&gt;L101,L101,P101-$AC$5)),0),$A$27:$A$246,1),2)</f>
        <v/>
      </c>
      <c r="AC101" s="311">
        <f>INDEX($A$27:$B$246,MATCH(IFERROR(IF(Q101-$AC$5&lt;I101,I101,IF(Q101-$AC$5&gt;M101,M101,Q101-$AC$5)),0),$A$27:$A$246,1),2)</f>
        <v/>
      </c>
      <c r="AD101" s="311">
        <f>INDEX($A$27:$B$246,MATCH(IFERROR(IF(R101-$AC$5&lt;J101,J101,IF(R101-$AC$5&gt;N101,N101,R101-$AC$5)),0),$A$27:$A$246,1),2)</f>
        <v/>
      </c>
      <c r="AE101" s="311">
        <f>INDEX($A$27:$B$246,MATCH(IFERROR(IF(S101-$AC$5&lt;K101,K101,IF(S101-$AC$5&gt;O101,O101,S101-$AC$5)),0),$A$27:$A$246,1),2)</f>
        <v/>
      </c>
      <c r="AF101" s="311" t="s">
        <v>8</v>
      </c>
      <c r="AG101" s="311" t="s">
        <v>8</v>
      </c>
      <c r="AH101" s="311" t="s">
        <v>8</v>
      </c>
      <c r="AI101" s="311" t="s">
        <v>8</v>
      </c>
      <c r="AJ101" s="311">
        <f>INDEX($A$27:$B$246,MATCH(IFERROR(IF(T101&lt;H101,H101,IF(T101&gt;L101,L101,T101)),0),$A$27:$A$246,1),2)</f>
        <v/>
      </c>
      <c r="AK101" s="311">
        <f>INDEX($A$27:$B$246,MATCH(IFERROR(IF(U101&lt;I101,I101,IF(U101&gt;M101,M101,U101)),0),$A$27:$A$246,1),2)</f>
        <v/>
      </c>
      <c r="AL101" s="311">
        <f>INDEX($A$27:$B$246,MATCH(IFERROR(IF(V101&lt;J101,J101,IF(V101&gt;N101,N101,V101)),0),$A$27:$A$246,1),2)</f>
        <v/>
      </c>
      <c r="AM101" s="311">
        <f>INDEX($A$27:$B$246,MATCH(IFERROR(IF(W101&lt;K101,K101,IF(W101&gt;O101,O101,W101)),0),$A$27:$A$246,1),2)</f>
        <v/>
      </c>
      <c r="AN101" s="311">
        <f>INDEX($A$27:$B$246,MATCH(IFERROR(IF(T101&lt;H101,H101,IF(T101&gt;L101,L101,T101)),0),$A$27:$A$246,1),2)</f>
        <v/>
      </c>
      <c r="AO101" s="311">
        <f>INDEX($A$27:$B$246,MATCH(IFERROR(IF(U101&lt;I101,I101,IF(U101&gt;M101,M101,U101)),0),$A$27:$A$246,1),2)</f>
        <v/>
      </c>
      <c r="AP101" s="311">
        <f>INDEX($A$27:$B$246,MATCH(IFERROR(IF(V101&lt;J101,J101,IF(V101&gt;N101,N101,V101)),0),$A$27:$A$246,1),2)</f>
        <v/>
      </c>
      <c r="AQ101" s="311">
        <f>INDEX($A$27:$B$246,MATCH(IFERROR(IF(W101&lt;K101,K101,IF(W101&gt;O101,O101,W101)),0),$A$27:$A$246,1),2)</f>
        <v/>
      </c>
      <c r="AR101" s="311">
        <f>INDEX($A$27:$B$246,MATCH(IFERROR(IF(T101+$AS$5&lt;H101,H101,IF(T101+$AS$5&gt;L101,L101,T101+$AS$5)),0),$A$27:$A$246,1),2)</f>
        <v/>
      </c>
      <c r="AS101" s="311">
        <f>INDEX($A$27:$B$246,MATCH(IFERROR(IF(U101+$AS$5&lt;I101,I101,IF(U101+$AS$5&gt;M101,M101,U101+$AS$5)),0),$A$27:$A$246,1),2)</f>
        <v/>
      </c>
      <c r="AT101" s="311">
        <f>INDEX($A$27:$B$246,MATCH(IFERROR(IF(V101+$AS$5&lt;J101,J101,IF(V101+$AS$5&gt;N101,N101,V101+$AS$5)),0),$A$27:$A$246,1),2)</f>
        <v/>
      </c>
      <c r="AU101" s="311">
        <f>INDEX($A$27:$B$246,MATCH(IFERROR(IF(W101+$AS$5&lt;K101,K101,IF(W101+$AS$5&gt;O101,O101,W101+$AS$5)),0),$A$27:$A$246,1),2)</f>
        <v/>
      </c>
      <c r="AV101" s="311">
        <f>INDEX($A$27:$B$246,MATCH(IFERROR(IF(T101+$AW$5&lt;H101,H101,IF(T101+$AW$5&gt;L101,L101,T101+$AW$5)),0),$A$27:$A$246,1),2)</f>
        <v/>
      </c>
      <c r="AW101" s="311">
        <f>INDEX($A$27:$B$246,MATCH(IFERROR(IF(U101+$AW$5&lt;I101,I101,IF(U101+$AW$5&gt;M101,M101,U101+$AW$5)),0),$A$27:$A$246,1),2)</f>
        <v/>
      </c>
      <c r="AX101" s="311">
        <f>INDEX($A$27:$B$246,MATCH(IFERROR(IF(V101+$AW$5&lt;J101,J101,IF(V101+$AW$5&gt;N101,N101,V101+$AW$5)),0),$A$27:$A$246,1),2)</f>
        <v/>
      </c>
      <c r="AY101" s="311">
        <f>INDEX($A$27:$B$246,MATCH(IFERROR(IF(W101+$AW$5&lt;K101,K101,IF(W101+$AW$5&gt;O101,O101,W101+$AW$5)),0),$A$27:$A$246,1),2)</f>
        <v/>
      </c>
      <c r="AZ101" s="311">
        <f>INDEX($A$27:$B$246,MATCH(IFERROR(IF(T101+$BA$5&lt;H101,H101,IF(T101+$BA$5&gt;L101,L101,T101+$BA$5)),0),$A$27:$A$246,1),2)</f>
        <v/>
      </c>
      <c r="BA101" s="311">
        <f>INDEX($A$27:$B$246,MATCH(IFERROR(IF(U101+$BA$5&lt;I101,I101,IF(U101+$BA$5&gt;M101,M101,U101+$BA$5)),0),$A$27:$A$246,1),2)</f>
        <v/>
      </c>
      <c r="BB101" s="311">
        <f>INDEX($A$27:$B$246,MATCH(IFERROR(IF(V101+$BA$5&lt;J101,J101,IF(V101+$BA$5&gt;N101,N101,V101+$BA$5)),0),$A$27:$A$246,1),2)</f>
        <v/>
      </c>
      <c r="BC101" s="311">
        <f>INDEX($A$27:$B$246,MATCH(IFERROR(IF(W101+$BA$5&lt;K101,K101,IF(W101+$BA$5&gt;O101,O101,W101+$BA$5)),0),$A$27:$A$246,1),2)</f>
        <v/>
      </c>
      <c r="BD101" s="311" t="s">
        <v>8</v>
      </c>
      <c r="BE101" s="311" t="s">
        <v>8</v>
      </c>
      <c r="BF101" s="311" t="s">
        <v>8</v>
      </c>
      <c r="BG101" s="311" t="s">
        <v>8</v>
      </c>
    </row>
    <row r="102" spans="1:64">
      <c r="A102" s="313">
        <f>A101+$B$24</f>
        <v/>
      </c>
      <c r="B102" s="313">
        <f>B101+$B$24</f>
        <v/>
      </c>
      <c r="C102" s="314" t="n"/>
      <c r="D102" t="s">
        <v>99</v>
      </c>
      <c r="E102" s="34" t="s">
        <v>99</v>
      </c>
      <c r="F102" s="34" t="s">
        <v>239</v>
      </c>
      <c r="G102" s="34" t="n">
        <v>122</v>
      </c>
      <c r="H102" s="310" t="n">
        <v>1</v>
      </c>
      <c r="I102" s="310" t="n">
        <v>1</v>
      </c>
      <c r="J102" s="310" t="n">
        <v>1</v>
      </c>
      <c r="K102" s="310" t="n">
        <v>1</v>
      </c>
      <c r="L102" s="311">
        <f>H102*$B$1</f>
        <v/>
      </c>
      <c r="M102" s="311">
        <f>I102*$B$1</f>
        <v/>
      </c>
      <c r="N102" s="311">
        <f>J102*$B$1</f>
        <v/>
      </c>
      <c r="O102" s="311">
        <f>K102*$B$1</f>
        <v/>
      </c>
      <c r="P102" s="311">
        <f>IFERROR(MIN(VLOOKUP(E102,Detalle!A:AA,$P$6,0),VLOOKUP(E102,Detalle!A:AA,$P$7,0),VLOOKUP(E102,Detalle!A:AA,$P$4,0)),0)</f>
        <v/>
      </c>
      <c r="Q102" s="311">
        <f>IFERROR(MIN(VLOOKUP(E102,Detalle!A:AA,$Q$6,0),VLOOKUP(E102,Detalle!A:AA,$Q$7,0)),0)</f>
        <v/>
      </c>
      <c r="R102" s="311">
        <f>IFERROR(MIN(VLOOKUP(E102,Detalle!A:AA,$R$6,0),VLOOKUP(E102,Detalle!A:AA,$R$7,0)),0)</f>
        <v/>
      </c>
      <c r="S102" s="311">
        <f>IFERROR(MIN(VLOOKUP(E102,Detalle!A:AA,$S$6,0),VLOOKUP(E102,Detalle!A:AA,$S$7,0)),0)</f>
        <v/>
      </c>
      <c r="T102" s="311">
        <f>IFERROR(MAX(VLOOKUP(E102,Detalle!A:AA,$P$6,0),VLOOKUP(E102,Detalle!A:AA,$P$7,0),VLOOKUP(E102,Detalle!A:AA,$P$4,0)),0)</f>
        <v/>
      </c>
      <c r="U102" s="311">
        <f>IFERROR(MAX(VLOOKUP(E102,Detalle!A:AA,$Q$6,0),VLOOKUP(E102,Detalle!A:AA,$Q$7,0)),0)</f>
        <v/>
      </c>
      <c r="V102" s="311">
        <f>IFERROR(MAX(VLOOKUP(E102,Detalle!A:AA,$R$6,0),VLOOKUP(E102,Detalle!A:AA,$R$7,0)),0)</f>
        <v/>
      </c>
      <c r="W102" s="311">
        <f>IFERROR(MAX(VLOOKUP(E102,Detalle!A:AA,$S$6,0),VLOOKUP(E102,Detalle!A:AA,$S$7,0)),0)</f>
        <v/>
      </c>
      <c r="X102" s="311">
        <f>INDEX($A$27:$B$246,MATCH(IFERROR(IF(P102*(1+$Y$5)&lt;H102,H102,IF(P102*(1+$Y$5)&gt;L102,L102,P102*(1+$Y$5))),0),$A$27:$A$246,1),2)</f>
        <v/>
      </c>
      <c r="Y102" s="311">
        <f>INDEX($A$27:$B$246,MATCH(IFERROR(IF(Q102*(1+$Y$5)&lt;I102,I102,IF(Q102*(1+$Y$5)&gt;M102,M102,Q102*(1+$Y$5))),0),$A$27:$A$246,1),2)</f>
        <v/>
      </c>
      <c r="Z102" s="311">
        <f>INDEX($A$27:$B$246,MATCH(IFERROR(IF(R102*(1+$Y$5)&lt;J102,J102,IF(R102*(1+$Y$5)&gt;N102,N102,R102*(1+$Y$5))),0),$A$27:$A$246,1),2)</f>
        <v/>
      </c>
      <c r="AA102" s="311">
        <f>INDEX($A$27:$B$246,MATCH(IFERROR(IF(S102*(1+$Y$5)&lt;K102,K102,IF(S102*(1+$Y$5)&gt;O102,O102,S102*(1+$Y$5))),0),$A$27:$A$246,1),2)</f>
        <v/>
      </c>
      <c r="AB102" s="311">
        <f>INDEX($A$27:$B$246,MATCH(IFERROR(IF(P102-$AC$5&lt;H102,H102,IF(P102-$AC$5&gt;L102,L102,P102-$AC$5)),0),$A$27:$A$246,1),2)</f>
        <v/>
      </c>
      <c r="AC102" s="311">
        <f>INDEX($A$27:$B$246,MATCH(IFERROR(IF(Q102-$AC$5&lt;I102,I102,IF(Q102-$AC$5&gt;M102,M102,Q102-$AC$5)),0),$A$27:$A$246,1),2)</f>
        <v/>
      </c>
      <c r="AD102" s="311">
        <f>INDEX($A$27:$B$246,MATCH(IFERROR(IF(R102-$AC$5&lt;J102,J102,IF(R102-$AC$5&gt;N102,N102,R102-$AC$5)),0),$A$27:$A$246,1),2)</f>
        <v/>
      </c>
      <c r="AE102" s="311">
        <f>INDEX($A$27:$B$246,MATCH(IFERROR(IF(S102-$AC$5&lt;K102,K102,IF(S102-$AC$5&gt;O102,O102,S102-$AC$5)),0),$A$27:$A$246,1),2)</f>
        <v/>
      </c>
      <c r="AF102" s="311" t="s">
        <v>8</v>
      </c>
      <c r="AG102" s="311" t="s">
        <v>8</v>
      </c>
      <c r="AH102" s="311" t="s">
        <v>8</v>
      </c>
      <c r="AI102" s="311" t="s">
        <v>8</v>
      </c>
      <c r="AJ102" s="311">
        <f>INDEX($A$27:$B$246,MATCH(IFERROR(IF(T102&lt;H102,H102,IF(T102&gt;L102,L102,T102)),0),$A$27:$A$246,1),2)</f>
        <v/>
      </c>
      <c r="AK102" s="311">
        <f>INDEX($A$27:$B$246,MATCH(IFERROR(IF(U102&lt;I102,I102,IF(U102&gt;M102,M102,U102)),0),$A$27:$A$246,1),2)</f>
        <v/>
      </c>
      <c r="AL102" s="311">
        <f>INDEX($A$27:$B$246,MATCH(IFERROR(IF(V102&lt;J102,J102,IF(V102&gt;N102,N102,V102)),0),$A$27:$A$246,1),2)</f>
        <v/>
      </c>
      <c r="AM102" s="311">
        <f>INDEX($A$27:$B$246,MATCH(IFERROR(IF(W102&lt;K102,K102,IF(W102&gt;O102,O102,W102)),0),$A$27:$A$246,1),2)</f>
        <v/>
      </c>
      <c r="AN102" s="311">
        <f>INDEX($A$27:$B$246,MATCH(IFERROR(IF(T102&lt;H102,H102,IF(T102&gt;L102,L102,T102)),0),$A$27:$A$246,1),2)</f>
        <v/>
      </c>
      <c r="AO102" s="311">
        <f>INDEX($A$27:$B$246,MATCH(IFERROR(IF(U102&lt;I102,I102,IF(U102&gt;M102,M102,U102)),0),$A$27:$A$246,1),2)</f>
        <v/>
      </c>
      <c r="AP102" s="311">
        <f>INDEX($A$27:$B$246,MATCH(IFERROR(IF(V102&lt;J102,J102,IF(V102&gt;N102,N102,V102)),0),$A$27:$A$246,1),2)</f>
        <v/>
      </c>
      <c r="AQ102" s="311">
        <f>INDEX($A$27:$B$246,MATCH(IFERROR(IF(W102&lt;K102,K102,IF(W102&gt;O102,O102,W102)),0),$A$27:$A$246,1),2)</f>
        <v/>
      </c>
      <c r="AR102" s="311">
        <f>INDEX($A$27:$B$246,MATCH(IFERROR(IF(T102+$AS$5&lt;H102,H102,IF(T102+$AS$5&gt;L102,L102,T102+$AS$5)),0),$A$27:$A$246,1),2)</f>
        <v/>
      </c>
      <c r="AS102" s="311">
        <f>INDEX($A$27:$B$246,MATCH(IFERROR(IF(U102+$AS$5&lt;I102,I102,IF(U102+$AS$5&gt;M102,M102,U102+$AS$5)),0),$A$27:$A$246,1),2)</f>
        <v/>
      </c>
      <c r="AT102" s="311">
        <f>INDEX($A$27:$B$246,MATCH(IFERROR(IF(V102+$AS$5&lt;J102,J102,IF(V102+$AS$5&gt;N102,N102,V102+$AS$5)),0),$A$27:$A$246,1),2)</f>
        <v/>
      </c>
      <c r="AU102" s="311">
        <f>INDEX($A$27:$B$246,MATCH(IFERROR(IF(W102+$AS$5&lt;K102,K102,IF(W102+$AS$5&gt;O102,O102,W102+$AS$5)),0),$A$27:$A$246,1),2)</f>
        <v/>
      </c>
      <c r="AV102" s="311">
        <f>INDEX($A$27:$B$246,MATCH(IFERROR(IF(T102+$AW$5&lt;H102,H102,IF(T102+$AW$5&gt;L102,L102,T102+$AW$5)),0),$A$27:$A$246,1),2)</f>
        <v/>
      </c>
      <c r="AW102" s="311">
        <f>INDEX($A$27:$B$246,MATCH(IFERROR(IF(U102+$AW$5&lt;I102,I102,IF(U102+$AW$5&gt;M102,M102,U102+$AW$5)),0),$A$27:$A$246,1),2)</f>
        <v/>
      </c>
      <c r="AX102" s="311">
        <f>INDEX($A$27:$B$246,MATCH(IFERROR(IF(V102+$AW$5&lt;J102,J102,IF(V102+$AW$5&gt;N102,N102,V102+$AW$5)),0),$A$27:$A$246,1),2)</f>
        <v/>
      </c>
      <c r="AY102" s="311">
        <f>INDEX($A$27:$B$246,MATCH(IFERROR(IF(W102+$AW$5&lt;K102,K102,IF(W102+$AW$5&gt;O102,O102,W102+$AW$5)),0),$A$27:$A$246,1),2)</f>
        <v/>
      </c>
      <c r="AZ102" s="311">
        <f>INDEX($A$27:$B$246,MATCH(IFERROR(IF(T102+$BA$5&lt;H102,H102,IF(T102+$BA$5&gt;L102,L102,T102+$BA$5)),0),$A$27:$A$246,1),2)</f>
        <v/>
      </c>
      <c r="BA102" s="311">
        <f>INDEX($A$27:$B$246,MATCH(IFERROR(IF(U102+$BA$5&lt;I102,I102,IF(U102+$BA$5&gt;M102,M102,U102+$BA$5)),0),$A$27:$A$246,1),2)</f>
        <v/>
      </c>
      <c r="BB102" s="311">
        <f>INDEX($A$27:$B$246,MATCH(IFERROR(IF(V102+$BA$5&lt;J102,J102,IF(V102+$BA$5&gt;N102,N102,V102+$BA$5)),0),$A$27:$A$246,1),2)</f>
        <v/>
      </c>
      <c r="BC102" s="311">
        <f>INDEX($A$27:$B$246,MATCH(IFERROR(IF(W102+$BA$5&lt;K102,K102,IF(W102+$BA$5&gt;O102,O102,W102+$BA$5)),0),$A$27:$A$246,1),2)</f>
        <v/>
      </c>
      <c r="BD102" s="311" t="s">
        <v>8</v>
      </c>
      <c r="BE102" s="311" t="s">
        <v>8</v>
      </c>
      <c r="BF102" s="311" t="s">
        <v>8</v>
      </c>
      <c r="BG102" s="311" t="s">
        <v>8</v>
      </c>
    </row>
    <row r="103" spans="1:64">
      <c r="A103" s="313">
        <f>A102+$B$24</f>
        <v/>
      </c>
      <c r="B103" s="313">
        <f>B102+$B$24</f>
        <v/>
      </c>
      <c r="C103" s="314" t="n"/>
      <c r="D103" t="s">
        <v>103</v>
      </c>
      <c r="E103" s="34" t="s">
        <v>103</v>
      </c>
      <c r="F103" s="34" t="s">
        <v>239</v>
      </c>
      <c r="G103" s="34" t="n">
        <v>139</v>
      </c>
      <c r="H103" s="310" t="n">
        <v>1</v>
      </c>
      <c r="I103" s="310" t="n">
        <v>1</v>
      </c>
      <c r="J103" s="310" t="n">
        <v>1</v>
      </c>
      <c r="K103" s="310" t="n">
        <v>1</v>
      </c>
      <c r="L103" s="311">
        <f>H103*$B$1</f>
        <v/>
      </c>
      <c r="M103" s="311">
        <f>I103*$B$1</f>
        <v/>
      </c>
      <c r="N103" s="311">
        <f>J103*$B$1</f>
        <v/>
      </c>
      <c r="O103" s="311">
        <f>K103*$B$1</f>
        <v/>
      </c>
      <c r="P103" s="311">
        <f>IFERROR(MIN(VLOOKUP(E103,Detalle!A:AA,$P$6,0),VLOOKUP(E103,Detalle!A:AA,$P$7,0),VLOOKUP(E103,Detalle!A:AA,$P$4,0)),0)</f>
        <v/>
      </c>
      <c r="Q103" s="311">
        <f>IFERROR(MIN(VLOOKUP(E103,Detalle!A:AA,$Q$6,0),VLOOKUP(E103,Detalle!A:AA,$Q$7,0)),0)</f>
        <v/>
      </c>
      <c r="R103" s="311">
        <f>IFERROR(MIN(VLOOKUP(E103,Detalle!A:AA,$R$6,0),VLOOKUP(E103,Detalle!A:AA,$R$7,0)),0)</f>
        <v/>
      </c>
      <c r="S103" s="311">
        <f>IFERROR(MIN(VLOOKUP(E103,Detalle!A:AA,$S$6,0),VLOOKUP(E103,Detalle!A:AA,$S$7,0)),0)</f>
        <v/>
      </c>
      <c r="T103" s="311">
        <f>IFERROR(MAX(VLOOKUP(E103,Detalle!A:AA,$P$6,0),VLOOKUP(E103,Detalle!A:AA,$P$7,0),VLOOKUP(E103,Detalle!A:AA,$P$4,0)),0)</f>
        <v/>
      </c>
      <c r="U103" s="311">
        <f>IFERROR(MAX(VLOOKUP(E103,Detalle!A:AA,$Q$6,0),VLOOKUP(E103,Detalle!A:AA,$Q$7,0)),0)</f>
        <v/>
      </c>
      <c r="V103" s="311">
        <f>IFERROR(MAX(VLOOKUP(E103,Detalle!A:AA,$R$6,0),VLOOKUP(E103,Detalle!A:AA,$R$7,0)),0)</f>
        <v/>
      </c>
      <c r="W103" s="311">
        <f>IFERROR(MAX(VLOOKUP(E103,Detalle!A:AA,$S$6,0),VLOOKUP(E103,Detalle!A:AA,$S$7,0)),0)</f>
        <v/>
      </c>
      <c r="X103" s="311">
        <f>INDEX($A$27:$B$246,MATCH(IFERROR(IF(P103*(1+$Y$5)&lt;H103,H103,IF(P103*(1+$Y$5)&gt;L103,L103,P103*(1+$Y$5))),0),$A$27:$A$246,1),2)</f>
        <v/>
      </c>
      <c r="Y103" s="311">
        <f>INDEX($A$27:$B$246,MATCH(IFERROR(IF(Q103*(1+$Y$5)&lt;I103,I103,IF(Q103*(1+$Y$5)&gt;M103,M103,Q103*(1+$Y$5))),0),$A$27:$A$246,1),2)</f>
        <v/>
      </c>
      <c r="Z103" s="311">
        <f>INDEX($A$27:$B$246,MATCH(IFERROR(IF(R103*(1+$Y$5)&lt;J103,J103,IF(R103*(1+$Y$5)&gt;N103,N103,R103*(1+$Y$5))),0),$A$27:$A$246,1),2)</f>
        <v/>
      </c>
      <c r="AA103" s="311">
        <f>INDEX($A$27:$B$246,MATCH(IFERROR(IF(S103*(1+$Y$5)&lt;K103,K103,IF(S103*(1+$Y$5)&gt;O103,O103,S103*(1+$Y$5))),0),$A$27:$A$246,1),2)</f>
        <v/>
      </c>
      <c r="AB103" s="311">
        <f>INDEX($A$27:$B$246,MATCH(IFERROR(IF(P103-$AC$5&lt;H103,H103,IF(P103-$AC$5&gt;L103,L103,P103-$AC$5)),0),$A$27:$A$246,1),2)</f>
        <v/>
      </c>
      <c r="AC103" s="311">
        <f>INDEX($A$27:$B$246,MATCH(IFERROR(IF(Q103-$AC$5&lt;I103,I103,IF(Q103-$AC$5&gt;M103,M103,Q103-$AC$5)),0),$A$27:$A$246,1),2)</f>
        <v/>
      </c>
      <c r="AD103" s="311">
        <f>INDEX($A$27:$B$246,MATCH(IFERROR(IF(R103-$AC$5&lt;J103,J103,IF(R103-$AC$5&gt;N103,N103,R103-$AC$5)),0),$A$27:$A$246,1),2)</f>
        <v/>
      </c>
      <c r="AE103" s="311">
        <f>INDEX($A$27:$B$246,MATCH(IFERROR(IF(S103-$AC$5&lt;K103,K103,IF(S103-$AC$5&gt;O103,O103,S103-$AC$5)),0),$A$27:$A$246,1),2)</f>
        <v/>
      </c>
      <c r="AF103" s="311" t="s">
        <v>8</v>
      </c>
      <c r="AG103" s="311" t="s">
        <v>8</v>
      </c>
      <c r="AH103" s="311" t="s">
        <v>8</v>
      </c>
      <c r="AI103" s="311" t="s">
        <v>8</v>
      </c>
      <c r="AJ103" s="311">
        <f>INDEX($A$27:$B$246,MATCH(IFERROR(IF(T103&lt;H103,H103,IF(T103&gt;L103,L103,T103)),0),$A$27:$A$246,1),2)</f>
        <v/>
      </c>
      <c r="AK103" s="311">
        <f>INDEX($A$27:$B$246,MATCH(IFERROR(IF(U103&lt;I103,I103,IF(U103&gt;M103,M103,U103)),0),$A$27:$A$246,1),2)</f>
        <v/>
      </c>
      <c r="AL103" s="311">
        <f>INDEX($A$27:$B$246,MATCH(IFERROR(IF(V103&lt;J103,J103,IF(V103&gt;N103,N103,V103)),0),$A$27:$A$246,1),2)</f>
        <v/>
      </c>
      <c r="AM103" s="311">
        <f>INDEX($A$27:$B$246,MATCH(IFERROR(IF(W103&lt;K103,K103,IF(W103&gt;O103,O103,W103)),0),$A$27:$A$246,1),2)</f>
        <v/>
      </c>
      <c r="AN103" s="311">
        <f>INDEX($A$27:$B$246,MATCH(IFERROR(IF(T103&lt;H103,H103,IF(T103&gt;L103,L103,T103)),0),$A$27:$A$246,1),2)</f>
        <v/>
      </c>
      <c r="AO103" s="311">
        <f>INDEX($A$27:$B$246,MATCH(IFERROR(IF(U103&lt;I103,I103,IF(U103&gt;M103,M103,U103)),0),$A$27:$A$246,1),2)</f>
        <v/>
      </c>
      <c r="AP103" s="311">
        <f>INDEX($A$27:$B$246,MATCH(IFERROR(IF(V103&lt;J103,J103,IF(V103&gt;N103,N103,V103)),0),$A$27:$A$246,1),2)</f>
        <v/>
      </c>
      <c r="AQ103" s="311">
        <f>INDEX($A$27:$B$246,MATCH(IFERROR(IF(W103&lt;K103,K103,IF(W103&gt;O103,O103,W103)),0),$A$27:$A$246,1),2)</f>
        <v/>
      </c>
      <c r="AR103" s="311">
        <f>INDEX($A$27:$B$246,MATCH(IFERROR(IF(T103+$AS$5&lt;H103,H103,IF(T103+$AS$5&gt;L103,L103,T103+$AS$5)),0),$A$27:$A$246,1),2)</f>
        <v/>
      </c>
      <c r="AS103" s="311">
        <f>INDEX($A$27:$B$246,MATCH(IFERROR(IF(U103+$AS$5&lt;I103,I103,IF(U103+$AS$5&gt;M103,M103,U103+$AS$5)),0),$A$27:$A$246,1),2)</f>
        <v/>
      </c>
      <c r="AT103" s="311">
        <f>INDEX($A$27:$B$246,MATCH(IFERROR(IF(V103+$AS$5&lt;J103,J103,IF(V103+$AS$5&gt;N103,N103,V103+$AS$5)),0),$A$27:$A$246,1),2)</f>
        <v/>
      </c>
      <c r="AU103" s="311">
        <f>INDEX($A$27:$B$246,MATCH(IFERROR(IF(W103+$AS$5&lt;K103,K103,IF(W103+$AS$5&gt;O103,O103,W103+$AS$5)),0),$A$27:$A$246,1),2)</f>
        <v/>
      </c>
      <c r="AV103" s="311">
        <f>INDEX($A$27:$B$246,MATCH(IFERROR(IF(T103+$AW$5&lt;H103,H103,IF(T103+$AW$5&gt;L103,L103,T103+$AW$5)),0),$A$27:$A$246,1),2)</f>
        <v/>
      </c>
      <c r="AW103" s="311">
        <f>INDEX($A$27:$B$246,MATCH(IFERROR(IF(U103+$AW$5&lt;I103,I103,IF(U103+$AW$5&gt;M103,M103,U103+$AW$5)),0),$A$27:$A$246,1),2)</f>
        <v/>
      </c>
      <c r="AX103" s="311">
        <f>INDEX($A$27:$B$246,MATCH(IFERROR(IF(V103+$AW$5&lt;J103,J103,IF(V103+$AW$5&gt;N103,N103,V103+$AW$5)),0),$A$27:$A$246,1),2)</f>
        <v/>
      </c>
      <c r="AY103" s="311">
        <f>INDEX($A$27:$B$246,MATCH(IFERROR(IF(W103+$AW$5&lt;K103,K103,IF(W103+$AW$5&gt;O103,O103,W103+$AW$5)),0),$A$27:$A$246,1),2)</f>
        <v/>
      </c>
      <c r="AZ103" s="311">
        <f>INDEX($A$27:$B$246,MATCH(IFERROR(IF(T103+$BA$5&lt;H103,H103,IF(T103+$BA$5&gt;L103,L103,T103+$BA$5)),0),$A$27:$A$246,1),2)</f>
        <v/>
      </c>
      <c r="BA103" s="311">
        <f>INDEX($A$27:$B$246,MATCH(IFERROR(IF(U103+$BA$5&lt;I103,I103,IF(U103+$BA$5&gt;M103,M103,U103+$BA$5)),0),$A$27:$A$246,1),2)</f>
        <v/>
      </c>
      <c r="BB103" s="311">
        <f>INDEX($A$27:$B$246,MATCH(IFERROR(IF(V103+$BA$5&lt;J103,J103,IF(V103+$BA$5&gt;N103,N103,V103+$BA$5)),0),$A$27:$A$246,1),2)</f>
        <v/>
      </c>
      <c r="BC103" s="311">
        <f>INDEX($A$27:$B$246,MATCH(IFERROR(IF(W103+$BA$5&lt;K103,K103,IF(W103+$BA$5&gt;O103,O103,W103+$BA$5)),0),$A$27:$A$246,1),2)</f>
        <v/>
      </c>
      <c r="BD103" s="311" t="s">
        <v>8</v>
      </c>
      <c r="BE103" s="311" t="s">
        <v>8</v>
      </c>
      <c r="BF103" s="311" t="s">
        <v>8</v>
      </c>
      <c r="BG103" s="311" t="s">
        <v>8</v>
      </c>
    </row>
    <row r="104" spans="1:64">
      <c r="A104" s="313">
        <f>A103+$B$24</f>
        <v/>
      </c>
      <c r="B104" s="313">
        <f>B103+$B$24</f>
        <v/>
      </c>
      <c r="C104" s="314" t="n"/>
      <c r="D104" t="s">
        <v>123</v>
      </c>
      <c r="E104" s="34" t="s">
        <v>123</v>
      </c>
      <c r="F104" s="34" t="s">
        <v>258</v>
      </c>
      <c r="G104" s="34" t="n">
        <v>339</v>
      </c>
      <c r="H104" s="310" t="n">
        <v>1</v>
      </c>
      <c r="I104" s="310" t="n">
        <v>1</v>
      </c>
      <c r="J104" s="310" t="n">
        <v>1</v>
      </c>
      <c r="K104" s="310" t="n">
        <v>1</v>
      </c>
      <c r="L104" s="311">
        <f>H104*$B$1</f>
        <v/>
      </c>
      <c r="M104" s="311">
        <f>I104*$B$1</f>
        <v/>
      </c>
      <c r="N104" s="311">
        <f>J104*$B$1</f>
        <v/>
      </c>
      <c r="O104" s="311">
        <f>K104*$B$1</f>
        <v/>
      </c>
      <c r="P104" s="311">
        <f>IFERROR(MIN(VLOOKUP(E104,Detalle!A:AA,$P$6,0),VLOOKUP(E104,Detalle!A:AA,$P$7,0),VLOOKUP(E104,Detalle!A:AA,$P$4,0)),0)</f>
        <v/>
      </c>
      <c r="Q104" s="311">
        <f>IFERROR(MIN(VLOOKUP(E104,Detalle!A:AA,$Q$6,0),VLOOKUP(E104,Detalle!A:AA,$Q$7,0)),0)</f>
        <v/>
      </c>
      <c r="R104" s="311">
        <f>IFERROR(MIN(VLOOKUP(E104,Detalle!A:AA,$R$6,0),VLOOKUP(E104,Detalle!A:AA,$R$7,0)),0)</f>
        <v/>
      </c>
      <c r="S104" s="311">
        <f>IFERROR(MIN(VLOOKUP(E104,Detalle!A:AA,$S$6,0),VLOOKUP(E104,Detalle!A:AA,$S$7,0)),0)</f>
        <v/>
      </c>
      <c r="T104" s="311">
        <f>IFERROR(MAX(VLOOKUP(E104,Detalle!A:AA,$P$6,0),VLOOKUP(E104,Detalle!A:AA,$P$7,0),VLOOKUP(E104,Detalle!A:AA,$P$4,0)),0)</f>
        <v/>
      </c>
      <c r="U104" s="311">
        <f>IFERROR(MAX(VLOOKUP(E104,Detalle!A:AA,$Q$6,0),VLOOKUP(E104,Detalle!A:AA,$Q$7,0)),0)</f>
        <v/>
      </c>
      <c r="V104" s="311">
        <f>IFERROR(MAX(VLOOKUP(E104,Detalle!A:AA,$R$6,0),VLOOKUP(E104,Detalle!A:AA,$R$7,0)),0)</f>
        <v/>
      </c>
      <c r="W104" s="311">
        <f>IFERROR(MAX(VLOOKUP(E104,Detalle!A:AA,$S$6,0),VLOOKUP(E104,Detalle!A:AA,$S$7,0)),0)</f>
        <v/>
      </c>
      <c r="X104" s="311">
        <f>INDEX($A$27:$B$246,MATCH(IFERROR(IF(P104*(1+$Y$5)&lt;H104,H104,IF(P104*(1+$Y$5)&gt;L104,L104,P104*(1+$Y$5))),0),$A$27:$A$246,1),2)</f>
        <v/>
      </c>
      <c r="Y104" s="311">
        <f>INDEX($A$27:$B$246,MATCH(IFERROR(IF(Q104*(1+$Y$5)&lt;I104,I104,IF(Q104*(1+$Y$5)&gt;M104,M104,Q104*(1+$Y$5))),0),$A$27:$A$246,1),2)</f>
        <v/>
      </c>
      <c r="Z104" s="311">
        <f>INDEX($A$27:$B$246,MATCH(IFERROR(IF(R104*(1+$Y$5)&lt;J104,J104,IF(R104*(1+$Y$5)&gt;N104,N104,R104*(1+$Y$5))),0),$A$27:$A$246,1),2)</f>
        <v/>
      </c>
      <c r="AA104" s="311">
        <f>INDEX($A$27:$B$246,MATCH(IFERROR(IF(S104*(1+$Y$5)&lt;K104,K104,IF(S104*(1+$Y$5)&gt;O104,O104,S104*(1+$Y$5))),0),$A$27:$A$246,1),2)</f>
        <v/>
      </c>
      <c r="AB104" s="311">
        <f>INDEX($A$27:$B$246,MATCH(IFERROR(IF(P104-$AC$5&lt;H104,H104,IF(P104-$AC$5&gt;L104,L104,P104-$AC$5)),0),$A$27:$A$246,1),2)</f>
        <v/>
      </c>
      <c r="AC104" s="311">
        <f>INDEX($A$27:$B$246,MATCH(IFERROR(IF(Q104-$AC$5&lt;I104,I104,IF(Q104-$AC$5&gt;M104,M104,Q104-$AC$5)),0),$A$27:$A$246,1),2)</f>
        <v/>
      </c>
      <c r="AD104" s="311">
        <f>INDEX($A$27:$B$246,MATCH(IFERROR(IF(R104-$AC$5&lt;J104,J104,IF(R104-$AC$5&gt;N104,N104,R104-$AC$5)),0),$A$27:$A$246,1),2)</f>
        <v/>
      </c>
      <c r="AE104" s="311">
        <f>INDEX($A$27:$B$246,MATCH(IFERROR(IF(S104-$AC$5&lt;K104,K104,IF(S104-$AC$5&gt;O104,O104,S104-$AC$5)),0),$A$27:$A$246,1),2)</f>
        <v/>
      </c>
      <c r="AF104" s="311" t="s">
        <v>8</v>
      </c>
      <c r="AG104" s="311" t="s">
        <v>8</v>
      </c>
      <c r="AH104" s="311" t="s">
        <v>8</v>
      </c>
      <c r="AI104" s="311" t="s">
        <v>8</v>
      </c>
      <c r="AJ104" s="311">
        <f>INDEX($A$27:$B$246,MATCH(IFERROR(IF(T104&lt;H104,H104,IF(T104&gt;L104,L104,T104)),0),$A$27:$A$246,1),2)</f>
        <v/>
      </c>
      <c r="AK104" s="311">
        <f>INDEX($A$27:$B$246,MATCH(IFERROR(IF(U104&lt;I104,I104,IF(U104&gt;M104,M104,U104)),0),$A$27:$A$246,1),2)</f>
        <v/>
      </c>
      <c r="AL104" s="311">
        <f>INDEX($A$27:$B$246,MATCH(IFERROR(IF(V104&lt;J104,J104,IF(V104&gt;N104,N104,V104)),0),$A$27:$A$246,1),2)</f>
        <v/>
      </c>
      <c r="AM104" s="311">
        <f>INDEX($A$27:$B$246,MATCH(IFERROR(IF(W104&lt;K104,K104,IF(W104&gt;O104,O104,W104)),0),$A$27:$A$246,1),2)</f>
        <v/>
      </c>
      <c r="AN104" s="311">
        <f>INDEX($A$27:$B$246,MATCH(IFERROR(IF(T104&lt;H104,H104,IF(T104&gt;L104,L104,T104)),0),$A$27:$A$246,1),2)</f>
        <v/>
      </c>
      <c r="AO104" s="311">
        <f>INDEX($A$27:$B$246,MATCH(IFERROR(IF(U104&lt;I104,I104,IF(U104&gt;M104,M104,U104)),0),$A$27:$A$246,1),2)</f>
        <v/>
      </c>
      <c r="AP104" s="311">
        <f>INDEX($A$27:$B$246,MATCH(IFERROR(IF(V104&lt;J104,J104,IF(V104&gt;N104,N104,V104)),0),$A$27:$A$246,1),2)</f>
        <v/>
      </c>
      <c r="AQ104" s="311">
        <f>INDEX($A$27:$B$246,MATCH(IFERROR(IF(W104&lt;K104,K104,IF(W104&gt;O104,O104,W104)),0),$A$27:$A$246,1),2)</f>
        <v/>
      </c>
      <c r="AR104" s="311">
        <f>INDEX($A$27:$B$246,MATCH(IFERROR(IF(T104+$AS$5&lt;H104,H104,IF(T104+$AS$5&gt;L104,L104,T104+$AS$5)),0),$A$27:$A$246,1),2)</f>
        <v/>
      </c>
      <c r="AS104" s="311">
        <f>INDEX($A$27:$B$246,MATCH(IFERROR(IF(U104+$AS$5&lt;I104,I104,IF(U104+$AS$5&gt;M104,M104,U104+$AS$5)),0),$A$27:$A$246,1),2)</f>
        <v/>
      </c>
      <c r="AT104" s="311">
        <f>INDEX($A$27:$B$246,MATCH(IFERROR(IF(V104+$AS$5&lt;J104,J104,IF(V104+$AS$5&gt;N104,N104,V104+$AS$5)),0),$A$27:$A$246,1),2)</f>
        <v/>
      </c>
      <c r="AU104" s="311">
        <f>INDEX($A$27:$B$246,MATCH(IFERROR(IF(W104+$AS$5&lt;K104,K104,IF(W104+$AS$5&gt;O104,O104,W104+$AS$5)),0),$A$27:$A$246,1),2)</f>
        <v/>
      </c>
      <c r="AV104" s="311">
        <f>INDEX($A$27:$B$246,MATCH(IFERROR(IF(T104+$AW$5&lt;H104,H104,IF(T104+$AW$5&gt;L104,L104,T104+$AW$5)),0),$A$27:$A$246,1),2)</f>
        <v/>
      </c>
      <c r="AW104" s="311">
        <f>INDEX($A$27:$B$246,MATCH(IFERROR(IF(U104+$AW$5&lt;I104,I104,IF(U104+$AW$5&gt;M104,M104,U104+$AW$5)),0),$A$27:$A$246,1),2)</f>
        <v/>
      </c>
      <c r="AX104" s="311">
        <f>INDEX($A$27:$B$246,MATCH(IFERROR(IF(V104+$AW$5&lt;J104,J104,IF(V104+$AW$5&gt;N104,N104,V104+$AW$5)),0),$A$27:$A$246,1),2)</f>
        <v/>
      </c>
      <c r="AY104" s="311">
        <f>INDEX($A$27:$B$246,MATCH(IFERROR(IF(W104+$AW$5&lt;K104,K104,IF(W104+$AW$5&gt;O104,O104,W104+$AW$5)),0),$A$27:$A$246,1),2)</f>
        <v/>
      </c>
      <c r="AZ104" s="311">
        <f>INDEX($A$27:$B$246,MATCH(IFERROR(IF(T104+$BA$5&lt;H104,H104,IF(T104+$BA$5&gt;L104,L104,T104+$BA$5)),0),$A$27:$A$246,1),2)</f>
        <v/>
      </c>
      <c r="BA104" s="311">
        <f>INDEX($A$27:$B$246,MATCH(IFERROR(IF(U104+$BA$5&lt;I104,I104,IF(U104+$BA$5&gt;M104,M104,U104+$BA$5)),0),$A$27:$A$246,1),2)</f>
        <v/>
      </c>
      <c r="BB104" s="311">
        <f>INDEX($A$27:$B$246,MATCH(IFERROR(IF(V104+$BA$5&lt;J104,J104,IF(V104+$BA$5&gt;N104,N104,V104+$BA$5)),0),$A$27:$A$246,1),2)</f>
        <v/>
      </c>
      <c r="BC104" s="311">
        <f>INDEX($A$27:$B$246,MATCH(IFERROR(IF(W104+$BA$5&lt;K104,K104,IF(W104+$BA$5&gt;O104,O104,W104+$BA$5)),0),$A$27:$A$246,1),2)</f>
        <v/>
      </c>
      <c r="BD104" s="311" t="s">
        <v>8</v>
      </c>
      <c r="BE104" s="311" t="s">
        <v>8</v>
      </c>
      <c r="BF104" s="311" t="s">
        <v>8</v>
      </c>
      <c r="BG104" s="311" t="s">
        <v>8</v>
      </c>
    </row>
    <row r="105" spans="1:64">
      <c r="A105" s="313">
        <f>A104+$B$24</f>
        <v/>
      </c>
      <c r="B105" s="313">
        <f>B104+$B$24</f>
        <v/>
      </c>
      <c r="C105" s="314" t="n"/>
      <c r="D105" t="s">
        <v>129</v>
      </c>
      <c r="E105" s="34" t="s">
        <v>129</v>
      </c>
      <c r="F105" s="34" t="s">
        <v>258</v>
      </c>
      <c r="G105" s="34" t="n">
        <v>348</v>
      </c>
      <c r="H105" s="310" t="n">
        <v>1</v>
      </c>
      <c r="I105" s="310" t="n">
        <v>1</v>
      </c>
      <c r="J105" s="310" t="n">
        <v>1</v>
      </c>
      <c r="K105" s="310" t="n">
        <v>1</v>
      </c>
      <c r="L105" s="311">
        <f>H105*$B$1</f>
        <v/>
      </c>
      <c r="M105" s="311">
        <f>I105*$B$1</f>
        <v/>
      </c>
      <c r="N105" s="311">
        <f>J105*$B$1</f>
        <v/>
      </c>
      <c r="O105" s="311">
        <f>K105*$B$1</f>
        <v/>
      </c>
      <c r="P105" s="311">
        <f>IFERROR(MIN(VLOOKUP(E105,Detalle!A:AA,$P$6,0),VLOOKUP(E105,Detalle!A:AA,$P$7,0),VLOOKUP(E105,Detalle!A:AA,$P$4,0)),0)</f>
        <v/>
      </c>
      <c r="Q105" s="311">
        <f>IFERROR(MIN(VLOOKUP(E105,Detalle!A:AA,$Q$6,0),VLOOKUP(E105,Detalle!A:AA,$Q$7,0)),0)</f>
        <v/>
      </c>
      <c r="R105" s="311">
        <f>IFERROR(MIN(VLOOKUP(E105,Detalle!A:AA,$R$6,0),VLOOKUP(E105,Detalle!A:AA,$R$7,0)),0)</f>
        <v/>
      </c>
      <c r="S105" s="311">
        <f>IFERROR(MIN(VLOOKUP(E105,Detalle!A:AA,$S$6,0),VLOOKUP(E105,Detalle!A:AA,$S$7,0)),0)</f>
        <v/>
      </c>
      <c r="T105" s="311">
        <f>IFERROR(MAX(VLOOKUP(E105,Detalle!A:AA,$P$6,0),VLOOKUP(E105,Detalle!A:AA,$P$7,0),VLOOKUP(E105,Detalle!A:AA,$P$4,0)),0)</f>
        <v/>
      </c>
      <c r="U105" s="311">
        <f>IFERROR(MAX(VLOOKUP(E105,Detalle!A:AA,$Q$6,0),VLOOKUP(E105,Detalle!A:AA,$Q$7,0)),0)</f>
        <v/>
      </c>
      <c r="V105" s="311">
        <f>IFERROR(MAX(VLOOKUP(E105,Detalle!A:AA,$R$6,0),VLOOKUP(E105,Detalle!A:AA,$R$7,0)),0)</f>
        <v/>
      </c>
      <c r="W105" s="311">
        <f>IFERROR(MAX(VLOOKUP(E105,Detalle!A:AA,$S$6,0),VLOOKUP(E105,Detalle!A:AA,$S$7,0)),0)</f>
        <v/>
      </c>
      <c r="X105" s="311">
        <f>INDEX($A$27:$B$246,MATCH(IFERROR(IF(P105*(1+$Y$5)&lt;H105,H105,IF(P105*(1+$Y$5)&gt;L105,L105,P105*(1+$Y$5))),0),$A$27:$A$246,1),2)</f>
        <v/>
      </c>
      <c r="Y105" s="311">
        <f>INDEX($A$27:$B$246,MATCH(IFERROR(IF(Q105*(1+$Y$5)&lt;I105,I105,IF(Q105*(1+$Y$5)&gt;M105,M105,Q105*(1+$Y$5))),0),$A$27:$A$246,1),2)</f>
        <v/>
      </c>
      <c r="Z105" s="311">
        <f>INDEX($A$27:$B$246,MATCH(IFERROR(IF(R105*(1+$Y$5)&lt;J105,J105,IF(R105*(1+$Y$5)&gt;N105,N105,R105*(1+$Y$5))),0),$A$27:$A$246,1),2)</f>
        <v/>
      </c>
      <c r="AA105" s="311">
        <f>INDEX($A$27:$B$246,MATCH(IFERROR(IF(S105*(1+$Y$5)&lt;K105,K105,IF(S105*(1+$Y$5)&gt;O105,O105,S105*(1+$Y$5))),0),$A$27:$A$246,1),2)</f>
        <v/>
      </c>
      <c r="AB105" s="311">
        <f>INDEX($A$27:$B$246,MATCH(IFERROR(IF(P105-$AC$5&lt;H105,H105,IF(P105-$AC$5&gt;L105,L105,P105-$AC$5)),0),$A$27:$A$246,1),2)</f>
        <v/>
      </c>
      <c r="AC105" s="311">
        <f>INDEX($A$27:$B$246,MATCH(IFERROR(IF(Q105-$AC$5&lt;I105,I105,IF(Q105-$AC$5&gt;M105,M105,Q105-$AC$5)),0),$A$27:$A$246,1),2)</f>
        <v/>
      </c>
      <c r="AD105" s="311">
        <f>INDEX($A$27:$B$246,MATCH(IFERROR(IF(R105-$AC$5&lt;J105,J105,IF(R105-$AC$5&gt;N105,N105,R105-$AC$5)),0),$A$27:$A$246,1),2)</f>
        <v/>
      </c>
      <c r="AE105" s="311">
        <f>INDEX($A$27:$B$246,MATCH(IFERROR(IF(S105-$AC$5&lt;K105,K105,IF(S105-$AC$5&gt;O105,O105,S105-$AC$5)),0),$A$27:$A$246,1),2)</f>
        <v/>
      </c>
      <c r="AF105" s="311" t="s">
        <v>8</v>
      </c>
      <c r="AG105" s="311" t="s">
        <v>8</v>
      </c>
      <c r="AH105" s="311" t="s">
        <v>8</v>
      </c>
      <c r="AI105" s="311" t="s">
        <v>8</v>
      </c>
      <c r="AJ105" s="311">
        <f>INDEX($A$27:$B$246,MATCH(IFERROR(IF(T105&lt;H105,H105,IF(T105&gt;L105,L105,T105)),0),$A$27:$A$246,1),2)</f>
        <v/>
      </c>
      <c r="AK105" s="311">
        <f>INDEX($A$27:$B$246,MATCH(IFERROR(IF(U105&lt;I105,I105,IF(U105&gt;M105,M105,U105)),0),$A$27:$A$246,1),2)</f>
        <v/>
      </c>
      <c r="AL105" s="311">
        <f>INDEX($A$27:$B$246,MATCH(IFERROR(IF(V105&lt;J105,J105,IF(V105&gt;N105,N105,V105)),0),$A$27:$A$246,1),2)</f>
        <v/>
      </c>
      <c r="AM105" s="311">
        <f>INDEX($A$27:$B$246,MATCH(IFERROR(IF(W105&lt;K105,K105,IF(W105&gt;O105,O105,W105)),0),$A$27:$A$246,1),2)</f>
        <v/>
      </c>
      <c r="AN105" s="311">
        <f>INDEX($A$27:$B$246,MATCH(IFERROR(IF(T105&lt;H105,H105,IF(T105&gt;L105,L105,T105)),0),$A$27:$A$246,1),2)</f>
        <v/>
      </c>
      <c r="AO105" s="311">
        <f>INDEX($A$27:$B$246,MATCH(IFERROR(IF(U105&lt;I105,I105,IF(U105&gt;M105,M105,U105)),0),$A$27:$A$246,1),2)</f>
        <v/>
      </c>
      <c r="AP105" s="311">
        <f>INDEX($A$27:$B$246,MATCH(IFERROR(IF(V105&lt;J105,J105,IF(V105&gt;N105,N105,V105)),0),$A$27:$A$246,1),2)</f>
        <v/>
      </c>
      <c r="AQ105" s="311">
        <f>INDEX($A$27:$B$246,MATCH(IFERROR(IF(W105&lt;K105,K105,IF(W105&gt;O105,O105,W105)),0),$A$27:$A$246,1),2)</f>
        <v/>
      </c>
      <c r="AR105" s="311">
        <f>INDEX($A$27:$B$246,MATCH(IFERROR(IF(T105+$AS$5&lt;H105,H105,IF(T105+$AS$5&gt;L105,L105,T105+$AS$5)),0),$A$27:$A$246,1),2)</f>
        <v/>
      </c>
      <c r="AS105" s="311">
        <f>INDEX($A$27:$B$246,MATCH(IFERROR(IF(U105+$AS$5&lt;I105,I105,IF(U105+$AS$5&gt;M105,M105,U105+$AS$5)),0),$A$27:$A$246,1),2)</f>
        <v/>
      </c>
      <c r="AT105" s="311">
        <f>INDEX($A$27:$B$246,MATCH(IFERROR(IF(V105+$AS$5&lt;J105,J105,IF(V105+$AS$5&gt;N105,N105,V105+$AS$5)),0),$A$27:$A$246,1),2)</f>
        <v/>
      </c>
      <c r="AU105" s="311">
        <f>INDEX($A$27:$B$246,MATCH(IFERROR(IF(W105+$AS$5&lt;K105,K105,IF(W105+$AS$5&gt;O105,O105,W105+$AS$5)),0),$A$27:$A$246,1),2)</f>
        <v/>
      </c>
      <c r="AV105" s="311">
        <f>INDEX($A$27:$B$246,MATCH(IFERROR(IF(T105+$AW$5&lt;H105,H105,IF(T105+$AW$5&gt;L105,L105,T105+$AW$5)),0),$A$27:$A$246,1),2)</f>
        <v/>
      </c>
      <c r="AW105" s="311">
        <f>INDEX($A$27:$B$246,MATCH(IFERROR(IF(U105+$AW$5&lt;I105,I105,IF(U105+$AW$5&gt;M105,M105,U105+$AW$5)),0),$A$27:$A$246,1),2)</f>
        <v/>
      </c>
      <c r="AX105" s="311">
        <f>INDEX($A$27:$B$246,MATCH(IFERROR(IF(V105+$AW$5&lt;J105,J105,IF(V105+$AW$5&gt;N105,N105,V105+$AW$5)),0),$A$27:$A$246,1),2)</f>
        <v/>
      </c>
      <c r="AY105" s="311">
        <f>INDEX($A$27:$B$246,MATCH(IFERROR(IF(W105+$AW$5&lt;K105,K105,IF(W105+$AW$5&gt;O105,O105,W105+$AW$5)),0),$A$27:$A$246,1),2)</f>
        <v/>
      </c>
      <c r="AZ105" s="311">
        <f>INDEX($A$27:$B$246,MATCH(IFERROR(IF(T105+$BA$5&lt;H105,H105,IF(T105+$BA$5&gt;L105,L105,T105+$BA$5)),0),$A$27:$A$246,1),2)</f>
        <v/>
      </c>
      <c r="BA105" s="311">
        <f>INDEX($A$27:$B$246,MATCH(IFERROR(IF(U105+$BA$5&lt;I105,I105,IF(U105+$BA$5&gt;M105,M105,U105+$BA$5)),0),$A$27:$A$246,1),2)</f>
        <v/>
      </c>
      <c r="BB105" s="311">
        <f>INDEX($A$27:$B$246,MATCH(IFERROR(IF(V105+$BA$5&lt;J105,J105,IF(V105+$BA$5&gt;N105,N105,V105+$BA$5)),0),$A$27:$A$246,1),2)</f>
        <v/>
      </c>
      <c r="BC105" s="311">
        <f>INDEX($A$27:$B$246,MATCH(IFERROR(IF(W105+$BA$5&lt;K105,K105,IF(W105+$BA$5&gt;O105,O105,W105+$BA$5)),0),$A$27:$A$246,1),2)</f>
        <v/>
      </c>
      <c r="BD105" s="311" t="s">
        <v>8</v>
      </c>
      <c r="BE105" s="311" t="s">
        <v>8</v>
      </c>
      <c r="BF105" s="311" t="s">
        <v>8</v>
      </c>
      <c r="BG105" s="311" t="s">
        <v>8</v>
      </c>
    </row>
    <row r="106" spans="1:64">
      <c r="A106" s="313">
        <f>A105+$B$24</f>
        <v/>
      </c>
      <c r="B106" s="313">
        <f>B105+$B$24</f>
        <v/>
      </c>
      <c r="C106" s="314" t="n"/>
      <c r="D106" t="s">
        <v>130</v>
      </c>
      <c r="E106" s="34" t="s">
        <v>130</v>
      </c>
      <c r="F106" s="34" t="s">
        <v>258</v>
      </c>
      <c r="G106" s="34" t="n">
        <v>349</v>
      </c>
      <c r="H106" s="310" t="n">
        <v>1</v>
      </c>
      <c r="I106" s="310" t="n">
        <v>1</v>
      </c>
      <c r="J106" s="310" t="n">
        <v>1</v>
      </c>
      <c r="K106" s="310" t="n">
        <v>1</v>
      </c>
      <c r="L106" s="311">
        <f>H106*$B$1</f>
        <v/>
      </c>
      <c r="M106" s="311">
        <f>I106*$B$1</f>
        <v/>
      </c>
      <c r="N106" s="311">
        <f>J106*$B$1</f>
        <v/>
      </c>
      <c r="O106" s="311">
        <f>K106*$B$1</f>
        <v/>
      </c>
      <c r="P106" s="311">
        <f>IFERROR(MIN(VLOOKUP(E106,Detalle!A:AA,$P$6,0),VLOOKUP(E106,Detalle!A:AA,$P$7,0),VLOOKUP(E106,Detalle!A:AA,$P$4,0)),0)</f>
        <v/>
      </c>
      <c r="Q106" s="311">
        <f>IFERROR(MIN(VLOOKUP(E106,Detalle!A:AA,$Q$6,0),VLOOKUP(E106,Detalle!A:AA,$Q$7,0)),0)</f>
        <v/>
      </c>
      <c r="R106" s="311">
        <f>IFERROR(MIN(VLOOKUP(E106,Detalle!A:AA,$R$6,0),VLOOKUP(E106,Detalle!A:AA,$R$7,0)),0)</f>
        <v/>
      </c>
      <c r="S106" s="311">
        <f>IFERROR(MIN(VLOOKUP(E106,Detalle!A:AA,$S$6,0),VLOOKUP(E106,Detalle!A:AA,$S$7,0)),0)</f>
        <v/>
      </c>
      <c r="T106" s="311">
        <f>IFERROR(MAX(VLOOKUP(E106,Detalle!A:AA,$P$6,0),VLOOKUP(E106,Detalle!A:AA,$P$7,0),VLOOKUP(E106,Detalle!A:AA,$P$4,0)),0)</f>
        <v/>
      </c>
      <c r="U106" s="311">
        <f>IFERROR(MAX(VLOOKUP(E106,Detalle!A:AA,$Q$6,0),VLOOKUP(E106,Detalle!A:AA,$Q$7,0)),0)</f>
        <v/>
      </c>
      <c r="V106" s="311">
        <f>IFERROR(MAX(VLOOKUP(E106,Detalle!A:AA,$R$6,0),VLOOKUP(E106,Detalle!A:AA,$R$7,0)),0)</f>
        <v/>
      </c>
      <c r="W106" s="311">
        <f>IFERROR(MAX(VLOOKUP(E106,Detalle!A:AA,$S$6,0),VLOOKUP(E106,Detalle!A:AA,$S$7,0)),0)</f>
        <v/>
      </c>
      <c r="X106" s="311">
        <f>INDEX($A$27:$B$246,MATCH(IFERROR(IF(P106*(1+$Y$5)&lt;H106,H106,IF(P106*(1+$Y$5)&gt;L106,L106,P106*(1+$Y$5))),0),$A$27:$A$246,1),2)</f>
        <v/>
      </c>
      <c r="Y106" s="311">
        <f>INDEX($A$27:$B$246,MATCH(IFERROR(IF(Q106*(1+$Y$5)&lt;I106,I106,IF(Q106*(1+$Y$5)&gt;M106,M106,Q106*(1+$Y$5))),0),$A$27:$A$246,1),2)</f>
        <v/>
      </c>
      <c r="Z106" s="311">
        <f>INDEX($A$27:$B$246,MATCH(IFERROR(IF(R106*(1+$Y$5)&lt;J106,J106,IF(R106*(1+$Y$5)&gt;N106,N106,R106*(1+$Y$5))),0),$A$27:$A$246,1),2)</f>
        <v/>
      </c>
      <c r="AA106" s="311">
        <f>INDEX($A$27:$B$246,MATCH(IFERROR(IF(S106*(1+$Y$5)&lt;K106,K106,IF(S106*(1+$Y$5)&gt;O106,O106,S106*(1+$Y$5))),0),$A$27:$A$246,1),2)</f>
        <v/>
      </c>
      <c r="AB106" s="311">
        <f>INDEX($A$27:$B$246,MATCH(IFERROR(IF(P106-$AC$5&lt;H106,H106,IF(P106-$AC$5&gt;L106,L106,P106-$AC$5)),0),$A$27:$A$246,1),2)</f>
        <v/>
      </c>
      <c r="AC106" s="311">
        <f>INDEX($A$27:$B$246,MATCH(IFERROR(IF(Q106-$AC$5&lt;I106,I106,IF(Q106-$AC$5&gt;M106,M106,Q106-$AC$5)),0),$A$27:$A$246,1),2)</f>
        <v/>
      </c>
      <c r="AD106" s="311">
        <f>INDEX($A$27:$B$246,MATCH(IFERROR(IF(R106-$AC$5&lt;J106,J106,IF(R106-$AC$5&gt;N106,N106,R106-$AC$5)),0),$A$27:$A$246,1),2)</f>
        <v/>
      </c>
      <c r="AE106" s="311">
        <f>INDEX($A$27:$B$246,MATCH(IFERROR(IF(S106-$AC$5&lt;K106,K106,IF(S106-$AC$5&gt;O106,O106,S106-$AC$5)),0),$A$27:$A$246,1),2)</f>
        <v/>
      </c>
      <c r="AF106" s="311" t="s">
        <v>8</v>
      </c>
      <c r="AG106" s="311" t="s">
        <v>8</v>
      </c>
      <c r="AH106" s="311" t="s">
        <v>8</v>
      </c>
      <c r="AI106" s="311" t="s">
        <v>8</v>
      </c>
      <c r="AJ106" s="311">
        <f>INDEX($A$27:$B$246,MATCH(IFERROR(IF(T106&lt;H106,H106,IF(T106&gt;L106,L106,T106)),0),$A$27:$A$246,1),2)</f>
        <v/>
      </c>
      <c r="AK106" s="311">
        <f>INDEX($A$27:$B$246,MATCH(IFERROR(IF(U106&lt;I106,I106,IF(U106&gt;M106,M106,U106)),0),$A$27:$A$246,1),2)</f>
        <v/>
      </c>
      <c r="AL106" s="311">
        <f>INDEX($A$27:$B$246,MATCH(IFERROR(IF(V106&lt;J106,J106,IF(V106&gt;N106,N106,V106)),0),$A$27:$A$246,1),2)</f>
        <v/>
      </c>
      <c r="AM106" s="311">
        <f>INDEX($A$27:$B$246,MATCH(IFERROR(IF(W106&lt;K106,K106,IF(W106&gt;O106,O106,W106)),0),$A$27:$A$246,1),2)</f>
        <v/>
      </c>
      <c r="AN106" s="311">
        <f>INDEX($A$27:$B$246,MATCH(IFERROR(IF(T106&lt;H106,H106,IF(T106&gt;L106,L106,T106)),0),$A$27:$A$246,1),2)</f>
        <v/>
      </c>
      <c r="AO106" s="311">
        <f>INDEX($A$27:$B$246,MATCH(IFERROR(IF(U106&lt;I106,I106,IF(U106&gt;M106,M106,U106)),0),$A$27:$A$246,1),2)</f>
        <v/>
      </c>
      <c r="AP106" s="311">
        <f>INDEX($A$27:$B$246,MATCH(IFERROR(IF(V106&lt;J106,J106,IF(V106&gt;N106,N106,V106)),0),$A$27:$A$246,1),2)</f>
        <v/>
      </c>
      <c r="AQ106" s="311">
        <f>INDEX($A$27:$B$246,MATCH(IFERROR(IF(W106&lt;K106,K106,IF(W106&gt;O106,O106,W106)),0),$A$27:$A$246,1),2)</f>
        <v/>
      </c>
      <c r="AR106" s="311">
        <f>INDEX($A$27:$B$246,MATCH(IFERROR(IF(T106+$AS$5&lt;H106,H106,IF(T106+$AS$5&gt;L106,L106,T106+$AS$5)),0),$A$27:$A$246,1),2)</f>
        <v/>
      </c>
      <c r="AS106" s="311">
        <f>INDEX($A$27:$B$246,MATCH(IFERROR(IF(U106+$AS$5&lt;I106,I106,IF(U106+$AS$5&gt;M106,M106,U106+$AS$5)),0),$A$27:$A$246,1),2)</f>
        <v/>
      </c>
      <c r="AT106" s="311">
        <f>INDEX($A$27:$B$246,MATCH(IFERROR(IF(V106+$AS$5&lt;J106,J106,IF(V106+$AS$5&gt;N106,N106,V106+$AS$5)),0),$A$27:$A$246,1),2)</f>
        <v/>
      </c>
      <c r="AU106" s="311">
        <f>INDEX($A$27:$B$246,MATCH(IFERROR(IF(W106+$AS$5&lt;K106,K106,IF(W106+$AS$5&gt;O106,O106,W106+$AS$5)),0),$A$27:$A$246,1),2)</f>
        <v/>
      </c>
      <c r="AV106" s="311">
        <f>INDEX($A$27:$B$246,MATCH(IFERROR(IF(T106+$AW$5&lt;H106,H106,IF(T106+$AW$5&gt;L106,L106,T106+$AW$5)),0),$A$27:$A$246,1),2)</f>
        <v/>
      </c>
      <c r="AW106" s="311">
        <f>INDEX($A$27:$B$246,MATCH(IFERROR(IF(U106+$AW$5&lt;I106,I106,IF(U106+$AW$5&gt;M106,M106,U106+$AW$5)),0),$A$27:$A$246,1),2)</f>
        <v/>
      </c>
      <c r="AX106" s="311">
        <f>INDEX($A$27:$B$246,MATCH(IFERROR(IF(V106+$AW$5&lt;J106,J106,IF(V106+$AW$5&gt;N106,N106,V106+$AW$5)),0),$A$27:$A$246,1),2)</f>
        <v/>
      </c>
      <c r="AY106" s="311">
        <f>INDEX($A$27:$B$246,MATCH(IFERROR(IF(W106+$AW$5&lt;K106,K106,IF(W106+$AW$5&gt;O106,O106,W106+$AW$5)),0),$A$27:$A$246,1),2)</f>
        <v/>
      </c>
      <c r="AZ106" s="311">
        <f>INDEX($A$27:$B$246,MATCH(IFERROR(IF(T106+$BA$5&lt;H106,H106,IF(T106+$BA$5&gt;L106,L106,T106+$BA$5)),0),$A$27:$A$246,1),2)</f>
        <v/>
      </c>
      <c r="BA106" s="311">
        <f>INDEX($A$27:$B$246,MATCH(IFERROR(IF(U106+$BA$5&lt;I106,I106,IF(U106+$BA$5&gt;M106,M106,U106+$BA$5)),0),$A$27:$A$246,1),2)</f>
        <v/>
      </c>
      <c r="BB106" s="311">
        <f>INDEX($A$27:$B$246,MATCH(IFERROR(IF(V106+$BA$5&lt;J106,J106,IF(V106+$BA$5&gt;N106,N106,V106+$BA$5)),0),$A$27:$A$246,1),2)</f>
        <v/>
      </c>
      <c r="BC106" s="311">
        <f>INDEX($A$27:$B$246,MATCH(IFERROR(IF(W106+$BA$5&lt;K106,K106,IF(W106+$BA$5&gt;O106,O106,W106+$BA$5)),0),$A$27:$A$246,1),2)</f>
        <v/>
      </c>
      <c r="BD106" s="311" t="s">
        <v>8</v>
      </c>
      <c r="BE106" s="311" t="s">
        <v>8</v>
      </c>
      <c r="BF106" s="311" t="s">
        <v>8</v>
      </c>
      <c r="BG106" s="311" t="s">
        <v>8</v>
      </c>
    </row>
    <row r="107" spans="1:64">
      <c r="A107" s="313">
        <f>A106+$B$24</f>
        <v/>
      </c>
      <c r="B107" s="313">
        <f>B106+$B$24</f>
        <v/>
      </c>
      <c r="C107" s="314" t="n"/>
      <c r="D107" s="101" t="s">
        <v>112</v>
      </c>
      <c r="E107" s="101" t="s">
        <v>112</v>
      </c>
      <c r="F107" s="113" t="s">
        <v>271</v>
      </c>
      <c r="G107" t="s">
        <v>271</v>
      </c>
    </row>
    <row r="108" spans="1:64">
      <c r="A108" s="313">
        <f>A107+$B$24</f>
        <v/>
      </c>
      <c r="B108" s="313">
        <f>B107+$B$24</f>
        <v/>
      </c>
      <c r="C108" s="314" t="n"/>
      <c r="D108" s="101" t="s">
        <v>272</v>
      </c>
      <c r="E108" s="101" t="s">
        <v>85</v>
      </c>
      <c r="F108" s="113" t="s">
        <v>271</v>
      </c>
      <c r="G108" t="s">
        <v>271</v>
      </c>
    </row>
    <row r="109" spans="1:64">
      <c r="A109" s="313">
        <f>A108+$B$24</f>
        <v/>
      </c>
      <c r="B109" s="313">
        <f>B108+$B$24</f>
        <v/>
      </c>
      <c r="C109" s="314" t="n"/>
      <c r="D109" s="101" t="s">
        <v>226</v>
      </c>
      <c r="E109" s="101" t="s">
        <v>226</v>
      </c>
      <c r="F109" s="113" t="s">
        <v>271</v>
      </c>
      <c r="G109" t="s">
        <v>271</v>
      </c>
    </row>
    <row r="110" spans="1:64">
      <c r="A110" s="313">
        <f>A109+$B$24</f>
        <v/>
      </c>
      <c r="B110" s="313">
        <f>B109+$B$24</f>
        <v/>
      </c>
      <c r="C110" s="314" t="n"/>
      <c r="D110" s="101" t="s">
        <v>270</v>
      </c>
      <c r="E110" s="101" t="s">
        <v>270</v>
      </c>
      <c r="F110" s="113" t="s">
        <v>271</v>
      </c>
      <c r="G110" t="s">
        <v>271</v>
      </c>
    </row>
    <row r="111" spans="1:64">
      <c r="A111" s="313">
        <f>A110+$B$24</f>
        <v/>
      </c>
      <c r="B111" s="313">
        <f>B110+$B$24</f>
        <v/>
      </c>
      <c r="C111" s="314" t="n"/>
      <c r="D111" s="101" t="s">
        <v>234</v>
      </c>
      <c r="E111" s="101" t="s">
        <v>234</v>
      </c>
      <c r="F111" s="113" t="s">
        <v>271</v>
      </c>
      <c r="G111" t="s">
        <v>271</v>
      </c>
    </row>
    <row r="112" spans="1:64">
      <c r="A112" s="313">
        <f>A111+$B$24</f>
        <v/>
      </c>
      <c r="B112" s="313">
        <f>B111+$B$24</f>
        <v/>
      </c>
      <c r="C112" s="314" t="n"/>
      <c r="D112" s="101" t="s">
        <v>273</v>
      </c>
      <c r="E112" s="101" t="s">
        <v>60</v>
      </c>
      <c r="F112" s="113" t="s">
        <v>271</v>
      </c>
      <c r="G112" t="s">
        <v>271</v>
      </c>
    </row>
    <row r="113" spans="1:64">
      <c r="A113" s="313">
        <f>A112+$B$24</f>
        <v/>
      </c>
      <c r="B113" s="313">
        <f>B112+$B$24</f>
        <v/>
      </c>
      <c r="C113" s="314" t="n"/>
      <c r="D113" s="101" t="s">
        <v>274</v>
      </c>
      <c r="E113" s="101" t="s">
        <v>69</v>
      </c>
      <c r="F113" s="113" t="s">
        <v>271</v>
      </c>
      <c r="G113" t="s">
        <v>271</v>
      </c>
    </row>
    <row r="114" spans="1:64">
      <c r="A114" s="313">
        <f>A113+$B$24</f>
        <v/>
      </c>
      <c r="B114" s="313">
        <f>B113+$B$24</f>
        <v/>
      </c>
      <c r="C114" s="314" t="n"/>
      <c r="D114" s="101" t="s">
        <v>275</v>
      </c>
      <c r="E114" s="101" t="s">
        <v>97</v>
      </c>
      <c r="F114" s="113" t="s">
        <v>271</v>
      </c>
      <c r="G114" t="s">
        <v>271</v>
      </c>
    </row>
    <row r="115" spans="1:64">
      <c r="A115" s="313">
        <f>A114+$B$24</f>
        <v/>
      </c>
      <c r="B115" s="313">
        <f>B114+$B$24</f>
        <v/>
      </c>
      <c r="C115" s="314" t="n"/>
      <c r="D115" s="101" t="s">
        <v>256</v>
      </c>
      <c r="E115" s="101" t="s">
        <v>256</v>
      </c>
      <c r="F115" s="113" t="s">
        <v>271</v>
      </c>
      <c r="G115" t="s">
        <v>271</v>
      </c>
    </row>
    <row r="116" spans="1:64">
      <c r="A116" s="313">
        <f>A115+$B$24</f>
        <v/>
      </c>
      <c r="B116" s="313">
        <f>B115+$B$24</f>
        <v/>
      </c>
      <c r="C116" s="314" t="n"/>
    </row>
    <row r="117" spans="1:64">
      <c r="A117" s="313">
        <f>A116+$B$24</f>
        <v/>
      </c>
      <c r="B117" s="313">
        <f>B116+$B$24</f>
        <v/>
      </c>
      <c r="C117" s="314" t="n"/>
    </row>
    <row r="118" spans="1:64">
      <c r="A118" s="313">
        <f>A117+$B$24</f>
        <v/>
      </c>
      <c r="B118" s="313">
        <f>B117+$B$24</f>
        <v/>
      </c>
      <c r="C118" s="314" t="n"/>
    </row>
    <row r="119" spans="1:64">
      <c r="A119" s="313">
        <f>A118+$B$24</f>
        <v/>
      </c>
      <c r="B119" s="313">
        <f>B118+$B$24</f>
        <v/>
      </c>
      <c r="C119" s="314" t="n"/>
    </row>
    <row r="120" spans="1:64">
      <c r="A120" s="313">
        <f>A119+$B$24</f>
        <v/>
      </c>
      <c r="B120" s="313">
        <f>B119+$B$24</f>
        <v/>
      </c>
      <c r="C120" s="314" t="n"/>
    </row>
    <row r="121" spans="1:64">
      <c r="A121" s="313">
        <f>A120+$B$24</f>
        <v/>
      </c>
      <c r="B121" s="313">
        <f>B120+$B$24</f>
        <v/>
      </c>
      <c r="C121" s="314" t="n"/>
    </row>
    <row r="122" spans="1:64">
      <c r="A122" s="313">
        <f>A121+$B$24</f>
        <v/>
      </c>
      <c r="B122" s="313">
        <f>B121+$B$24</f>
        <v/>
      </c>
      <c r="C122" s="314" t="n"/>
    </row>
    <row r="123" spans="1:64">
      <c r="A123" s="313">
        <f>A122+$B$24</f>
        <v/>
      </c>
      <c r="B123" s="313">
        <f>B122+$B$24</f>
        <v/>
      </c>
      <c r="C123" s="314" t="n"/>
    </row>
    <row r="124" spans="1:64">
      <c r="A124" s="313">
        <f>A123+$B$24</f>
        <v/>
      </c>
      <c r="B124" s="313">
        <f>B123+$B$24</f>
        <v/>
      </c>
      <c r="C124" s="314" t="n"/>
    </row>
    <row r="125" spans="1:64">
      <c r="A125" s="313">
        <f>A124+$B$24</f>
        <v/>
      </c>
      <c r="B125" s="313">
        <f>B124+$B$24</f>
        <v/>
      </c>
      <c r="C125" s="314" t="n"/>
    </row>
    <row r="126" spans="1:64">
      <c r="A126" s="313">
        <f>A125+$B$24</f>
        <v/>
      </c>
      <c r="B126" s="313">
        <f>B125+$B$24</f>
        <v/>
      </c>
      <c r="C126" s="314" t="n"/>
    </row>
    <row r="127" spans="1:64">
      <c r="A127" s="313">
        <f>A126+$B$24</f>
        <v/>
      </c>
      <c r="B127" s="313">
        <f>B126+$B$24</f>
        <v/>
      </c>
      <c r="C127" s="314" t="n"/>
    </row>
    <row r="128" spans="1:64">
      <c r="A128" s="313">
        <f>A127+$B$24</f>
        <v/>
      </c>
      <c r="B128" s="313">
        <f>B127+$B$24</f>
        <v/>
      </c>
      <c r="C128" s="314" t="n"/>
    </row>
    <row r="129" spans="1:64">
      <c r="A129" s="313">
        <f>A128+$B$24</f>
        <v/>
      </c>
      <c r="B129" s="313">
        <f>B128+$B$24</f>
        <v/>
      </c>
      <c r="C129" s="314" t="n"/>
    </row>
    <row r="130" spans="1:64">
      <c r="A130" s="313">
        <f>A129+$B$24</f>
        <v/>
      </c>
      <c r="B130" s="313">
        <f>B129+$B$24</f>
        <v/>
      </c>
      <c r="C130" s="314" t="n"/>
    </row>
    <row r="131" spans="1:64">
      <c r="A131" s="313">
        <f>A130+$B$24</f>
        <v/>
      </c>
      <c r="B131" s="313">
        <f>B130+$B$24</f>
        <v/>
      </c>
      <c r="C131" s="314" t="n"/>
    </row>
    <row r="132" spans="1:64">
      <c r="A132" s="313">
        <f>A131+$B$24</f>
        <v/>
      </c>
      <c r="B132" s="313">
        <f>B131+$B$24</f>
        <v/>
      </c>
      <c r="C132" s="314" t="n"/>
    </row>
    <row r="133" spans="1:64">
      <c r="A133" s="313">
        <f>A132+$B$24</f>
        <v/>
      </c>
      <c r="B133" s="313">
        <f>B132+$B$24</f>
        <v/>
      </c>
      <c r="C133" s="314" t="n"/>
    </row>
    <row r="134" spans="1:64">
      <c r="A134" s="313">
        <f>A133+$B$24</f>
        <v/>
      </c>
      <c r="B134" s="313">
        <f>B133+$B$24</f>
        <v/>
      </c>
      <c r="C134" s="314" t="n"/>
    </row>
    <row r="135" spans="1:64">
      <c r="A135" s="313">
        <f>A134+$B$24</f>
        <v/>
      </c>
      <c r="B135" s="313">
        <f>B134+$B$24</f>
        <v/>
      </c>
      <c r="C135" s="314" t="n"/>
    </row>
    <row r="136" spans="1:64">
      <c r="A136" s="313">
        <f>A135+$B$24</f>
        <v/>
      </c>
      <c r="B136" s="313">
        <f>B135+$B$24</f>
        <v/>
      </c>
      <c r="C136" s="314" t="n"/>
    </row>
    <row r="137" spans="1:64">
      <c r="A137" s="313">
        <f>A136+$B$24</f>
        <v/>
      </c>
      <c r="B137" s="313">
        <f>B136+$B$24</f>
        <v/>
      </c>
      <c r="C137" s="314" t="n"/>
    </row>
    <row r="138" spans="1:64">
      <c r="A138" s="313">
        <f>A137+$B$24</f>
        <v/>
      </c>
      <c r="B138" s="313">
        <f>B137+$B$24</f>
        <v/>
      </c>
      <c r="C138" s="314" t="n"/>
    </row>
    <row r="139" spans="1:64">
      <c r="A139" s="313">
        <f>A138+$B$24</f>
        <v/>
      </c>
      <c r="B139" s="313">
        <f>B138+$B$24</f>
        <v/>
      </c>
      <c r="C139" s="314" t="n"/>
    </row>
    <row r="140" spans="1:64">
      <c r="A140" s="313">
        <f>A139+$B$24</f>
        <v/>
      </c>
      <c r="B140" s="313">
        <f>B139+$B$24</f>
        <v/>
      </c>
      <c r="C140" s="314" t="n"/>
    </row>
    <row r="141" spans="1:64">
      <c r="A141" s="313">
        <f>A140+$B$24</f>
        <v/>
      </c>
      <c r="B141" s="313">
        <f>B140+$B$24</f>
        <v/>
      </c>
      <c r="C141" s="314" t="n"/>
    </row>
    <row r="142" spans="1:64">
      <c r="A142" s="313">
        <f>A141+$B$24</f>
        <v/>
      </c>
      <c r="B142" s="313">
        <f>B141+$B$24</f>
        <v/>
      </c>
      <c r="C142" s="314" t="n"/>
    </row>
    <row r="143" spans="1:64">
      <c r="A143" s="313">
        <f>A142+$B$24</f>
        <v/>
      </c>
      <c r="B143" s="313">
        <f>B142+$B$24</f>
        <v/>
      </c>
      <c r="C143" s="314" t="n"/>
    </row>
    <row r="144" spans="1:64">
      <c r="A144" s="313">
        <f>A143+$B$24</f>
        <v/>
      </c>
      <c r="B144" s="313">
        <f>B143+$B$24</f>
        <v/>
      </c>
      <c r="C144" s="314" t="n"/>
    </row>
    <row r="145" spans="1:64">
      <c r="A145" s="313">
        <f>A144+$B$24</f>
        <v/>
      </c>
      <c r="B145" s="313">
        <f>B144+$B$24</f>
        <v/>
      </c>
      <c r="C145" s="314" t="n"/>
    </row>
    <row r="146" spans="1:64">
      <c r="A146" s="313">
        <f>A145+$B$24</f>
        <v/>
      </c>
      <c r="B146" s="313">
        <f>B145+$B$24</f>
        <v/>
      </c>
      <c r="C146" s="314" t="n"/>
    </row>
    <row r="147" spans="1:64">
      <c r="A147" s="313">
        <f>A146+$B$24</f>
        <v/>
      </c>
      <c r="B147" s="313">
        <f>B146+$B$24</f>
        <v/>
      </c>
      <c r="C147" s="314" t="n"/>
    </row>
    <row r="148" spans="1:64">
      <c r="A148" s="313">
        <f>A147+$B$24</f>
        <v/>
      </c>
      <c r="B148" s="313">
        <f>B147+$B$24</f>
        <v/>
      </c>
      <c r="C148" s="314" t="n"/>
    </row>
    <row r="149" spans="1:64">
      <c r="A149" s="313">
        <f>A148+$B$24</f>
        <v/>
      </c>
      <c r="B149" s="313">
        <f>B148+$B$24</f>
        <v/>
      </c>
      <c r="C149" s="314" t="n"/>
    </row>
    <row r="150" spans="1:64">
      <c r="A150" s="313">
        <f>A149+$B$24</f>
        <v/>
      </c>
      <c r="B150" s="313">
        <f>B149+$B$24</f>
        <v/>
      </c>
      <c r="C150" s="314" t="n"/>
    </row>
    <row r="151" spans="1:64">
      <c r="A151" s="313">
        <f>A150+$B$24</f>
        <v/>
      </c>
      <c r="B151" s="313">
        <f>B150+$B$24</f>
        <v/>
      </c>
      <c r="C151" s="314" t="n"/>
    </row>
    <row r="152" spans="1:64">
      <c r="A152" s="313">
        <f>A151+$B$24</f>
        <v/>
      </c>
      <c r="B152" s="313">
        <f>B151+$B$24</f>
        <v/>
      </c>
      <c r="C152" s="314" t="n"/>
    </row>
    <row r="153" spans="1:64">
      <c r="A153" s="313">
        <f>A152+$B$24</f>
        <v/>
      </c>
      <c r="B153" s="313">
        <f>B152+$B$24</f>
        <v/>
      </c>
      <c r="C153" s="314" t="n"/>
    </row>
    <row r="154" spans="1:64">
      <c r="A154" s="313">
        <f>A153+$B$24</f>
        <v/>
      </c>
      <c r="B154" s="313">
        <f>B153+$B$24</f>
        <v/>
      </c>
      <c r="C154" s="314" t="n"/>
    </row>
    <row r="155" spans="1:64">
      <c r="A155" s="313">
        <f>A154+$B$24</f>
        <v/>
      </c>
      <c r="B155" s="313">
        <f>B154+$B$24</f>
        <v/>
      </c>
      <c r="C155" s="314" t="n"/>
    </row>
    <row r="156" spans="1:64">
      <c r="A156" s="313">
        <f>A155+$B$24</f>
        <v/>
      </c>
      <c r="B156" s="313">
        <f>B155+$B$24</f>
        <v/>
      </c>
      <c r="C156" s="314" t="n"/>
    </row>
    <row r="157" spans="1:64">
      <c r="A157" s="313">
        <f>A156+$B$24</f>
        <v/>
      </c>
      <c r="B157" s="313">
        <f>B156+$B$24</f>
        <v/>
      </c>
      <c r="C157" s="314" t="n"/>
    </row>
    <row r="158" spans="1:64">
      <c r="A158" s="313">
        <f>A157+$B$24</f>
        <v/>
      </c>
      <c r="B158" s="313">
        <f>B157+$B$24</f>
        <v/>
      </c>
      <c r="C158" s="314" t="n"/>
    </row>
    <row r="159" spans="1:64">
      <c r="A159" s="313">
        <f>A158+$B$24</f>
        <v/>
      </c>
      <c r="B159" s="313">
        <f>B158+$B$24</f>
        <v/>
      </c>
      <c r="C159" s="314" t="n"/>
    </row>
    <row r="160" spans="1:64">
      <c r="A160" s="313">
        <f>A159+$B$24</f>
        <v/>
      </c>
      <c r="B160" s="313">
        <f>B159+$B$24</f>
        <v/>
      </c>
      <c r="C160" s="314" t="n"/>
    </row>
    <row r="161" spans="1:64">
      <c r="A161" s="313">
        <f>A160+$B$24</f>
        <v/>
      </c>
      <c r="B161" s="313">
        <f>B160+$B$24</f>
        <v/>
      </c>
      <c r="C161" s="314" t="n"/>
    </row>
    <row r="162" spans="1:64">
      <c r="A162" s="313">
        <f>A161+$B$24</f>
        <v/>
      </c>
      <c r="B162" s="313">
        <f>B161+$B$24</f>
        <v/>
      </c>
      <c r="C162" s="314" t="n"/>
    </row>
    <row r="163" spans="1:64">
      <c r="A163" s="313">
        <f>A162+$B$24</f>
        <v/>
      </c>
      <c r="B163" s="313">
        <f>B162+$B$24</f>
        <v/>
      </c>
      <c r="C163" s="314" t="n"/>
    </row>
    <row r="164" spans="1:64">
      <c r="A164" s="313">
        <f>A163+$B$24</f>
        <v/>
      </c>
      <c r="B164" s="313">
        <f>B163+$B$24</f>
        <v/>
      </c>
      <c r="C164" s="314" t="n"/>
    </row>
    <row r="165" spans="1:64">
      <c r="A165" s="313">
        <f>A164+$B$24</f>
        <v/>
      </c>
      <c r="B165" s="313">
        <f>B164+$B$24</f>
        <v/>
      </c>
      <c r="C165" s="314" t="n"/>
    </row>
    <row r="166" spans="1:64">
      <c r="A166" s="313">
        <f>A165+$B$24</f>
        <v/>
      </c>
      <c r="B166" s="313">
        <f>B165+$B$24</f>
        <v/>
      </c>
      <c r="C166" s="314" t="n"/>
    </row>
    <row r="167" spans="1:64">
      <c r="A167" s="313">
        <f>A166+$B$24</f>
        <v/>
      </c>
      <c r="B167" s="313">
        <f>B166+$B$24</f>
        <v/>
      </c>
      <c r="C167" s="314" t="n"/>
    </row>
    <row r="168" spans="1:64">
      <c r="A168" s="313">
        <f>A167+$B$24</f>
        <v/>
      </c>
      <c r="B168" s="313">
        <f>B167+$B$24</f>
        <v/>
      </c>
      <c r="C168" s="314" t="n"/>
    </row>
    <row r="169" spans="1:64">
      <c r="A169" s="313">
        <f>A168+$B$24</f>
        <v/>
      </c>
      <c r="B169" s="313">
        <f>B168+$B$24</f>
        <v/>
      </c>
      <c r="C169" s="314" t="n"/>
    </row>
    <row r="170" spans="1:64">
      <c r="A170" s="313">
        <f>A169+$B$24</f>
        <v/>
      </c>
      <c r="B170" s="313">
        <f>B169+$B$24</f>
        <v/>
      </c>
      <c r="C170" s="314" t="n"/>
    </row>
    <row r="171" spans="1:64">
      <c r="A171" s="313">
        <f>A170+$B$24</f>
        <v/>
      </c>
      <c r="B171" s="313">
        <f>B170+$B$24</f>
        <v/>
      </c>
      <c r="C171" s="314" t="n"/>
    </row>
    <row r="172" spans="1:64">
      <c r="A172" s="313">
        <f>A171+$B$24</f>
        <v/>
      </c>
      <c r="B172" s="313">
        <f>B171+$B$24</f>
        <v/>
      </c>
      <c r="C172" s="314" t="n"/>
    </row>
    <row r="173" spans="1:64">
      <c r="A173" s="313">
        <f>A172+$B$24</f>
        <v/>
      </c>
      <c r="B173" s="313">
        <f>B172+$B$24</f>
        <v/>
      </c>
      <c r="C173" s="314" t="n"/>
    </row>
    <row r="174" spans="1:64">
      <c r="A174" s="313">
        <f>A173+$B$24</f>
        <v/>
      </c>
      <c r="B174" s="313">
        <f>B173+$B$24</f>
        <v/>
      </c>
      <c r="C174" s="314" t="n"/>
    </row>
    <row r="175" spans="1:64">
      <c r="A175" s="313">
        <f>A174+$B$24</f>
        <v/>
      </c>
      <c r="B175" s="313">
        <f>B174+$B$24</f>
        <v/>
      </c>
      <c r="C175" s="314" t="n"/>
    </row>
    <row r="176" spans="1:64">
      <c r="A176" s="313">
        <f>A175+$B$24</f>
        <v/>
      </c>
      <c r="B176" s="313">
        <f>B175+$B$24</f>
        <v/>
      </c>
      <c r="C176" s="314" t="n"/>
    </row>
    <row r="177" spans="1:64">
      <c r="A177" s="313">
        <f>A176+$B$24</f>
        <v/>
      </c>
      <c r="B177" s="313">
        <f>B176+$B$24</f>
        <v/>
      </c>
      <c r="C177" s="314" t="n"/>
    </row>
    <row r="178" spans="1:64">
      <c r="A178" s="313">
        <f>A177+$B$24</f>
        <v/>
      </c>
      <c r="B178" s="313">
        <f>B177+$B$24</f>
        <v/>
      </c>
      <c r="C178" s="314" t="n"/>
    </row>
    <row r="179" spans="1:64">
      <c r="A179" s="313">
        <f>A178+$B$24</f>
        <v/>
      </c>
      <c r="B179" s="313">
        <f>B178+$B$24</f>
        <v/>
      </c>
      <c r="C179" s="314" t="n"/>
    </row>
    <row r="180" spans="1:64">
      <c r="A180" s="313">
        <f>A179+$B$24</f>
        <v/>
      </c>
      <c r="B180" s="313">
        <f>B179+$B$24</f>
        <v/>
      </c>
      <c r="C180" s="314" t="n"/>
    </row>
    <row r="181" spans="1:64">
      <c r="A181" s="313">
        <f>A180+$B$24</f>
        <v/>
      </c>
      <c r="B181" s="313">
        <f>B180+$B$24</f>
        <v/>
      </c>
      <c r="C181" s="314" t="n"/>
    </row>
    <row r="182" spans="1:64">
      <c r="A182" s="313">
        <f>A181+$B$24</f>
        <v/>
      </c>
      <c r="B182" s="313">
        <f>B181+$B$24</f>
        <v/>
      </c>
      <c r="C182" s="314" t="n"/>
    </row>
    <row r="183" spans="1:64">
      <c r="A183" s="313">
        <f>A182+$B$24</f>
        <v/>
      </c>
      <c r="B183" s="313">
        <f>B182+$B$24</f>
        <v/>
      </c>
      <c r="C183" s="314" t="n"/>
    </row>
    <row r="184" spans="1:64">
      <c r="A184" s="313">
        <f>A183+$B$24</f>
        <v/>
      </c>
      <c r="B184" s="313">
        <f>B183+$B$24</f>
        <v/>
      </c>
      <c r="C184" s="314" t="n"/>
    </row>
    <row r="185" spans="1:64">
      <c r="A185" s="313">
        <f>A184+$B$24</f>
        <v/>
      </c>
      <c r="B185" s="313">
        <f>B184+$B$24</f>
        <v/>
      </c>
      <c r="C185" s="314" t="n"/>
    </row>
    <row r="186" spans="1:64">
      <c r="A186" s="313">
        <f>A185+$B$24</f>
        <v/>
      </c>
      <c r="B186" s="313">
        <f>B185+$B$24</f>
        <v/>
      </c>
      <c r="C186" s="314" t="n"/>
    </row>
    <row r="187" spans="1:64">
      <c r="A187" s="313">
        <f>A186+$B$24</f>
        <v/>
      </c>
      <c r="B187" s="313">
        <f>B186+$B$24</f>
        <v/>
      </c>
      <c r="C187" s="314" t="n"/>
    </row>
    <row r="188" spans="1:64">
      <c r="A188" s="313">
        <f>A187+$B$24</f>
        <v/>
      </c>
      <c r="B188" s="313">
        <f>B187+$B$24</f>
        <v/>
      </c>
      <c r="C188" s="314" t="n"/>
    </row>
    <row r="189" spans="1:64">
      <c r="A189" s="313">
        <f>A188+$B$24</f>
        <v/>
      </c>
      <c r="B189" s="313">
        <f>B188+$B$24</f>
        <v/>
      </c>
      <c r="C189" s="314" t="n"/>
    </row>
    <row r="190" spans="1:64">
      <c r="A190" s="313">
        <f>A189+$B$24</f>
        <v/>
      </c>
      <c r="B190" s="313">
        <f>B189+$B$24</f>
        <v/>
      </c>
      <c r="C190" s="314" t="n"/>
    </row>
    <row r="191" spans="1:64">
      <c r="A191" s="313">
        <f>A190+$B$24</f>
        <v/>
      </c>
      <c r="B191" s="313">
        <f>B190+$B$24</f>
        <v/>
      </c>
      <c r="C191" s="314" t="n"/>
    </row>
    <row r="192" spans="1:64">
      <c r="A192" s="313">
        <f>A191+$B$24</f>
        <v/>
      </c>
      <c r="B192" s="313">
        <f>B191+$B$24</f>
        <v/>
      </c>
      <c r="C192" s="314" t="n"/>
    </row>
    <row r="193" spans="1:64">
      <c r="A193" s="313">
        <f>A192+$B$24</f>
        <v/>
      </c>
      <c r="B193" s="313">
        <f>B192+$B$24</f>
        <v/>
      </c>
      <c r="C193" s="314" t="n"/>
    </row>
    <row r="194" spans="1:64">
      <c r="A194" s="313">
        <f>A193+$B$24</f>
        <v/>
      </c>
      <c r="B194" s="313">
        <f>B193+$B$24</f>
        <v/>
      </c>
      <c r="C194" s="314" t="n"/>
    </row>
    <row r="195" spans="1:64">
      <c r="A195" s="313">
        <f>A194+$B$24</f>
        <v/>
      </c>
      <c r="B195" s="313">
        <f>B194+$B$24</f>
        <v/>
      </c>
      <c r="C195" s="314" t="n"/>
    </row>
    <row r="196" spans="1:64">
      <c r="A196" s="313">
        <f>A195+$B$24</f>
        <v/>
      </c>
      <c r="B196" s="313">
        <f>B195+$B$24</f>
        <v/>
      </c>
      <c r="C196" s="314" t="n"/>
    </row>
    <row r="197" spans="1:64">
      <c r="A197" s="313">
        <f>A196+$B$24</f>
        <v/>
      </c>
      <c r="B197" s="313">
        <f>B196+$B$24</f>
        <v/>
      </c>
      <c r="C197" s="314" t="n"/>
    </row>
    <row r="198" spans="1:64">
      <c r="A198" s="313">
        <f>A197+$B$24</f>
        <v/>
      </c>
      <c r="B198" s="313">
        <f>B197+$B$24</f>
        <v/>
      </c>
      <c r="C198" s="314" t="n"/>
    </row>
    <row r="199" spans="1:64">
      <c r="A199" s="313">
        <f>A198+$B$24</f>
        <v/>
      </c>
      <c r="B199" s="313">
        <f>B198+$B$24</f>
        <v/>
      </c>
      <c r="C199" s="314" t="n"/>
    </row>
    <row r="200" spans="1:64">
      <c r="A200" s="313">
        <f>A199+$B$24</f>
        <v/>
      </c>
      <c r="B200" s="313">
        <f>B199+$B$24</f>
        <v/>
      </c>
      <c r="C200" s="314" t="n"/>
    </row>
    <row r="201" spans="1:64">
      <c r="A201" s="313">
        <f>A200+$B$24</f>
        <v/>
      </c>
      <c r="B201" s="313">
        <f>B200+$B$24</f>
        <v/>
      </c>
      <c r="C201" s="314" t="n"/>
    </row>
    <row r="202" spans="1:64">
      <c r="A202" s="313">
        <f>A201+$B$24</f>
        <v/>
      </c>
      <c r="B202" s="313">
        <f>B201+$B$24</f>
        <v/>
      </c>
      <c r="C202" s="314" t="n"/>
    </row>
    <row r="203" spans="1:64">
      <c r="A203" s="313">
        <f>A202+$B$24</f>
        <v/>
      </c>
      <c r="B203" s="313">
        <f>B202+$B$24</f>
        <v/>
      </c>
      <c r="C203" s="314" t="n"/>
    </row>
    <row r="204" spans="1:64">
      <c r="A204" s="313">
        <f>A203+$B$24</f>
        <v/>
      </c>
      <c r="B204" s="313">
        <f>B203+$B$24</f>
        <v/>
      </c>
      <c r="C204" s="314" t="n"/>
    </row>
    <row r="205" spans="1:64">
      <c r="A205" s="313">
        <f>A204+$B$24</f>
        <v/>
      </c>
      <c r="B205" s="313">
        <f>B204+$B$24</f>
        <v/>
      </c>
      <c r="C205" s="314" t="n"/>
    </row>
    <row r="206" spans="1:64">
      <c r="A206" s="313">
        <f>A205+$B$24</f>
        <v/>
      </c>
      <c r="B206" s="313">
        <f>B205+$B$24</f>
        <v/>
      </c>
      <c r="C206" s="314" t="n"/>
    </row>
    <row r="207" spans="1:64">
      <c r="A207" s="313">
        <f>A206+$B$24</f>
        <v/>
      </c>
      <c r="B207" s="313">
        <f>B206+$B$24</f>
        <v/>
      </c>
      <c r="C207" s="314" t="n"/>
    </row>
    <row r="208" spans="1:64">
      <c r="A208" s="313">
        <f>A207+$B$24</f>
        <v/>
      </c>
      <c r="B208" s="313">
        <f>B207+$B$24</f>
        <v/>
      </c>
      <c r="C208" s="314" t="n"/>
    </row>
    <row r="209" spans="1:64">
      <c r="A209" s="313">
        <f>A208+$B$24</f>
        <v/>
      </c>
      <c r="B209" s="313">
        <f>B208+$B$24</f>
        <v/>
      </c>
      <c r="C209" s="314" t="n"/>
    </row>
    <row r="210" spans="1:64">
      <c r="A210" s="313">
        <f>A209+$B$24</f>
        <v/>
      </c>
      <c r="B210" s="313">
        <f>B209+$B$24</f>
        <v/>
      </c>
      <c r="C210" s="314" t="n"/>
    </row>
    <row r="211" spans="1:64">
      <c r="A211" s="313">
        <f>A210+$B$24</f>
        <v/>
      </c>
      <c r="B211" s="313">
        <f>B210+$B$24</f>
        <v/>
      </c>
      <c r="C211" s="314" t="n"/>
    </row>
    <row r="212" spans="1:64">
      <c r="A212" s="313">
        <f>A211+$B$24</f>
        <v/>
      </c>
      <c r="B212" s="313">
        <f>B211+$B$24</f>
        <v/>
      </c>
      <c r="C212" s="314" t="n"/>
    </row>
    <row r="213" spans="1:64">
      <c r="A213" s="313">
        <f>A212+$B$24</f>
        <v/>
      </c>
      <c r="B213" s="313">
        <f>B212+$B$24</f>
        <v/>
      </c>
      <c r="C213" s="314" t="n"/>
    </row>
    <row r="214" spans="1:64">
      <c r="A214" s="313">
        <f>A213+$B$24</f>
        <v/>
      </c>
      <c r="B214" s="313">
        <f>B213+$B$24</f>
        <v/>
      </c>
      <c r="C214" s="314" t="n"/>
    </row>
    <row r="215" spans="1:64">
      <c r="A215" s="313">
        <f>A214+$B$24</f>
        <v/>
      </c>
      <c r="B215" s="313">
        <f>B214+$B$24</f>
        <v/>
      </c>
      <c r="C215" s="314" t="n"/>
    </row>
    <row r="216" spans="1:64">
      <c r="A216" s="313">
        <f>A215+$B$24</f>
        <v/>
      </c>
      <c r="B216" s="313">
        <f>B215+$B$24</f>
        <v/>
      </c>
      <c r="C216" s="314" t="n"/>
    </row>
    <row r="217" spans="1:64">
      <c r="A217" s="313">
        <f>A216+$B$24</f>
        <v/>
      </c>
      <c r="B217" s="313">
        <f>B216+$B$24</f>
        <v/>
      </c>
      <c r="C217" s="314" t="n"/>
    </row>
    <row r="218" spans="1:64">
      <c r="A218" s="313">
        <f>A217+$B$24</f>
        <v/>
      </c>
      <c r="B218" s="313">
        <f>B217+$B$24</f>
        <v/>
      </c>
      <c r="C218" s="314" t="n"/>
    </row>
    <row r="219" spans="1:64">
      <c r="A219" s="313">
        <f>A218+$B$24</f>
        <v/>
      </c>
      <c r="B219" s="313">
        <f>B218+$B$24</f>
        <v/>
      </c>
      <c r="C219" s="314" t="n"/>
    </row>
    <row r="220" spans="1:64">
      <c r="A220" s="313">
        <f>A219+$B$24</f>
        <v/>
      </c>
      <c r="B220" s="313">
        <f>B219+$B$24</f>
        <v/>
      </c>
      <c r="C220" s="314" t="n"/>
    </row>
    <row r="221" spans="1:64">
      <c r="A221" s="313">
        <f>A220+$B$24</f>
        <v/>
      </c>
      <c r="B221" s="313">
        <f>B220+$B$24</f>
        <v/>
      </c>
      <c r="C221" s="314" t="n"/>
    </row>
    <row r="222" spans="1:64">
      <c r="A222" s="313">
        <f>A221+$B$24</f>
        <v/>
      </c>
      <c r="B222" s="313">
        <f>B221+$B$24</f>
        <v/>
      </c>
      <c r="C222" s="314" t="n"/>
    </row>
    <row r="223" spans="1:64">
      <c r="A223" s="313">
        <f>A222+$B$24</f>
        <v/>
      </c>
      <c r="B223" s="313">
        <f>B222+$B$24</f>
        <v/>
      </c>
      <c r="C223" s="314" t="n"/>
    </row>
    <row r="224" spans="1:64">
      <c r="A224" s="313">
        <f>A223+$B$24</f>
        <v/>
      </c>
      <c r="B224" s="313">
        <f>B223+$B$24</f>
        <v/>
      </c>
      <c r="C224" s="314" t="n"/>
    </row>
    <row r="225" spans="1:64">
      <c r="A225" s="313">
        <f>A224+$B$24</f>
        <v/>
      </c>
      <c r="B225" s="313">
        <f>B224+$B$24</f>
        <v/>
      </c>
      <c r="C225" s="314" t="n"/>
    </row>
    <row r="226" spans="1:64">
      <c r="A226" s="313">
        <f>A225+$B$24</f>
        <v/>
      </c>
      <c r="B226" s="313">
        <f>B225+$B$24</f>
        <v/>
      </c>
      <c r="C226" s="314" t="n"/>
    </row>
    <row r="227" spans="1:64">
      <c r="A227" s="313">
        <f>A226+$B$24</f>
        <v/>
      </c>
      <c r="B227" s="313">
        <f>B226+$B$24</f>
        <v/>
      </c>
      <c r="C227" s="314" t="n"/>
    </row>
    <row r="228" spans="1:64">
      <c r="A228" s="313">
        <f>A227+$B$24</f>
        <v/>
      </c>
      <c r="B228" s="313">
        <f>B227+$B$24</f>
        <v/>
      </c>
      <c r="C228" s="314" t="n"/>
    </row>
    <row r="229" spans="1:64">
      <c r="A229" s="313">
        <f>A228+$B$24</f>
        <v/>
      </c>
      <c r="B229" s="313">
        <f>B228+$B$24</f>
        <v/>
      </c>
      <c r="C229" s="314" t="n"/>
    </row>
    <row r="230" spans="1:64">
      <c r="A230" s="313">
        <f>A229+$B$24</f>
        <v/>
      </c>
      <c r="B230" s="313">
        <f>B229+$B$24</f>
        <v/>
      </c>
      <c r="C230" s="314" t="n"/>
    </row>
    <row r="231" spans="1:64">
      <c r="A231" s="313">
        <f>A230+$B$24</f>
        <v/>
      </c>
      <c r="B231" s="313">
        <f>B230+$B$24</f>
        <v/>
      </c>
      <c r="C231" s="314" t="n"/>
    </row>
    <row r="232" spans="1:64">
      <c r="A232" s="313">
        <f>A231+$B$24</f>
        <v/>
      </c>
      <c r="B232" s="313">
        <f>B231+$B$24</f>
        <v/>
      </c>
      <c r="C232" s="314" t="n"/>
    </row>
    <row r="233" spans="1:64">
      <c r="A233" s="313">
        <f>A232+$B$24</f>
        <v/>
      </c>
      <c r="B233" s="313">
        <f>B232+$B$24</f>
        <v/>
      </c>
      <c r="C233" s="314" t="n"/>
    </row>
    <row r="234" spans="1:64">
      <c r="A234" s="313">
        <f>A233+$B$24</f>
        <v/>
      </c>
      <c r="B234" s="313">
        <f>B233+$B$24</f>
        <v/>
      </c>
      <c r="C234" s="314" t="n"/>
    </row>
    <row r="235" spans="1:64">
      <c r="A235" s="313">
        <f>A234+$B$24</f>
        <v/>
      </c>
      <c r="B235" s="313">
        <f>B234+$B$24</f>
        <v/>
      </c>
      <c r="C235" s="314" t="n"/>
    </row>
    <row r="236" spans="1:64">
      <c r="A236" s="313">
        <f>A235+$B$24</f>
        <v/>
      </c>
      <c r="B236" s="313">
        <f>B235+$B$24</f>
        <v/>
      </c>
      <c r="C236" s="314" t="n"/>
    </row>
    <row r="237" spans="1:64">
      <c r="A237" s="313">
        <f>A236+$B$24</f>
        <v/>
      </c>
      <c r="B237" s="313">
        <f>B236+$B$24</f>
        <v/>
      </c>
      <c r="C237" s="314" t="n"/>
    </row>
    <row r="238" spans="1:64">
      <c r="A238" s="313">
        <f>A237+$B$24</f>
        <v/>
      </c>
      <c r="B238" s="313">
        <f>B237+$B$24</f>
        <v/>
      </c>
      <c r="C238" s="314" t="n"/>
    </row>
    <row r="239" spans="1:64">
      <c r="A239" s="313">
        <f>A238+$B$24</f>
        <v/>
      </c>
      <c r="B239" s="313">
        <f>B238+$B$24</f>
        <v/>
      </c>
      <c r="C239" s="314" t="n"/>
    </row>
    <row r="240" spans="1:64">
      <c r="A240" s="313">
        <f>A239+$B$24</f>
        <v/>
      </c>
      <c r="B240" s="313">
        <f>B239+$B$24</f>
        <v/>
      </c>
      <c r="C240" s="314" t="n"/>
    </row>
    <row r="241" spans="1:64">
      <c r="A241" s="313">
        <f>A240+$B$24</f>
        <v/>
      </c>
      <c r="B241" s="313">
        <f>B240+$B$24</f>
        <v/>
      </c>
      <c r="C241" s="314" t="n"/>
    </row>
    <row r="242" spans="1:64">
      <c r="A242" s="313">
        <f>A241+$B$24</f>
        <v/>
      </c>
      <c r="B242" s="313">
        <f>B241+$B$24</f>
        <v/>
      </c>
      <c r="C242" s="314" t="n"/>
    </row>
    <row r="243" spans="1:64">
      <c r="A243" s="313">
        <f>A242+$B$24</f>
        <v/>
      </c>
      <c r="B243" s="313">
        <f>B242+$B$24</f>
        <v/>
      </c>
      <c r="C243" s="314" t="n"/>
    </row>
    <row r="244" spans="1:64">
      <c r="A244" s="313">
        <f>A243+$B$24</f>
        <v/>
      </c>
      <c r="B244" s="313">
        <f>B243+$B$24</f>
        <v/>
      </c>
      <c r="C244" s="314" t="n"/>
    </row>
    <row r="245" spans="1:64">
      <c r="A245" s="313">
        <f>A244+$B$24</f>
        <v/>
      </c>
      <c r="B245" s="313">
        <f>B244+$B$24</f>
        <v/>
      </c>
      <c r="C245" s="314" t="n"/>
    </row>
    <row r="246" spans="1:64">
      <c r="A246" s="313">
        <f>A245+$B$24</f>
        <v/>
      </c>
      <c r="B246" s="313">
        <f>B245+$B$24</f>
        <v/>
      </c>
      <c r="C246" s="314" t="n"/>
    </row>
  </sheetData>
  <autoFilter ref="E9:BG115"/>
  <mergeCells count="32">
    <mergeCell ref="BD6:BG6"/>
    <mergeCell ref="X6:AA6"/>
    <mergeCell ref="AB6:AE6"/>
    <mergeCell ref="AF6:AI6"/>
    <mergeCell ref="AJ6:AM6"/>
    <mergeCell ref="AN6:AQ6"/>
    <mergeCell ref="AN8:AQ8"/>
    <mergeCell ref="AJ8:AM8"/>
    <mergeCell ref="AR6:AU6"/>
    <mergeCell ref="AV6:AY6"/>
    <mergeCell ref="AZ6:BC6"/>
    <mergeCell ref="T8:W8"/>
    <mergeCell ref="H8:K8"/>
    <mergeCell ref="X8:AA8"/>
    <mergeCell ref="AB8:AE8"/>
    <mergeCell ref="AF8:AI8"/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</mergeCells>
  <pageMargins bottom="0.75" footer="0.3" header="0.3" left="0.7" right="0.7" top="0.75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1:AQ1048576"/>
  <sheetViews>
    <sheetView showGridLines="0" workbookViewId="0" zoomScale="80" zoomScaleNormal="80">
      <pane activePane="bottomRight" state="frozen" topLeftCell="C58" xSplit="2" ySplit="4"/>
      <selection activeCell="D1" pane="topRight" sqref="D1"/>
      <selection activeCell="A5" pane="bottomLeft" sqref="A5"/>
      <selection activeCell="Y58" pane="bottomRight" sqref="Y58"/>
    </sheetView>
  </sheetViews>
  <sheetFormatPr baseColWidth="10" customHeight="1" defaultColWidth="12.85546875" defaultRowHeight="12.95" outlineLevelCol="1"/>
  <cols>
    <col customWidth="1" max="1" min="1" style="21" width="1.85546875"/>
    <col customWidth="1" max="3" min="2" style="21" width="20.140625"/>
    <col bestFit="1" customWidth="1" max="4" min="4" style="21" width="9.42578125"/>
    <col customWidth="1" max="5" min="5" style="316" width="10.7109375"/>
    <col bestFit="1" customWidth="1" max="6" min="6" style="317" width="10.7109375"/>
    <col customWidth="1" max="7" min="7" style="316" width="10.7109375"/>
    <col bestFit="1" customWidth="1" max="8" min="8" style="317" width="10.7109375"/>
    <col customWidth="1" max="9" min="9" style="316" width="10.7109375"/>
    <col bestFit="1" customWidth="1" max="10" min="10" style="317" width="10.7109375"/>
    <col customWidth="1" hidden="1" max="11" min="11" outlineLevel="1" style="21" width="13.5703125"/>
    <col customWidth="1" max="14" min="12" outlineLevel="1" style="21" width="10.28515625"/>
    <col customWidth="1" max="15" min="15" outlineLevel="1" style="21" width="11.7109375"/>
    <col customWidth="1" max="16" min="16" outlineLevel="1" style="21" width="11.28515625"/>
    <col customWidth="1" max="17" min="17" style="316" width="10.7109375"/>
    <col customWidth="1" max="18" min="18" style="317" width="10.7109375"/>
    <col customWidth="1" max="19" min="19" style="316" width="10.7109375"/>
    <col customWidth="1" max="20" min="20" style="317" width="10.7109375"/>
    <col customWidth="1" max="21" min="21" style="316" width="10.7109375"/>
    <col customWidth="1" max="22" min="22" style="317" width="10.7109375"/>
    <col customWidth="1" max="26" min="23" outlineLevel="1" style="21" width="12"/>
    <col customWidth="1" max="27" min="27" outlineLevel="1" style="21" width="8.7109375"/>
    <col customWidth="1" max="28" min="28" outlineLevel="1" style="21" width="11.28515625"/>
    <col customWidth="1" max="29" min="29" style="316" width="10.7109375"/>
    <col customWidth="1" max="30" min="30" style="317" width="10.7109375"/>
    <col customWidth="1" max="31" min="31" style="316" width="10.7109375"/>
    <col customWidth="1" max="32" min="32" style="317" width="10.7109375"/>
    <col customWidth="1" max="33" min="33" style="316" width="10.7109375"/>
    <col customWidth="1" max="34" min="34" style="317" width="10.7109375"/>
    <col customWidth="1" hidden="1" max="35" min="35" outlineLevel="1" style="21" width="11"/>
    <col customWidth="1" max="38" min="36" outlineLevel="1" style="21" width="11"/>
    <col customWidth="1" max="39" min="39" outlineLevel="1" style="21" width="10"/>
    <col customWidth="1" max="40" min="40" outlineLevel="1" style="21" width="11.28515625"/>
    <col customWidth="1" max="41" min="41" style="21" width="3.140625"/>
    <col customWidth="1" max="42" min="42" style="21" width="6.85546875"/>
    <col customWidth="1" max="16384" min="43" style="21" width="12.85546875"/>
  </cols>
  <sheetData>
    <row customFormat="1" customHeight="1" ht="12.95" r="1" s="22" spans="1:43">
      <c r="E1" s="318" t="n">
        <v>2</v>
      </c>
      <c r="F1" s="319" t="n">
        <v>3</v>
      </c>
      <c r="G1" s="318" t="n">
        <v>4</v>
      </c>
      <c r="H1" s="319" t="n">
        <v>5</v>
      </c>
      <c r="I1" s="318" t="n">
        <v>6</v>
      </c>
      <c r="J1" s="319" t="n">
        <v>7</v>
      </c>
      <c r="K1" s="32" t="n"/>
      <c r="L1" s="32" t="n"/>
      <c r="M1" s="32" t="n"/>
      <c r="N1" s="32" t="n"/>
      <c r="O1" s="40" t="n"/>
      <c r="P1" s="40" t="n"/>
      <c r="Q1" s="318" t="n">
        <v>8</v>
      </c>
      <c r="R1" s="319" t="n">
        <v>9</v>
      </c>
      <c r="S1" s="318" t="n">
        <v>10</v>
      </c>
      <c r="T1" s="319" t="n">
        <v>11</v>
      </c>
      <c r="U1" s="318" t="n">
        <v>12</v>
      </c>
      <c r="V1" s="319" t="n">
        <v>13</v>
      </c>
      <c r="W1" s="32" t="n"/>
      <c r="X1" s="32" t="n"/>
      <c r="Y1" s="32" t="n"/>
      <c r="Z1" s="32" t="n"/>
      <c r="AA1" s="40" t="n"/>
      <c r="AB1" s="40" t="n"/>
      <c r="AC1" s="318" t="n">
        <v>14</v>
      </c>
      <c r="AD1" s="319" t="n">
        <v>15</v>
      </c>
      <c r="AE1" s="318" t="n">
        <v>16</v>
      </c>
      <c r="AF1" s="319" t="n">
        <v>17</v>
      </c>
      <c r="AG1" s="318" t="n">
        <v>18</v>
      </c>
      <c r="AH1" s="319" t="n">
        <v>19</v>
      </c>
      <c r="AI1" s="32" t="n"/>
      <c r="AJ1" s="32" t="n"/>
      <c r="AK1" s="32" t="n"/>
      <c r="AL1" s="32" t="n"/>
      <c r="AM1" s="40" t="n"/>
      <c r="AN1" s="40" t="n"/>
    </row>
    <row customHeight="1" ht="35.1" r="2" s="183" spans="1:43">
      <c r="B2" s="22" t="s">
        <v>246</v>
      </c>
      <c r="C2" s="22" t="n"/>
      <c r="D2" s="22" t="n"/>
      <c r="E2" s="254" t="s">
        <v>276</v>
      </c>
      <c r="Q2" s="254" t="s">
        <v>277</v>
      </c>
      <c r="AC2" s="320" t="s">
        <v>278</v>
      </c>
    </row>
    <row customHeight="1" ht="23.1" r="3" s="183" spans="1:43">
      <c r="B3" s="22" t="s">
        <v>279</v>
      </c>
      <c r="C3" s="22" t="n"/>
      <c r="D3" s="22" t="n"/>
      <c r="E3" s="264" t="s">
        <v>280</v>
      </c>
      <c r="G3" s="266" t="s">
        <v>281</v>
      </c>
      <c r="I3" s="268" t="s">
        <v>282</v>
      </c>
      <c r="K3" s="257" t="s">
        <v>283</v>
      </c>
      <c r="Q3" s="264" t="s">
        <v>280</v>
      </c>
      <c r="S3" s="266" t="s">
        <v>281</v>
      </c>
      <c r="U3" s="321" t="s">
        <v>282</v>
      </c>
      <c r="W3" s="260" t="s">
        <v>283</v>
      </c>
      <c r="AC3" s="322" t="s">
        <v>280</v>
      </c>
      <c r="AE3" s="323" t="s">
        <v>281</v>
      </c>
      <c r="AG3" s="321" t="s">
        <v>282</v>
      </c>
      <c r="AI3" s="260" t="s">
        <v>283</v>
      </c>
    </row>
    <row customHeight="1" ht="39.95" r="4" s="183" spans="1:43">
      <c r="B4" s="108" t="s">
        <v>212</v>
      </c>
      <c r="C4" s="89" t="s">
        <v>213</v>
      </c>
      <c r="D4" s="89" t="s">
        <v>284</v>
      </c>
      <c r="E4" s="324" t="s">
        <v>285</v>
      </c>
      <c r="F4" s="325" t="s">
        <v>286</v>
      </c>
      <c r="G4" s="324" t="s">
        <v>285</v>
      </c>
      <c r="H4" s="325" t="s">
        <v>286</v>
      </c>
      <c r="I4" s="324" t="s">
        <v>285</v>
      </c>
      <c r="J4" s="325" t="s">
        <v>286</v>
      </c>
      <c r="K4" s="96" t="n"/>
      <c r="L4" s="96" t="s">
        <v>287</v>
      </c>
      <c r="M4" s="100" t="s">
        <v>288</v>
      </c>
      <c r="N4" s="96" t="s">
        <v>289</v>
      </c>
      <c r="O4" s="96" t="s">
        <v>290</v>
      </c>
      <c r="P4" s="96" t="s">
        <v>291</v>
      </c>
      <c r="Q4" s="324" t="s">
        <v>285</v>
      </c>
      <c r="R4" s="325" t="s">
        <v>286</v>
      </c>
      <c r="S4" s="324" t="s">
        <v>285</v>
      </c>
      <c r="T4" s="325" t="s">
        <v>286</v>
      </c>
      <c r="U4" s="324" t="s">
        <v>285</v>
      </c>
      <c r="V4" s="325" t="s">
        <v>286</v>
      </c>
      <c r="W4" s="96" t="s">
        <v>292</v>
      </c>
      <c r="X4" s="96" t="s">
        <v>287</v>
      </c>
      <c r="Y4" s="100" t="s">
        <v>288</v>
      </c>
      <c r="Z4" s="96" t="s">
        <v>289</v>
      </c>
      <c r="AA4" s="96" t="s">
        <v>290</v>
      </c>
      <c r="AB4" s="96" t="s">
        <v>291</v>
      </c>
      <c r="AC4" s="324" t="s">
        <v>285</v>
      </c>
      <c r="AD4" s="325" t="s">
        <v>286</v>
      </c>
      <c r="AE4" s="324" t="s">
        <v>285</v>
      </c>
      <c r="AF4" s="325" t="s">
        <v>286</v>
      </c>
      <c r="AG4" s="324" t="s">
        <v>285</v>
      </c>
      <c r="AH4" s="325" t="s">
        <v>286</v>
      </c>
      <c r="AI4" s="96" t="s">
        <v>292</v>
      </c>
      <c r="AJ4" s="96" t="s">
        <v>287</v>
      </c>
      <c r="AK4" s="100" t="s">
        <v>288</v>
      </c>
      <c r="AL4" s="96" t="s">
        <v>289</v>
      </c>
      <c r="AM4" s="96" t="s">
        <v>290</v>
      </c>
      <c r="AN4" s="96" t="s">
        <v>291</v>
      </c>
      <c r="AP4" s="23" t="n"/>
    </row>
    <row customHeight="1" ht="12.95" r="5" s="183" spans="1:43">
      <c r="B5" s="108" t="s">
        <v>145</v>
      </c>
      <c r="C5" s="89" t="s">
        <v>260</v>
      </c>
      <c r="D5" s="106">
        <f>VLOOKUP(B5,Base!E:G,3,0)</f>
        <v/>
      </c>
      <c r="E5" s="326">
        <f>IFERROR(IF(VLOOKUP(B5,Detalle!$A:$AA,$E$1,0)=0,"Sin datos",IFERROR(VLOOKUP(B5,Detalle!$A:$AA,$E$1,0),"Sin datos")),"")</f>
        <v/>
      </c>
      <c r="F5" s="91">
        <f>IFERROR(IF(VLOOKUP(B5,Detalle!$A:$AA,$F$1,0)=0,"Sin datos",IFERROR(VLOOKUP(B5,Detalle!$A:$AA,$F$1,0),"Sin datos")),"")</f>
        <v/>
      </c>
      <c r="G5" s="327">
        <f>IFERROR(IF(VLOOKUP(B5,Detalle!$A:$AA,$G$1,0)=0,"Sin datos",IFERROR(VLOOKUP(B5,Detalle!$A:$AA,$G$1,0),"Sin datos")),"")</f>
        <v/>
      </c>
      <c r="H5" s="93">
        <f>IFERROR(IF(VLOOKUP(B5,Detalle!$A:$AA,$H$1,0)=0,"Sin datos",IFERROR(VLOOKUP(B5,Detalle!$A:$AA,$H$1,0),"Sin datos")),"")</f>
        <v/>
      </c>
      <c r="I5" s="327">
        <f>IFERROR(IF(VLOOKUP(B5,Detalle!$A:$AA,$I$1,0)=0,"Sin datos",IFERROR(VLOOKUP(B5,Detalle!$A:$AA,$I$1,0),"Sin datos")),"")</f>
        <v/>
      </c>
      <c r="J5" s="93">
        <f>IFERROR(IF(VLOOKUP(B5,Detalle!$A:$AA,$J$1,0)=0,"Sin datos",IFERROR(VLOOKUP(B5,Detalle!$A:$AA,$J$1,0),"Sin datos")),"")</f>
        <v/>
      </c>
      <c r="K5" s="98" t="n"/>
      <c r="L5" s="328">
        <f>MIN(E5,G5,I5)</f>
        <v/>
      </c>
      <c r="M5" s="329">
        <f>IFERROR(IF(MIN(H5,J5)=F5,IF(G5=I5,"Escenario 5","Escenario 4"),IF(MIN(H5,J5)&lt;F5,IF(AND(F5-2&lt;=MIN(H5,J5),G5&lt;&gt;I5),"Escenario 1",IF(AND(F5-2&lt;=MIN(H5,J5),G5=I5),"Escenario 2","Escenario 3")),IF(MIN(H5,J5)&gt;F5,IF(AND(F5+2&gt;=MIN(H5,J5),G5=I5),"Escenario 7",IF(AND(F5+2&gt;=MIN(H5,J5),G5&lt;&gt;I5),"Escenario 6",IF(F5+5&lt;=MIN(H5,J5),"Escenario 9","Escenario 8"))),"error"))),"Falta info")</f>
        <v/>
      </c>
      <c r="N5" s="98">
        <f>IFERROR(VLOOKUP(M5,Base!$BJ$28:$BL$36,3,0),0)</f>
        <v/>
      </c>
      <c r="O5" s="330">
        <f>IF(LOOKUP(M5,Base!$X$8:$BG$8)=M5,VLOOKUP(B5,Base!E:BG,N5,0),0)</f>
        <v/>
      </c>
      <c r="P5" s="330" t="n"/>
      <c r="Q5" s="327">
        <f>IFERROR(IF(VLOOKUP(B5,Detalle!$A:$AA,$Q$1,0)=0,"Sin datos",IFERROR(VLOOKUP(B5,Detalle!$A:$AA,$Q$1,0),"Sin datos")),"")</f>
        <v/>
      </c>
      <c r="R5" s="93">
        <f>IFERROR(IF(VLOOKUP(B5,Detalle!$A:$AA,$R$1,0)=0,"Sin datos",IFERROR(VLOOKUP(B5,Detalle!$A:$AA,$R$1,0),"Sin datos")),"")</f>
        <v/>
      </c>
      <c r="S5" s="327">
        <f>IFERROR(IF(VLOOKUP(B5,Detalle!$A:$AA,$S$1,0)=0,"Sin datos",IFERROR(VLOOKUP(B5,Detalle!$A:$AA,$S$1,0),"Sin datos")),"")</f>
        <v/>
      </c>
      <c r="T5" s="93">
        <f>IFERROR(IF(VLOOKUP(B5,Detalle!$A:$AA,$T$1,0)=0,"Sin datos",IFERROR(VLOOKUP(B5,Detalle!$A:$AA,$T$1,0),"Sin datos")),"")</f>
        <v/>
      </c>
      <c r="U5" s="327">
        <f>IFERROR(IF(VLOOKUP(B5,Detalle!$A:$AA,$U$1,0)=0,"Sin datos",IFERROR(VLOOKUP(B5,Detalle!$A:$AA,$U$1,0),"Sin datos")),"")</f>
        <v/>
      </c>
      <c r="V5" s="93">
        <f>IFERROR(IF(VLOOKUP(B5,Detalle!$A:$AA,$V$1,0)=0,"Sin datos",IFERROR(VLOOKUP(B5,Detalle!$A:$AA,$V$1,0),"Sin datos")),"")</f>
        <v/>
      </c>
      <c r="W5" s="98">
        <f>IF(P5="",IF(MIN(Q5,S5,U5)&gt;E5,"Si","No"),IF(MIN(Q5,S5,U5)&gt;P5,"Si","No"))</f>
        <v/>
      </c>
      <c r="X5" s="328">
        <f>MIN(Q5,S5,U5)</f>
        <v/>
      </c>
      <c r="Y5" s="328">
        <f>IFERROR(IF(MIN(T5,V5)=R5,IF(S5=U5,"Escenario 5","Escenario 4"),IF(MIN(T5,V5)&lt;R5,IF(AND(R5-2&lt;=MIN(T5,V5),S5&lt;&gt;U5),"Escenario 1",IF(AND(R5-2&lt;=MIN(T5,V5),S5=U5),"Escenario 2","Escenario 3")),IF(MIN(T5,V5)&gt;R5,IF(AND(R5+2&gt;=MIN(T5,V5),S5=U5),"Escenario 7",IF(AND(R5+2&gt;=MIN(T5,V5),S5&lt;&gt;U5),"Escenario 6",IF(R5+5&lt;=MIN(T5,V5),"Escenario 9","Escenario 8"))),"error"))),"Falta info")</f>
        <v/>
      </c>
      <c r="Z5" s="98">
        <f>IFERROR(VLOOKUP(Y5,Base!$BJ$19:$BL$27,3,0),0)</f>
        <v/>
      </c>
      <c r="AA5" s="330">
        <f>IF(LOOKUP(Y5,Base!$X$8:$BG$8)=Y5,VLOOKUP(B5,Base!E:BG,Z5,0),0)</f>
        <v/>
      </c>
      <c r="AB5" s="330" t="n"/>
      <c r="AC5" s="327">
        <f>IFERROR(IF(VLOOKUP(B5,Detalle!$A:$AA,$AC$1,0)=0,"Sin datos",IFERROR(VLOOKUP(B5,Detalle!$A:$AA,$AC$1,0),"Sin datos")),"")</f>
        <v/>
      </c>
      <c r="AD5" s="93">
        <f>IFERROR(IF(VLOOKUP(B5,Detalle!$A:$AA,$AD$1,0)=0,"Sin datos",IFERROR(VLOOKUP(B5,Detalle!$A:$AA,$AD$1,0),"Sin datos")),"")</f>
        <v/>
      </c>
      <c r="AE5" s="327">
        <f>IFERROR(IF(VLOOKUP(B5,Detalle!$A:$AA,$AE$1,0)=0,"Sin datos",IFERROR(VLOOKUP(B5,Detalle!$A:$AA,$AE$1,0),"Sin datos")),"")</f>
        <v/>
      </c>
      <c r="AF5" s="93">
        <f>IFERROR(IF(VLOOKUP(B5,Detalle!$A:$AA,$AF$1,0)=0,"Sin datos",IFERROR(VLOOKUP(B5,Detalle!$A:$AA,$AF$1,0),"Sin datos")),"")</f>
        <v/>
      </c>
      <c r="AG5" s="327">
        <f>IFERROR(IF(VLOOKUP(B5,Detalle!$A:$AA,$AG$1,0)=0,"Sin datos",IFERROR(VLOOKUP(B5,Detalle!$A:$AA,$AG$1,0),"Sin datos")),"")</f>
        <v/>
      </c>
      <c r="AH5" s="93">
        <f>IFERROR(IF(VLOOKUP(B5,Detalle!$A:$AA,$AH$1,0)=0,"Sin datos",IFERROR(VLOOKUP(B5,Detalle!$A:$AA,$AH$1,0),"Sin datos")),"")</f>
        <v/>
      </c>
      <c r="AI5" s="98">
        <f>IF(AB5="",IF(MIN(AC5,AE5,AG5)&gt;E5,"Si","No"),IF(MIN(AC5,AG5,AG5)&gt;AB5,"Si","No"))</f>
        <v/>
      </c>
      <c r="AJ5" s="328">
        <f>MIN(AC5,AE5,AG5)</f>
        <v/>
      </c>
      <c r="AK5" s="328">
        <f>IFERROR(IF(MIN(AF5,AH5)=AD5,IF(AE5=AG5,"Escenario 5","Escenario 4"),IF(MIN(AF5,AH5)&lt;AD5,IF(AND(AD5-2&lt;=MIN(AF5,AH5),AE5&lt;&gt;AG5),"Escenario 1",IF(AND(AD5-2&lt;=MIN(AF5,AH5),AE5=AG5),"Escenario 2","Escenario 3")),IF(MIN(AF5,AH5)&gt;AD5,IF(AND(AD5+2&gt;=MIN(AF5,AH5),AE5=AG5),"Escenario 7",IF(AND(AD5+2&gt;=MIN(AF5,AH5),AE5&lt;&gt;AG5),"Escenario 6",IF(AD5+5&lt;=MIN(AF5,AH5),"Escenario 9","Escenario 8"))),"error"))),"Falta info")</f>
        <v/>
      </c>
      <c r="AL5" s="98">
        <f>IFERROR(VLOOKUP(AK5,Base!$BJ$37:$BL$45,3,0),0)</f>
        <v/>
      </c>
      <c r="AM5" s="330">
        <f>IF(LOOKUP(AK5,Base!$X$8:$BG$8)=AK5,VLOOKUP(B5,Base!E:BG,AL5,0),0)</f>
        <v/>
      </c>
      <c r="AN5" s="330" t="n"/>
      <c r="AO5" s="331" t="n"/>
      <c r="AP5" s="331">
        <f>IF(AM5&lt;=AA5,"REVISAR!","ok")</f>
        <v/>
      </c>
      <c r="AQ5" s="331" t="n"/>
    </row>
    <row customHeight="1" ht="12.95" r="6" s="183" spans="1:43">
      <c r="B6" s="108" t="s">
        <v>121</v>
      </c>
      <c r="C6" s="89" t="s">
        <v>260</v>
      </c>
      <c r="D6" s="106">
        <f>VLOOKUP(B6,Base!E:G,3,0)</f>
        <v/>
      </c>
      <c r="E6" s="326">
        <f>IFERROR(IF(VLOOKUP(B6,Detalle!$A:$AA,$E$1,0)=0,"Sin datos",IFERROR(VLOOKUP(B6,Detalle!$A:$AA,$E$1,0),"Sin datos")),"")</f>
        <v/>
      </c>
      <c r="F6" s="91">
        <f>IFERROR(IF(VLOOKUP(B6,Detalle!$A:$AA,$F$1,0)=0,"Sin datos",IFERROR(VLOOKUP(B6,Detalle!$A:$AA,$F$1,0),"Sin datos")),"")</f>
        <v/>
      </c>
      <c r="G6" s="327">
        <f>IFERROR(IF(VLOOKUP(B6,Detalle!$A:$AA,$G$1,0)=0,"Sin datos",IFERROR(VLOOKUP(B6,Detalle!$A:$AA,$G$1,0),"Sin datos")),"")</f>
        <v/>
      </c>
      <c r="H6" s="93">
        <f>IFERROR(IF(VLOOKUP(B6,Detalle!$A:$AA,$H$1,0)=0,"Sin datos",IFERROR(VLOOKUP(B6,Detalle!$A:$AA,$H$1,0),"Sin datos")),"")</f>
        <v/>
      </c>
      <c r="I6" s="327">
        <f>IFERROR(IF(VLOOKUP(B6,Detalle!$A:$AA,$I$1,0)=0,"Sin datos",IFERROR(VLOOKUP(B6,Detalle!$A:$AA,$I$1,0),"Sin datos")),"")</f>
        <v/>
      </c>
      <c r="J6" s="93">
        <f>IFERROR(IF(VLOOKUP(B6,Detalle!$A:$AA,$J$1,0)=0,"Sin datos",IFERROR(VLOOKUP(B6,Detalle!$A:$AA,$J$1,0),"Sin datos")),"")</f>
        <v/>
      </c>
      <c r="K6" s="98" t="s">
        <v>293</v>
      </c>
      <c r="L6" s="328">
        <f>MIN(E6,G6,I6)</f>
        <v/>
      </c>
      <c r="M6" s="329">
        <f>IFERROR(IF(MIN(H6,J6)=F6,IF(G6=I6,"Escenario 5","Escenario 4"),IF(MIN(H6,J6)&lt;F6,IF(AND(F6-2&lt;=MIN(H6,J6),G6&lt;&gt;I6),"Escenario 1",IF(AND(F6-2&lt;=MIN(H6,J6),G6=I6),"Escenario 2","Escenario 3")),IF(MIN(H6,J6)&gt;F6,IF(AND(F6+2&gt;=MIN(H6,J6),G6=I6),"Escenario 7",IF(AND(F6+2&gt;=MIN(H6,J6),G6&lt;&gt;I6),"Escenario 6",IF(F6+5&lt;=MIN(H6,J6),"Escenario 9","Escenario 8"))),"error"))),"Falta info")</f>
        <v/>
      </c>
      <c r="N6" s="98">
        <f>IFERROR(VLOOKUP(M6,Base!$BJ$28:$BL$36,3,0),0)</f>
        <v/>
      </c>
      <c r="O6" s="330">
        <f>IF(LOOKUP(M6,Base!$X$8:$BG$8)=M6,VLOOKUP(B6,Base!E:BG,N6,0),0)</f>
        <v/>
      </c>
      <c r="P6" s="330" t="n"/>
      <c r="Q6" s="327">
        <f>IFERROR(IF(VLOOKUP(B6,Detalle!$A:$AA,$Q$1,0)=0,"Sin datos",IFERROR(VLOOKUP(B6,Detalle!$A:$AA,$Q$1,0),"Sin datos")),"")</f>
        <v/>
      </c>
      <c r="R6" s="93">
        <f>IFERROR(IF(VLOOKUP(B6,Detalle!$A:$AA,$R$1,0)=0,"Sin datos",IFERROR(VLOOKUP(B6,Detalle!$A:$AA,$R$1,0),"Sin datos")),"")</f>
        <v/>
      </c>
      <c r="S6" s="327">
        <f>IFERROR(IF(VLOOKUP(B6,Detalle!$A:$AA,$S$1,0)=0,"Sin datos",IFERROR(VLOOKUP(B6,Detalle!$A:$AA,$S$1,0),"Sin datos")),"")</f>
        <v/>
      </c>
      <c r="T6" s="93">
        <f>IFERROR(IF(VLOOKUP(B6,Detalle!$A:$AA,$T$1,0)=0,"Sin datos",IFERROR(VLOOKUP(B6,Detalle!$A:$AA,$T$1,0),"Sin datos")),"")</f>
        <v/>
      </c>
      <c r="U6" s="327">
        <f>IFERROR(IF(VLOOKUP(B6,Detalle!$A:$AA,$U$1,0)=0,"Sin datos",IFERROR(VLOOKUP(B6,Detalle!$A:$AA,$U$1,0),"Sin datos")),"")</f>
        <v/>
      </c>
      <c r="V6" s="93">
        <f>IFERROR(IF(VLOOKUP(B6,Detalle!$A:$AA,$V$1,0)=0,"Sin datos",IFERROR(VLOOKUP(B6,Detalle!$A:$AA,$V$1,0),"Sin datos")),"")</f>
        <v/>
      </c>
      <c r="W6" s="98">
        <f>IF(P6="",IF(MIN(Q6,S6,U6)&gt;E6,"Si","No"),IF(MIN(Q6,S6,U6)&gt;P6,"Si","No"))</f>
        <v/>
      </c>
      <c r="X6" s="328">
        <f>MIN(Q6,S6,U6)</f>
        <v/>
      </c>
      <c r="Y6" s="328">
        <f>IFERROR(IF(MIN(T6,V6)=R6,IF(S6=U6,"Escenario 5","Escenario 4"),IF(MIN(T6,V6)&lt;R6,IF(AND(R6-2&lt;=MIN(T6,V6),S6&lt;&gt;U6),"Escenario 1",IF(AND(R6-2&lt;=MIN(T6,V6),S6=U6),"Escenario 2","Escenario 3")),IF(MIN(T6,V6)&gt;R6,IF(AND(R6+2&gt;=MIN(T6,V6),S6=U6),"Escenario 7",IF(AND(R6+2&gt;=MIN(T6,V6),S6&lt;&gt;U6),"Escenario 6",IF(R6+5&lt;=MIN(T6,V6),"Escenario 9","Escenario 8"))),"error"))),"Falta info")</f>
        <v/>
      </c>
      <c r="Z6" s="98">
        <f>IFERROR(VLOOKUP(Y6,Base!$BJ$19:$BL$27,3,0),0)</f>
        <v/>
      </c>
      <c r="AA6" s="330">
        <f>IF(LOOKUP(Y6,Base!$X$8:$BG$8)=Y6,VLOOKUP(B6,Base!E:BG,Z6,0),0)</f>
        <v/>
      </c>
      <c r="AB6" s="330" t="n"/>
      <c r="AC6" s="327">
        <f>IFERROR(IF(VLOOKUP(B6,Detalle!$A:$AA,$AC$1,0)=0,"Sin datos",IFERROR(VLOOKUP(B6,Detalle!$A:$AA,$AC$1,0),"Sin datos")),"")</f>
        <v/>
      </c>
      <c r="AD6" s="93">
        <f>IFERROR(IF(VLOOKUP(B6,Detalle!$A:$AA,$AD$1,0)=0,"Sin datos",IFERROR(VLOOKUP(B6,Detalle!$A:$AA,$AD$1,0),"Sin datos")),"")</f>
        <v/>
      </c>
      <c r="AE6" s="327">
        <f>IFERROR(IF(VLOOKUP(B6,Detalle!$A:$AA,$AE$1,0)=0,"Sin datos",IFERROR(VLOOKUP(B6,Detalle!$A:$AA,$AE$1,0),"Sin datos")),"")</f>
        <v/>
      </c>
      <c r="AF6" s="93">
        <f>IFERROR(IF(VLOOKUP(B6,Detalle!$A:$AA,$AF$1,0)=0,"Sin datos",IFERROR(VLOOKUP(B6,Detalle!$A:$AA,$AF$1,0),"Sin datos")),"")</f>
        <v/>
      </c>
      <c r="AG6" s="327">
        <f>IFERROR(IF(VLOOKUP(B6,Detalle!$A:$AA,$AG$1,0)=0,"Sin datos",IFERROR(VLOOKUP(B6,Detalle!$A:$AA,$AG$1,0),"Sin datos")),"")</f>
        <v/>
      </c>
      <c r="AH6" s="93">
        <f>IFERROR(IF(VLOOKUP(B6,Detalle!$A:$AA,$AH$1,0)=0,"Sin datos",IFERROR(VLOOKUP(B6,Detalle!$A:$AA,$AH$1,0),"Sin datos")),"")</f>
        <v/>
      </c>
      <c r="AI6" s="98">
        <f>IF(AB6="",IF(MIN(AC6,AE6,AG6)&gt;E6,"Si","No"),IF(MIN(AC6,AG6,AG6)&gt;AB6,"Si","No"))</f>
        <v/>
      </c>
      <c r="AJ6" s="328">
        <f>MIN(AC6,AE6,AG6)</f>
        <v/>
      </c>
      <c r="AK6" s="328">
        <f>IFERROR(IF(MIN(AF6,AH6)=AD6,IF(AE6=AG6,"Escenario 5","Escenario 4"),IF(MIN(AF6,AH6)&lt;AD6,IF(AND(AD6-2&lt;=MIN(AF6,AH6),AE6&lt;&gt;AG6),"Escenario 1",IF(AND(AD6-2&lt;=MIN(AF6,AH6),AE6=AG6),"Escenario 2","Escenario 3")),IF(MIN(AF6,AH6)&gt;AD6,IF(AND(AD6+2&gt;=MIN(AF6,AH6),AE6=AG6),"Escenario 7",IF(AND(AD6+2&gt;=MIN(AF6,AH6),AE6&lt;&gt;AG6),"Escenario 6",IF(AD6+5&lt;=MIN(AF6,AH6),"Escenario 9","Escenario 8"))),"error"))),"Falta info")</f>
        <v/>
      </c>
      <c r="AL6" s="98">
        <f>IFERROR(VLOOKUP(AK6,Base!$BJ$37:$BL$45,3,0),0)</f>
        <v/>
      </c>
      <c r="AM6" s="330">
        <f>IF(LOOKUP(AK6,Base!$X$8:$BG$8)=AK6,VLOOKUP(B6,Base!E:BG,AL6,0),0)</f>
        <v/>
      </c>
      <c r="AN6" s="330" t="n"/>
      <c r="AO6" s="331" t="n"/>
      <c r="AP6" s="331">
        <f>IF(AM6&lt;=AA6,"REVISAR!","ok")</f>
        <v/>
      </c>
      <c r="AQ6" s="331" t="n"/>
    </row>
    <row customHeight="1" ht="12.95" r="7" s="183" spans="1:43">
      <c r="B7" s="108" t="s">
        <v>134</v>
      </c>
      <c r="C7" s="89" t="s">
        <v>260</v>
      </c>
      <c r="D7" s="106">
        <f>VLOOKUP(B7,Base!E:G,3,0)</f>
        <v/>
      </c>
      <c r="E7" s="326">
        <f>IFERROR(IF(VLOOKUP(B7,Detalle!$A:$AA,$E$1,0)=0,"Sin datos",IFERROR(VLOOKUP(B7,Detalle!$A:$AA,$E$1,0),"Sin datos")),"")</f>
        <v/>
      </c>
      <c r="F7" s="91">
        <f>IFERROR(IF(VLOOKUP(B7,Detalle!$A:$AA,$F$1,0)=0,"Sin datos",IFERROR(VLOOKUP(B7,Detalle!$A:$AA,$F$1,0),"Sin datos")),"")</f>
        <v/>
      </c>
      <c r="G7" s="327">
        <f>IFERROR(IF(VLOOKUP(B7,Detalle!$A:$AA,$G$1,0)=0,"Sin datos",IFERROR(VLOOKUP(B7,Detalle!$A:$AA,$G$1,0),"Sin datos")),"")</f>
        <v/>
      </c>
      <c r="H7" s="93">
        <f>IFERROR(IF(VLOOKUP(B7,Detalle!$A:$AA,$H$1,0)=0,"Sin datos",IFERROR(VLOOKUP(B7,Detalle!$A:$AA,$H$1,0),"Sin datos")),"")</f>
        <v/>
      </c>
      <c r="I7" s="327">
        <f>IFERROR(IF(VLOOKUP(B7,Detalle!$A:$AA,$I$1,0)=0,"Sin datos",IFERROR(VLOOKUP(B7,Detalle!$A:$AA,$I$1,0),"Sin datos")),"")</f>
        <v/>
      </c>
      <c r="J7" s="93">
        <f>IFERROR(IF(VLOOKUP(B7,Detalle!$A:$AA,$J$1,0)=0,"Sin datos",IFERROR(VLOOKUP(B7,Detalle!$A:$AA,$J$1,0),"Sin datos")),"")</f>
        <v/>
      </c>
      <c r="K7" s="98" t="s">
        <v>293</v>
      </c>
      <c r="L7" s="328">
        <f>MIN(E7,G7,I7)</f>
        <v/>
      </c>
      <c r="M7" s="329">
        <f>IFERROR(IF(MIN(H7,J7)=F7,IF(G7=I7,"Escenario 5","Escenario 4"),IF(MIN(H7,J7)&lt;F7,IF(AND(F7-2&lt;=MIN(H7,J7),G7&lt;&gt;I7),"Escenario 1",IF(AND(F7-2&lt;=MIN(H7,J7),G7=I7),"Escenario 2","Escenario 3")),IF(MIN(H7,J7)&gt;F7,IF(AND(F7+2&gt;=MIN(H7,J7),G7=I7),"Escenario 7",IF(AND(F7+2&gt;=MIN(H7,J7),G7&lt;&gt;I7),"Escenario 6",IF(F7+5&lt;=MIN(H7,J7),"Escenario 9","Escenario 8"))),"error"))),"Falta info")</f>
        <v/>
      </c>
      <c r="N7" s="98">
        <f>IFERROR(VLOOKUP(M7,Base!$BJ$28:$BL$36,3,0),0)</f>
        <v/>
      </c>
      <c r="O7" s="330">
        <f>IF(LOOKUP(M7,Base!$X$8:$BG$8)=M7,VLOOKUP(B7,Base!E:BG,N7,0),0)</f>
        <v/>
      </c>
      <c r="P7" s="330" t="n"/>
      <c r="Q7" s="327">
        <f>IFERROR(IF(VLOOKUP(B7,Detalle!$A:$AA,$Q$1,0)=0,"Sin datos",IFERROR(VLOOKUP(B7,Detalle!$A:$AA,$Q$1,0),"Sin datos")),"")</f>
        <v/>
      </c>
      <c r="R7" s="93">
        <f>IFERROR(IF(VLOOKUP(B7,Detalle!$A:$AA,$R$1,0)=0,"Sin datos",IFERROR(VLOOKUP(B7,Detalle!$A:$AA,$R$1,0),"Sin datos")),"")</f>
        <v/>
      </c>
      <c r="S7" s="327">
        <f>IFERROR(IF(VLOOKUP(B7,Detalle!$A:$AA,$S$1,0)=0,"Sin datos",IFERROR(VLOOKUP(B7,Detalle!$A:$AA,$S$1,0),"Sin datos")),"")</f>
        <v/>
      </c>
      <c r="T7" s="93">
        <f>IFERROR(IF(VLOOKUP(B7,Detalle!$A:$AA,$T$1,0)=0,"Sin datos",IFERROR(VLOOKUP(B7,Detalle!$A:$AA,$T$1,0),"Sin datos")),"")</f>
        <v/>
      </c>
      <c r="U7" s="327">
        <f>IFERROR(IF(VLOOKUP(B7,Detalle!$A:$AA,$U$1,0)=0,"Sin datos",IFERROR(VLOOKUP(B7,Detalle!$A:$AA,$U$1,0),"Sin datos")),"")</f>
        <v/>
      </c>
      <c r="V7" s="93">
        <f>IFERROR(IF(VLOOKUP(B7,Detalle!$A:$AA,$V$1,0)=0,"Sin datos",IFERROR(VLOOKUP(B7,Detalle!$A:$AA,$V$1,0),"Sin datos")),"")</f>
        <v/>
      </c>
      <c r="W7" s="98">
        <f>IF(P7="",IF(MIN(Q7,S7,U7)&gt;E7,"Si","No"),IF(MIN(Q7,S7,U7)&gt;P7,"Si","No"))</f>
        <v/>
      </c>
      <c r="X7" s="328">
        <f>MIN(Q7,S7,U7)</f>
        <v/>
      </c>
      <c r="Y7" s="328">
        <f>IFERROR(IF(MIN(T7,V7)=R7,IF(S7=U7,"Escenario 5","Escenario 4"),IF(MIN(T7,V7)&lt;R7,IF(AND(R7-2&lt;=MIN(T7,V7),S7&lt;&gt;U7),"Escenario 1",IF(AND(R7-2&lt;=MIN(T7,V7),S7=U7),"Escenario 2","Escenario 3")),IF(MIN(T7,V7)&gt;R7,IF(AND(R7+2&gt;=MIN(T7,V7),S7=U7),"Escenario 7",IF(AND(R7+2&gt;=MIN(T7,V7),S7&lt;&gt;U7),"Escenario 6",IF(R7+5&lt;=MIN(T7,V7),"Escenario 9","Escenario 8"))),"error"))),"Falta info")</f>
        <v/>
      </c>
      <c r="Z7" s="98">
        <f>IFERROR(VLOOKUP(Y7,Base!$BJ$19:$BL$27,3,0),0)</f>
        <v/>
      </c>
      <c r="AA7" s="330">
        <f>IF(LOOKUP(Y7,Base!$X$8:$BG$8)=Y7,VLOOKUP(B7,Base!E:BG,Z7,0),0)</f>
        <v/>
      </c>
      <c r="AB7" s="330" t="n"/>
      <c r="AC7" s="327">
        <f>IFERROR(IF(VLOOKUP(B7,Detalle!$A:$AA,$AC$1,0)=0,"Sin datos",IFERROR(VLOOKUP(B7,Detalle!$A:$AA,$AC$1,0),"Sin datos")),"")</f>
        <v/>
      </c>
      <c r="AD7" s="93">
        <f>IFERROR(IF(VLOOKUP(B7,Detalle!$A:$AA,$AD$1,0)=0,"Sin datos",IFERROR(VLOOKUP(B7,Detalle!$A:$AA,$AD$1,0),"Sin datos")),"")</f>
        <v/>
      </c>
      <c r="AE7" s="327">
        <f>IFERROR(IF(VLOOKUP(B7,Detalle!$A:$AA,$AE$1,0)=0,"Sin datos",IFERROR(VLOOKUP(B7,Detalle!$A:$AA,$AE$1,0),"Sin datos")),"")</f>
        <v/>
      </c>
      <c r="AF7" s="93">
        <f>IFERROR(IF(VLOOKUP(B7,Detalle!$A:$AA,$AF$1,0)=0,"Sin datos",IFERROR(VLOOKUP(B7,Detalle!$A:$AA,$AF$1,0),"Sin datos")),"")</f>
        <v/>
      </c>
      <c r="AG7" s="327">
        <f>IFERROR(IF(VLOOKUP(B7,Detalle!$A:$AA,$AG$1,0)=0,"Sin datos",IFERROR(VLOOKUP(B7,Detalle!$A:$AA,$AG$1,0),"Sin datos")),"")</f>
        <v/>
      </c>
      <c r="AH7" s="93">
        <f>IFERROR(IF(VLOOKUP(B7,Detalle!$A:$AA,$AH$1,0)=0,"Sin datos",IFERROR(VLOOKUP(B7,Detalle!$A:$AA,$AH$1,0),"Sin datos")),"")</f>
        <v/>
      </c>
      <c r="AI7" s="98">
        <f>IF(AB7="",IF(MIN(AC7,AE7,AG7)&gt;E7,"Si","No"),IF(MIN(AC7,AG7,AG7)&gt;AB7,"Si","No"))</f>
        <v/>
      </c>
      <c r="AJ7" s="328">
        <f>MIN(AC7,AE7,AG7)</f>
        <v/>
      </c>
      <c r="AK7" s="328">
        <f>IFERROR(IF(MIN(AF7,AH7)=AD7,IF(AE7=AG7,"Escenario 5","Escenario 4"),IF(MIN(AF7,AH7)&lt;AD7,IF(AND(AD7-2&lt;=MIN(AF7,AH7),AE7&lt;&gt;AG7),"Escenario 1",IF(AND(AD7-2&lt;=MIN(AF7,AH7),AE7=AG7),"Escenario 2","Escenario 3")),IF(MIN(AF7,AH7)&gt;AD7,IF(AND(AD7+2&gt;=MIN(AF7,AH7),AE7=AG7),"Escenario 7",IF(AND(AD7+2&gt;=MIN(AF7,AH7),AE7&lt;&gt;AG7),"Escenario 6",IF(AD7+5&lt;=MIN(AF7,AH7),"Escenario 9","Escenario 8"))),"error"))),"Falta info")</f>
        <v/>
      </c>
      <c r="AL7" s="98">
        <f>IFERROR(VLOOKUP(AK7,Base!$BJ$37:$BL$45,3,0),0)</f>
        <v/>
      </c>
      <c r="AM7" s="330">
        <f>IF(LOOKUP(AK7,Base!$X$8:$BG$8)=AK7,VLOOKUP(B7,Base!E:BG,AL7,0),0)</f>
        <v/>
      </c>
      <c r="AN7" s="330" t="n"/>
      <c r="AO7" s="331" t="n"/>
      <c r="AP7" s="331">
        <f>IF(AM7&lt;=AA7,"REVISAR!","ok")</f>
        <v/>
      </c>
      <c r="AQ7" s="331" t="n"/>
    </row>
    <row customHeight="1" ht="12.95" r="8" s="183" spans="1:43">
      <c r="B8" s="108" t="s">
        <v>126</v>
      </c>
      <c r="C8" s="89" t="s">
        <v>260</v>
      </c>
      <c r="D8" s="106">
        <f>VLOOKUP(B8,Base!E:G,3,0)</f>
        <v/>
      </c>
      <c r="E8" s="326">
        <f>IFERROR(IF(VLOOKUP(B8,Detalle!$A:$AA,$E$1,0)=0,"Sin datos",IFERROR(VLOOKUP(B8,Detalle!$A:$AA,$E$1,0),"Sin datos")),"")</f>
        <v/>
      </c>
      <c r="F8" s="91">
        <f>IFERROR(IF(VLOOKUP(B8,Detalle!$A:$AA,$F$1,0)=0,"Sin datos",IFERROR(VLOOKUP(B8,Detalle!$A:$AA,$F$1,0),"Sin datos")),"")</f>
        <v/>
      </c>
      <c r="G8" s="327">
        <f>IFERROR(IF(VLOOKUP(B8,Detalle!$A:$AA,$G$1,0)=0,"Sin datos",IFERROR(VLOOKUP(B8,Detalle!$A:$AA,$G$1,0),"Sin datos")),"")</f>
        <v/>
      </c>
      <c r="H8" s="93">
        <f>IFERROR(IF(VLOOKUP(B8,Detalle!$A:$AA,$H$1,0)=0,"Sin datos",IFERROR(VLOOKUP(B8,Detalle!$A:$AA,$H$1,0),"Sin datos")),"")</f>
        <v/>
      </c>
      <c r="I8" s="327">
        <f>IFERROR(IF(VLOOKUP(B8,Detalle!$A:$AA,$I$1,0)=0,"Sin datos",IFERROR(VLOOKUP(B8,Detalle!$A:$AA,$I$1,0),"Sin datos")),"")</f>
        <v/>
      </c>
      <c r="J8" s="93">
        <f>IFERROR(IF(VLOOKUP(B8,Detalle!$A:$AA,$J$1,0)=0,"Sin datos",IFERROR(VLOOKUP(B8,Detalle!$A:$AA,$J$1,0),"Sin datos")),"")</f>
        <v/>
      </c>
      <c r="K8" s="98" t="s">
        <v>293</v>
      </c>
      <c r="L8" s="328">
        <f>MIN(E8,G8,I8)</f>
        <v/>
      </c>
      <c r="M8" s="329">
        <f>IFERROR(IF(MIN(H8,J8)=F8,IF(G8=I8,"Escenario 5","Escenario 4"),IF(MIN(H8,J8)&lt;F8,IF(AND(F8-2&lt;=MIN(H8,J8),G8&lt;&gt;I8),"Escenario 1",IF(AND(F8-2&lt;=MIN(H8,J8),G8=I8),"Escenario 2","Escenario 3")),IF(MIN(H8,J8)&gt;F8,IF(AND(F8+2&gt;=MIN(H8,J8),G8=I8),"Escenario 7",IF(AND(F8+2&gt;=MIN(H8,J8),G8&lt;&gt;I8),"Escenario 6",IF(F8+5&lt;=MIN(H8,J8),"Escenario 9","Escenario 8"))),"error"))),"Falta info")</f>
        <v/>
      </c>
      <c r="N8" s="98">
        <f>IFERROR(VLOOKUP(M8,Base!$BJ$28:$BL$36,3,0),0)</f>
        <v/>
      </c>
      <c r="O8" s="330">
        <f>IF(LOOKUP(M8,Base!$X$8:$BG$8)=M8,VLOOKUP(B8,Base!E:BG,N8,0),0)</f>
        <v/>
      </c>
      <c r="P8" s="330" t="n"/>
      <c r="Q8" s="327">
        <f>IFERROR(IF(VLOOKUP(B8,Detalle!$A:$AA,$Q$1,0)=0,"Sin datos",IFERROR(VLOOKUP(B8,Detalle!$A:$AA,$Q$1,0),"Sin datos")),"")</f>
        <v/>
      </c>
      <c r="R8" s="93">
        <f>IFERROR(IF(VLOOKUP(B8,Detalle!$A:$AA,$R$1,0)=0,"Sin datos",IFERROR(VLOOKUP(B8,Detalle!$A:$AA,$R$1,0),"Sin datos")),"")</f>
        <v/>
      </c>
      <c r="S8" s="327">
        <f>IFERROR(IF(VLOOKUP(B8,Detalle!$A:$AA,$S$1,0)=0,"Sin datos",IFERROR(VLOOKUP(B8,Detalle!$A:$AA,$S$1,0),"Sin datos")),"")</f>
        <v/>
      </c>
      <c r="T8" s="93">
        <f>IFERROR(IF(VLOOKUP(B8,Detalle!$A:$AA,$T$1,0)=0,"Sin datos",IFERROR(VLOOKUP(B8,Detalle!$A:$AA,$T$1,0),"Sin datos")),"")</f>
        <v/>
      </c>
      <c r="U8" s="327">
        <f>IFERROR(IF(VLOOKUP(B8,Detalle!$A:$AA,$U$1,0)=0,"Sin datos",IFERROR(VLOOKUP(B8,Detalle!$A:$AA,$U$1,0),"Sin datos")),"")</f>
        <v/>
      </c>
      <c r="V8" s="93">
        <f>IFERROR(IF(VLOOKUP(B8,Detalle!$A:$AA,$V$1,0)=0,"Sin datos",IFERROR(VLOOKUP(B8,Detalle!$A:$AA,$V$1,0),"Sin datos")),"")</f>
        <v/>
      </c>
      <c r="W8" s="98">
        <f>IF(P8="",IF(MIN(Q8,S8,U8)&gt;E8,"Si","No"),IF(MIN(Q8,S8,U8)&gt;P8,"Si","No"))</f>
        <v/>
      </c>
      <c r="X8" s="328">
        <f>MIN(Q8,S8,U8)</f>
        <v/>
      </c>
      <c r="Y8" s="328">
        <f>IFERROR(IF(MIN(T8,V8)=R8,IF(S8=U8,"Escenario 5","Escenario 4"),IF(MIN(T8,V8)&lt;R8,IF(AND(R8-2&lt;=MIN(T8,V8),S8&lt;&gt;U8),"Escenario 1",IF(AND(R8-2&lt;=MIN(T8,V8),S8=U8),"Escenario 2","Escenario 3")),IF(MIN(T8,V8)&gt;R8,IF(AND(R8+2&gt;=MIN(T8,V8),S8=U8),"Escenario 7",IF(AND(R8+2&gt;=MIN(T8,V8),S8&lt;&gt;U8),"Escenario 6",IF(R8+5&lt;=MIN(T8,V8),"Escenario 9","Escenario 8"))),"error"))),"Falta info")</f>
        <v/>
      </c>
      <c r="Z8" s="98">
        <f>IFERROR(VLOOKUP(Y8,Base!$BJ$19:$BL$27,3,0),0)</f>
        <v/>
      </c>
      <c r="AA8" s="330">
        <f>IF(LOOKUP(Y8,Base!$X$8:$BG$8)=Y8,VLOOKUP(B8,Base!E:BG,Z8,0),0)</f>
        <v/>
      </c>
      <c r="AB8" s="330" t="n"/>
      <c r="AC8" s="327">
        <f>IFERROR(IF(VLOOKUP(B8,Detalle!$A:$AA,$AC$1,0)=0,"Sin datos",IFERROR(VLOOKUP(B8,Detalle!$A:$AA,$AC$1,0),"Sin datos")),"")</f>
        <v/>
      </c>
      <c r="AD8" s="93">
        <f>IFERROR(IF(VLOOKUP(B8,Detalle!$A:$AA,$AD$1,0)=0,"Sin datos",IFERROR(VLOOKUP(B8,Detalle!$A:$AA,$AD$1,0),"Sin datos")),"")</f>
        <v/>
      </c>
      <c r="AE8" s="327">
        <f>IFERROR(IF(VLOOKUP(B8,Detalle!$A:$AA,$AE$1,0)=0,"Sin datos",IFERROR(VLOOKUP(B8,Detalle!$A:$AA,$AE$1,0),"Sin datos")),"")</f>
        <v/>
      </c>
      <c r="AF8" s="93">
        <f>IFERROR(IF(VLOOKUP(B8,Detalle!$A:$AA,$AF$1,0)=0,"Sin datos",IFERROR(VLOOKUP(B8,Detalle!$A:$AA,$AF$1,0),"Sin datos")),"")</f>
        <v/>
      </c>
      <c r="AG8" s="327">
        <f>IFERROR(IF(VLOOKUP(B8,Detalle!$A:$AA,$AG$1,0)=0,"Sin datos",IFERROR(VLOOKUP(B8,Detalle!$A:$AA,$AG$1,0),"Sin datos")),"")</f>
        <v/>
      </c>
      <c r="AH8" s="93">
        <f>IFERROR(IF(VLOOKUP(B8,Detalle!$A:$AA,$AH$1,0)=0,"Sin datos",IFERROR(VLOOKUP(B8,Detalle!$A:$AA,$AH$1,0),"Sin datos")),"")</f>
        <v/>
      </c>
      <c r="AI8" s="98">
        <f>IF(AB8="",IF(MIN(AC8,AE8,AG8)&gt;E8,"Si","No"),IF(MIN(AC8,AG8,AG8)&gt;AB8,"Si","No"))</f>
        <v/>
      </c>
      <c r="AJ8" s="328">
        <f>MIN(AC8,AE8,AG8)</f>
        <v/>
      </c>
      <c r="AK8" s="328">
        <f>IFERROR(IF(MIN(AF8,AH8)=AD8,IF(AE8=AG8,"Escenario 5","Escenario 4"),IF(MIN(AF8,AH8)&lt;AD8,IF(AND(AD8-2&lt;=MIN(AF8,AH8),AE8&lt;&gt;AG8),"Escenario 1",IF(AND(AD8-2&lt;=MIN(AF8,AH8),AE8=AG8),"Escenario 2","Escenario 3")),IF(MIN(AF8,AH8)&gt;AD8,IF(AND(AD8+2&gt;=MIN(AF8,AH8),AE8=AG8),"Escenario 7",IF(AND(AD8+2&gt;=MIN(AF8,AH8),AE8&lt;&gt;AG8),"Escenario 6",IF(AD8+5&lt;=MIN(AF8,AH8),"Escenario 9","Escenario 8"))),"error"))),"Falta info")</f>
        <v/>
      </c>
      <c r="AL8" s="98">
        <f>IFERROR(VLOOKUP(AK8,Base!$BJ$37:$BL$45,3,0),0)</f>
        <v/>
      </c>
      <c r="AM8" s="330">
        <f>IF(LOOKUP(AK8,Base!$X$8:$BG$8)=AK8,VLOOKUP(B8,Base!E:BG,AL8,0),0)</f>
        <v/>
      </c>
      <c r="AN8" s="330" t="n"/>
      <c r="AO8" s="331" t="n"/>
      <c r="AP8" s="331">
        <f>IF(AM8&lt;=AA8,"REVISAR!","ok")</f>
        <v/>
      </c>
      <c r="AQ8" s="331" t="n"/>
    </row>
    <row customHeight="1" ht="12.95" r="9" s="183" spans="1:43">
      <c r="B9" s="108" t="s">
        <v>226</v>
      </c>
      <c r="C9" s="89" t="s">
        <v>260</v>
      </c>
      <c r="D9" s="106">
        <f>VLOOKUP(B9,Base!E:G,3,0)</f>
        <v/>
      </c>
      <c r="E9" s="326">
        <f>IFERROR(IF(VLOOKUP(B9,Detalle!$A:$AA,$E$1,0)=0,"Sin datos",IFERROR(VLOOKUP(B9,Detalle!$A:$AA,$E$1,0),"Sin datos")),"")</f>
        <v/>
      </c>
      <c r="F9" s="91">
        <f>IFERROR(IF(VLOOKUP(B9,Detalle!$A:$AA,$F$1,0)=0,"Sin datos",IFERROR(VLOOKUP(B9,Detalle!$A:$AA,$F$1,0),"Sin datos")),"")</f>
        <v/>
      </c>
      <c r="G9" s="327">
        <f>IFERROR(IF(VLOOKUP(B9,Detalle!$A:$AA,$G$1,0)=0,"Sin datos",IFERROR(VLOOKUP(B9,Detalle!$A:$AA,$G$1,0),"Sin datos")),"")</f>
        <v/>
      </c>
      <c r="H9" s="93">
        <f>IFERROR(IF(VLOOKUP(B9,Detalle!$A:$AA,$H$1,0)=0,"Sin datos",IFERROR(VLOOKUP(B9,Detalle!$A:$AA,$H$1,0),"Sin datos")),"")</f>
        <v/>
      </c>
      <c r="I9" s="327">
        <f>IFERROR(IF(VLOOKUP(B9,Detalle!$A:$AA,$I$1,0)=0,"Sin datos",IFERROR(VLOOKUP(B9,Detalle!$A:$AA,$I$1,0),"Sin datos")),"")</f>
        <v/>
      </c>
      <c r="J9" s="93">
        <f>IFERROR(IF(VLOOKUP(B9,Detalle!$A:$AA,$J$1,0)=0,"Sin datos",IFERROR(VLOOKUP(B9,Detalle!$A:$AA,$J$1,0),"Sin datos")),"")</f>
        <v/>
      </c>
      <c r="K9" s="98" t="s">
        <v>293</v>
      </c>
      <c r="L9" s="328">
        <f>MIN(E9,G9,I9)</f>
        <v/>
      </c>
      <c r="M9" s="329">
        <f>IFERROR(IF(MIN(H9,J9)=F9,IF(G9=I9,"Escenario 5","Escenario 4"),IF(MIN(H9,J9)&lt;F9,IF(AND(F9-2&lt;=MIN(H9,J9),G9&lt;&gt;I9),"Escenario 1",IF(AND(F9-2&lt;=MIN(H9,J9),G9=I9),"Escenario 2","Escenario 3")),IF(MIN(H9,J9)&gt;F9,IF(AND(F9+2&gt;=MIN(H9,J9),G9=I9),"Escenario 7",IF(AND(F9+2&gt;=MIN(H9,J9),G9&lt;&gt;I9),"Escenario 6",IF(F9+5&lt;=MIN(H9,J9),"Escenario 9","Escenario 8"))),"error"))),"Falta info")</f>
        <v/>
      </c>
      <c r="N9" s="98">
        <f>IFERROR(VLOOKUP(M9,Base!$BJ$28:$BL$36,3,0),0)</f>
        <v/>
      </c>
      <c r="O9" s="330">
        <f>IF(LOOKUP(M9,Base!$X$8:$BG$8)=M9,VLOOKUP(B9,Base!E:BG,N9,0),0)</f>
        <v/>
      </c>
      <c r="P9" s="330" t="n"/>
      <c r="Q9" s="327">
        <f>IFERROR(IF(VLOOKUP(B9,Detalle!$A:$AA,$Q$1,0)=0,"Sin datos",IFERROR(VLOOKUP(B9,Detalle!$A:$AA,$Q$1,0),"Sin datos")),"")</f>
        <v/>
      </c>
      <c r="R9" s="93">
        <f>IFERROR(IF(VLOOKUP(B9,Detalle!$A:$AA,$R$1,0)=0,"Sin datos",IFERROR(VLOOKUP(B9,Detalle!$A:$AA,$R$1,0),"Sin datos")),"")</f>
        <v/>
      </c>
      <c r="S9" s="327">
        <f>IFERROR(IF(VLOOKUP(B9,Detalle!$A:$AA,$S$1,0)=0,"Sin datos",IFERROR(VLOOKUP(B9,Detalle!$A:$AA,$S$1,0),"Sin datos")),"")</f>
        <v/>
      </c>
      <c r="T9" s="93">
        <f>IFERROR(IF(VLOOKUP(B9,Detalle!$A:$AA,$T$1,0)=0,"Sin datos",IFERROR(VLOOKUP(B9,Detalle!$A:$AA,$T$1,0),"Sin datos")),"")</f>
        <v/>
      </c>
      <c r="U9" s="327">
        <f>IFERROR(IF(VLOOKUP(B9,Detalle!$A:$AA,$U$1,0)=0,"Sin datos",IFERROR(VLOOKUP(B9,Detalle!$A:$AA,$U$1,0),"Sin datos")),"")</f>
        <v/>
      </c>
      <c r="V9" s="93">
        <f>IFERROR(IF(VLOOKUP(B9,Detalle!$A:$AA,$V$1,0)=0,"Sin datos",IFERROR(VLOOKUP(B9,Detalle!$A:$AA,$V$1,0),"Sin datos")),"")</f>
        <v/>
      </c>
      <c r="W9" s="98">
        <f>IF(P9="",IF(MIN(Q9,S9,U9)&gt;E9,"Si","No"),IF(MIN(Q9,S9,U9)&gt;P9,"Si","No"))</f>
        <v/>
      </c>
      <c r="X9" s="328">
        <f>MIN(Q9,S9,U9)</f>
        <v/>
      </c>
      <c r="Y9" s="328">
        <f>IFERROR(IF(MIN(T9,V9)=R9,IF(S9=U9,"Escenario 5","Escenario 4"),IF(MIN(T9,V9)&lt;R9,IF(AND(R9-2&lt;=MIN(T9,V9),S9&lt;&gt;U9),"Escenario 1",IF(AND(R9-2&lt;=MIN(T9,V9),S9=U9),"Escenario 2","Escenario 3")),IF(MIN(T9,V9)&gt;R9,IF(AND(R9+2&gt;=MIN(T9,V9),S9=U9),"Escenario 7",IF(AND(R9+2&gt;=MIN(T9,V9),S9&lt;&gt;U9),"Escenario 6",IF(R9+5&lt;=MIN(T9,V9),"Escenario 9","Escenario 8"))),"error"))),"Falta info")</f>
        <v/>
      </c>
      <c r="Z9" s="98">
        <f>IFERROR(VLOOKUP(Y9,Base!$BJ$19:$BL$27,3,0),0)</f>
        <v/>
      </c>
      <c r="AA9" s="330">
        <f>IF(LOOKUP(Y9,Base!$X$8:$BG$8)=Y9,VLOOKUP(B9,Base!E:BG,Z9,0),0)</f>
        <v/>
      </c>
      <c r="AB9" s="330" t="n"/>
      <c r="AC9" s="327">
        <f>IFERROR(IF(VLOOKUP(B9,Detalle!$A:$AA,$AC$1,0)=0,"Sin datos",IFERROR(VLOOKUP(B9,Detalle!$A:$AA,$AC$1,0),"Sin datos")),"")</f>
        <v/>
      </c>
      <c r="AD9" s="93">
        <f>IFERROR(IF(VLOOKUP(B9,Detalle!$A:$AA,$AD$1,0)=0,"Sin datos",IFERROR(VLOOKUP(B9,Detalle!$A:$AA,$AD$1,0),"Sin datos")),"")</f>
        <v/>
      </c>
      <c r="AE9" s="327">
        <f>IFERROR(IF(VLOOKUP(B9,Detalle!$A:$AA,$AE$1,0)=0,"Sin datos",IFERROR(VLOOKUP(B9,Detalle!$A:$AA,$AE$1,0),"Sin datos")),"")</f>
        <v/>
      </c>
      <c r="AF9" s="93">
        <f>IFERROR(IF(VLOOKUP(B9,Detalle!$A:$AA,$AF$1,0)=0,"Sin datos",IFERROR(VLOOKUP(B9,Detalle!$A:$AA,$AF$1,0),"Sin datos")),"")</f>
        <v/>
      </c>
      <c r="AG9" s="327">
        <f>IFERROR(IF(VLOOKUP(B9,Detalle!$A:$AA,$AG$1,0)=0,"Sin datos",IFERROR(VLOOKUP(B9,Detalle!$A:$AA,$AG$1,0),"Sin datos")),"")</f>
        <v/>
      </c>
      <c r="AH9" s="93">
        <f>IFERROR(IF(VLOOKUP(B9,Detalle!$A:$AA,$AH$1,0)=0,"Sin datos",IFERROR(VLOOKUP(B9,Detalle!$A:$AA,$AH$1,0),"Sin datos")),"")</f>
        <v/>
      </c>
      <c r="AI9" s="98">
        <f>IF(AB9="",IF(MIN(AC9,AE9,AG9)&gt;E9,"Si","No"),IF(MIN(AC9,AG9,AG9)&gt;AB9,"Si","No"))</f>
        <v/>
      </c>
      <c r="AJ9" s="328">
        <f>MIN(AC9,AE9,AG9)</f>
        <v/>
      </c>
      <c r="AK9" s="328">
        <f>IFERROR(IF(MIN(AF9,AH9)=AD9,IF(AE9=AG9,"Escenario 5","Escenario 4"),IF(MIN(AF9,AH9)&lt;AD9,IF(AND(AD9-2&lt;=MIN(AF9,AH9),AE9&lt;&gt;AG9),"Escenario 1",IF(AND(AD9-2&lt;=MIN(AF9,AH9),AE9=AG9),"Escenario 2","Escenario 3")),IF(MIN(AF9,AH9)&gt;AD9,IF(AND(AD9+2&gt;=MIN(AF9,AH9),AE9=AG9),"Escenario 7",IF(AND(AD9+2&gt;=MIN(AF9,AH9),AE9&lt;&gt;AG9),"Escenario 6",IF(AD9+5&lt;=MIN(AF9,AH9),"Escenario 9","Escenario 8"))),"error"))),"Falta info")</f>
        <v/>
      </c>
      <c r="AL9" s="98">
        <f>IFERROR(VLOOKUP(AK9,Base!$BJ$37:$BL$45,3,0),0)</f>
        <v/>
      </c>
      <c r="AM9" s="330">
        <f>IF(LOOKUP(AK9,Base!$X$8:$BG$8)=AK9,VLOOKUP(B9,Base!E:BG,AL9,0),0)</f>
        <v/>
      </c>
      <c r="AN9" s="330" t="n"/>
      <c r="AO9" s="331" t="n"/>
      <c r="AP9" s="331">
        <f>IF(AM9&lt;=AA9,"REVISAR!","ok")</f>
        <v/>
      </c>
      <c r="AQ9" s="331" t="n"/>
    </row>
    <row customHeight="1" ht="12.95" r="10" s="183" spans="1:43">
      <c r="B10" s="108" t="s">
        <v>136</v>
      </c>
      <c r="C10" s="89" t="s">
        <v>260</v>
      </c>
      <c r="D10" s="106">
        <f>VLOOKUP(B10,Base!E:G,3,0)</f>
        <v/>
      </c>
      <c r="E10" s="326">
        <f>IFERROR(IF(VLOOKUP(B10,Detalle!$A:$AA,$E$1,0)=0,"Sin datos",IFERROR(VLOOKUP(B10,Detalle!$A:$AA,$E$1,0),"Sin datos")),"")</f>
        <v/>
      </c>
      <c r="F10" s="91">
        <f>IFERROR(IF(VLOOKUP(B10,Detalle!$A:$AA,$F$1,0)=0,"Sin datos",IFERROR(VLOOKUP(B10,Detalle!$A:$AA,$F$1,0),"Sin datos")),"")</f>
        <v/>
      </c>
      <c r="G10" s="327">
        <f>IFERROR(IF(VLOOKUP(B10,Detalle!$A:$AA,$G$1,0)=0,"Sin datos",IFERROR(VLOOKUP(B10,Detalle!$A:$AA,$G$1,0),"Sin datos")),"")</f>
        <v/>
      </c>
      <c r="H10" s="93">
        <f>IFERROR(IF(VLOOKUP(B10,Detalle!$A:$AA,$H$1,0)=0,"Sin datos",IFERROR(VLOOKUP(B10,Detalle!$A:$AA,$H$1,0),"Sin datos")),"")</f>
        <v/>
      </c>
      <c r="I10" s="327">
        <f>IFERROR(IF(VLOOKUP(B10,Detalle!$A:$AA,$I$1,0)=0,"Sin datos",IFERROR(VLOOKUP(B10,Detalle!$A:$AA,$I$1,0),"Sin datos")),"")</f>
        <v/>
      </c>
      <c r="J10" s="93">
        <f>IFERROR(IF(VLOOKUP(B10,Detalle!$A:$AA,$J$1,0)=0,"Sin datos",IFERROR(VLOOKUP(B10,Detalle!$A:$AA,$J$1,0),"Sin datos")),"")</f>
        <v/>
      </c>
      <c r="K10" s="98" t="s">
        <v>293</v>
      </c>
      <c r="L10" s="328">
        <f>MIN(E10,G10,I10)</f>
        <v/>
      </c>
      <c r="M10" s="329">
        <f>IFERROR(IF(MIN(H10,J10)=F10,IF(G10=I10,"Escenario 5","Escenario 4"),IF(MIN(H10,J10)&lt;F10,IF(AND(F10-2&lt;=MIN(H10,J10),G10&lt;&gt;I10),"Escenario 1",IF(AND(F10-2&lt;=MIN(H10,J10),G10=I10),"Escenario 2","Escenario 3")),IF(MIN(H10,J10)&gt;F10,IF(AND(F10+2&gt;=MIN(H10,J10),G10=I10),"Escenario 7",IF(AND(F10+2&gt;=MIN(H10,J10),G10&lt;&gt;I10),"Escenario 6",IF(F10+5&lt;=MIN(H10,J10),"Escenario 9","Escenario 8"))),"error"))),"Falta info")</f>
        <v/>
      </c>
      <c r="N10" s="98">
        <f>IFERROR(VLOOKUP(M10,Base!$BJ$28:$BL$36,3,0),0)</f>
        <v/>
      </c>
      <c r="O10" s="330">
        <f>IF(LOOKUP(M10,Base!$X$8:$BG$8)=M10,VLOOKUP(B10,Base!E:BG,N10,0),0)</f>
        <v/>
      </c>
      <c r="P10" s="330" t="n"/>
      <c r="Q10" s="327">
        <f>IFERROR(IF(VLOOKUP(B10,Detalle!$A:$AA,$Q$1,0)=0,"Sin datos",IFERROR(VLOOKUP(B10,Detalle!$A:$AA,$Q$1,0),"Sin datos")),"")</f>
        <v/>
      </c>
      <c r="R10" s="93">
        <f>IFERROR(IF(VLOOKUP(B10,Detalle!$A:$AA,$R$1,0)=0,"Sin datos",IFERROR(VLOOKUP(B10,Detalle!$A:$AA,$R$1,0),"Sin datos")),"")</f>
        <v/>
      </c>
      <c r="S10" s="327">
        <f>IFERROR(IF(VLOOKUP(B10,Detalle!$A:$AA,$S$1,0)=0,"Sin datos",IFERROR(VLOOKUP(B10,Detalle!$A:$AA,$S$1,0),"Sin datos")),"")</f>
        <v/>
      </c>
      <c r="T10" s="93">
        <f>IFERROR(IF(VLOOKUP(B10,Detalle!$A:$AA,$T$1,0)=0,"Sin datos",IFERROR(VLOOKUP(B10,Detalle!$A:$AA,$T$1,0),"Sin datos")),"")</f>
        <v/>
      </c>
      <c r="U10" s="327">
        <f>IFERROR(IF(VLOOKUP(B10,Detalle!$A:$AA,$U$1,0)=0,"Sin datos",IFERROR(VLOOKUP(B10,Detalle!$A:$AA,$U$1,0),"Sin datos")),"")</f>
        <v/>
      </c>
      <c r="V10" s="93">
        <f>IFERROR(IF(VLOOKUP(B10,Detalle!$A:$AA,$V$1,0)=0,"Sin datos",IFERROR(VLOOKUP(B10,Detalle!$A:$AA,$V$1,0),"Sin datos")),"")</f>
        <v/>
      </c>
      <c r="W10" s="98">
        <f>IF(P10="",IF(MIN(Q10,S10,U10)&gt;E10,"Si","No"),IF(MIN(Q10,S10,U10)&gt;P10,"Si","No"))</f>
        <v/>
      </c>
      <c r="X10" s="328">
        <f>MIN(Q10,S10,U10)</f>
        <v/>
      </c>
      <c r="Y10" s="328">
        <f>IFERROR(IF(MIN(T10,V10)=R10,IF(S10=U10,"Escenario 5","Escenario 4"),IF(MIN(T10,V10)&lt;R10,IF(AND(R10-2&lt;=MIN(T10,V10),S10&lt;&gt;U10),"Escenario 1",IF(AND(R10-2&lt;=MIN(T10,V10),S10=U10),"Escenario 2","Escenario 3")),IF(MIN(T10,V10)&gt;R10,IF(AND(R10+2&gt;=MIN(T10,V10),S10=U10),"Escenario 7",IF(AND(R10+2&gt;=MIN(T10,V10),S10&lt;&gt;U10),"Escenario 6",IF(R10+5&lt;=MIN(T10,V10),"Escenario 9","Escenario 8"))),"error"))),"Falta info")</f>
        <v/>
      </c>
      <c r="Z10" s="98">
        <f>IFERROR(VLOOKUP(Y10,Base!$BJ$19:$BL$27,3,0),0)</f>
        <v/>
      </c>
      <c r="AA10" s="330">
        <f>IF(LOOKUP(Y10,Base!$X$8:$BG$8)=Y10,VLOOKUP(B10,Base!E:BG,Z10,0),0)</f>
        <v/>
      </c>
      <c r="AB10" s="330" t="n"/>
      <c r="AC10" s="327">
        <f>IFERROR(IF(VLOOKUP(B10,Detalle!$A:$AA,$AC$1,0)=0,"Sin datos",IFERROR(VLOOKUP(B10,Detalle!$A:$AA,$AC$1,0),"Sin datos")),"")</f>
        <v/>
      </c>
      <c r="AD10" s="93">
        <f>IFERROR(IF(VLOOKUP(B10,Detalle!$A:$AA,$AD$1,0)=0,"Sin datos",IFERROR(VLOOKUP(B10,Detalle!$A:$AA,$AD$1,0),"Sin datos")),"")</f>
        <v/>
      </c>
      <c r="AE10" s="327">
        <f>IFERROR(IF(VLOOKUP(B10,Detalle!$A:$AA,$AE$1,0)=0,"Sin datos",IFERROR(VLOOKUP(B10,Detalle!$A:$AA,$AE$1,0),"Sin datos")),"")</f>
        <v/>
      </c>
      <c r="AF10" s="93">
        <f>IFERROR(IF(VLOOKUP(B10,Detalle!$A:$AA,$AF$1,0)=0,"Sin datos",IFERROR(VLOOKUP(B10,Detalle!$A:$AA,$AF$1,0),"Sin datos")),"")</f>
        <v/>
      </c>
      <c r="AG10" s="327">
        <f>IFERROR(IF(VLOOKUP(B10,Detalle!$A:$AA,$AG$1,0)=0,"Sin datos",IFERROR(VLOOKUP(B10,Detalle!$A:$AA,$AG$1,0),"Sin datos")),"")</f>
        <v/>
      </c>
      <c r="AH10" s="93">
        <f>IFERROR(IF(VLOOKUP(B10,Detalle!$A:$AA,$AH$1,0)=0,"Sin datos",IFERROR(VLOOKUP(B10,Detalle!$A:$AA,$AH$1,0),"Sin datos")),"")</f>
        <v/>
      </c>
      <c r="AI10" s="98">
        <f>IF(AB10="",IF(MIN(AC10,AE10,AG10)&gt;E10,"Si","No"),IF(MIN(AC10,AG10,AG10)&gt;AB10,"Si","No"))</f>
        <v/>
      </c>
      <c r="AJ10" s="328">
        <f>MIN(AC10,AE10,AG10)</f>
        <v/>
      </c>
      <c r="AK10" s="328">
        <f>IFERROR(IF(MIN(AF10,AH10)=AD10,IF(AE10=AG10,"Escenario 5","Escenario 4"),IF(MIN(AF10,AH10)&lt;AD10,IF(AND(AD10-2&lt;=MIN(AF10,AH10),AE10&lt;&gt;AG10),"Escenario 1",IF(AND(AD10-2&lt;=MIN(AF10,AH10),AE10=AG10),"Escenario 2","Escenario 3")),IF(MIN(AF10,AH10)&gt;AD10,IF(AND(AD10+2&gt;=MIN(AF10,AH10),AE10=AG10),"Escenario 7",IF(AND(AD10+2&gt;=MIN(AF10,AH10),AE10&lt;&gt;AG10),"Escenario 6",IF(AD10+5&lt;=MIN(AF10,AH10),"Escenario 9","Escenario 8"))),"error"))),"Falta info")</f>
        <v/>
      </c>
      <c r="AL10" s="98">
        <f>IFERROR(VLOOKUP(AK10,Base!$BJ$37:$BL$45,3,0),0)</f>
        <v/>
      </c>
      <c r="AM10" s="330">
        <f>IF(LOOKUP(AK10,Base!$X$8:$BG$8)=AK10,VLOOKUP(B10,Base!E:BG,AL10,0),0)</f>
        <v/>
      </c>
      <c r="AN10" s="330" t="n"/>
      <c r="AO10" s="331" t="n"/>
      <c r="AP10" s="331">
        <f>IF(AM10&lt;=AA10,"REVISAR!","ok")</f>
        <v/>
      </c>
      <c r="AQ10" s="331" t="n"/>
    </row>
    <row customHeight="1" ht="12.95" r="11" s="183" spans="1:43">
      <c r="B11" s="108" t="s">
        <v>116</v>
      </c>
      <c r="C11" s="89" t="s">
        <v>260</v>
      </c>
      <c r="D11" s="106">
        <f>VLOOKUP(B11,Base!E:G,3,0)</f>
        <v/>
      </c>
      <c r="E11" s="326">
        <f>IFERROR(IF(VLOOKUP(B11,Detalle!$A:$AA,$E$1,0)=0,"Sin datos",IFERROR(VLOOKUP(B11,Detalle!$A:$AA,$E$1,0),"Sin datos")),"")</f>
        <v/>
      </c>
      <c r="F11" s="91">
        <f>IFERROR(IF(VLOOKUP(B11,Detalle!$A:$AA,$F$1,0)=0,"Sin datos",IFERROR(VLOOKUP(B11,Detalle!$A:$AA,$F$1,0),"Sin datos")),"")</f>
        <v/>
      </c>
      <c r="G11" s="327">
        <f>IFERROR(IF(VLOOKUP(B11,Detalle!$A:$AA,$G$1,0)=0,"Sin datos",IFERROR(VLOOKUP(B11,Detalle!$A:$AA,$G$1,0),"Sin datos")),"")</f>
        <v/>
      </c>
      <c r="H11" s="93">
        <f>IFERROR(IF(VLOOKUP(B11,Detalle!$A:$AA,$H$1,0)=0,"Sin datos",IFERROR(VLOOKUP(B11,Detalle!$A:$AA,$H$1,0),"Sin datos")),"")</f>
        <v/>
      </c>
      <c r="I11" s="327">
        <f>IFERROR(IF(VLOOKUP(B11,Detalle!$A:$AA,$I$1,0)=0,"Sin datos",IFERROR(VLOOKUP(B11,Detalle!$A:$AA,$I$1,0),"Sin datos")),"")</f>
        <v/>
      </c>
      <c r="J11" s="93">
        <f>IFERROR(IF(VLOOKUP(B11,Detalle!$A:$AA,$J$1,0)=0,"Sin datos",IFERROR(VLOOKUP(B11,Detalle!$A:$AA,$J$1,0),"Sin datos")),"")</f>
        <v/>
      </c>
      <c r="K11" s="98" t="s">
        <v>293</v>
      </c>
      <c r="L11" s="328">
        <f>MIN(E11,G11,I11)</f>
        <v/>
      </c>
      <c r="M11" s="329">
        <f>IFERROR(IF(MIN(H11,J11)=F11,IF(G11=I11,"Escenario 5","Escenario 4"),IF(MIN(H11,J11)&lt;F11,IF(AND(F11-2&lt;=MIN(H11,J11),G11&lt;&gt;I11),"Escenario 1",IF(AND(F11-2&lt;=MIN(H11,J11),G11=I11),"Escenario 2","Escenario 3")),IF(MIN(H11,J11)&gt;F11,IF(AND(F11+2&gt;=MIN(H11,J11),G11=I11),"Escenario 7",IF(AND(F11+2&gt;=MIN(H11,J11),G11&lt;&gt;I11),"Escenario 6",IF(F11+5&lt;=MIN(H11,J11),"Escenario 9","Escenario 8"))),"error"))),"Falta info")</f>
        <v/>
      </c>
      <c r="N11" s="98">
        <f>IFERROR(VLOOKUP(M11,Base!$BJ$28:$BL$36,3,0),0)</f>
        <v/>
      </c>
      <c r="O11" s="330">
        <f>IF(LOOKUP(M11,Base!$X$8:$BG$8)=M11,VLOOKUP(B11,Base!E:BG,N11,0),0)</f>
        <v/>
      </c>
      <c r="P11" s="330" t="n"/>
      <c r="Q11" s="327">
        <f>IFERROR(IF(VLOOKUP(B11,Detalle!$A:$AA,$Q$1,0)=0,"Sin datos",IFERROR(VLOOKUP(B11,Detalle!$A:$AA,$Q$1,0),"Sin datos")),"")</f>
        <v/>
      </c>
      <c r="R11" s="93">
        <f>IFERROR(IF(VLOOKUP(B11,Detalle!$A:$AA,$R$1,0)=0,"Sin datos",IFERROR(VLOOKUP(B11,Detalle!$A:$AA,$R$1,0),"Sin datos")),"")</f>
        <v/>
      </c>
      <c r="S11" s="327">
        <f>IFERROR(IF(VLOOKUP(B11,Detalle!$A:$AA,$S$1,0)=0,"Sin datos",IFERROR(VLOOKUP(B11,Detalle!$A:$AA,$S$1,0),"Sin datos")),"")</f>
        <v/>
      </c>
      <c r="T11" s="93">
        <f>IFERROR(IF(VLOOKUP(B11,Detalle!$A:$AA,$T$1,0)=0,"Sin datos",IFERROR(VLOOKUP(B11,Detalle!$A:$AA,$T$1,0),"Sin datos")),"")</f>
        <v/>
      </c>
      <c r="U11" s="327">
        <f>IFERROR(IF(VLOOKUP(B11,Detalle!$A:$AA,$U$1,0)=0,"Sin datos",IFERROR(VLOOKUP(B11,Detalle!$A:$AA,$U$1,0),"Sin datos")),"")</f>
        <v/>
      </c>
      <c r="V11" s="93">
        <f>IFERROR(IF(VLOOKUP(B11,Detalle!$A:$AA,$V$1,0)=0,"Sin datos",IFERROR(VLOOKUP(B11,Detalle!$A:$AA,$V$1,0),"Sin datos")),"")</f>
        <v/>
      </c>
      <c r="W11" s="98">
        <f>IF(P11="",IF(MIN(Q11,S11,U11)&gt;E11,"Si","No"),IF(MIN(Q11,S11,U11)&gt;P11,"Si","No"))</f>
        <v/>
      </c>
      <c r="X11" s="328">
        <f>MIN(Q11,S11,U11)</f>
        <v/>
      </c>
      <c r="Y11" s="328">
        <f>IFERROR(IF(MIN(T11,V11)=R11,IF(S11=U11,"Escenario 5","Escenario 4"),IF(MIN(T11,V11)&lt;R11,IF(AND(R11-2&lt;=MIN(T11,V11),S11&lt;&gt;U11),"Escenario 1",IF(AND(R11-2&lt;=MIN(T11,V11),S11=U11),"Escenario 2","Escenario 3")),IF(MIN(T11,V11)&gt;R11,IF(AND(R11+2&gt;=MIN(T11,V11),S11=U11),"Escenario 7",IF(AND(R11+2&gt;=MIN(T11,V11),S11&lt;&gt;U11),"Escenario 6",IF(R11+5&lt;=MIN(T11,V11),"Escenario 9","Escenario 8"))),"error"))),"Falta info")</f>
        <v/>
      </c>
      <c r="Z11" s="98">
        <f>IFERROR(VLOOKUP(Y11,Base!$BJ$19:$BL$27,3,0),0)</f>
        <v/>
      </c>
      <c r="AA11" s="330">
        <f>IF(LOOKUP(Y11,Base!$X$8:$BG$8)=Y11,VLOOKUP(B11,Base!E:BG,Z11,0),0)</f>
        <v/>
      </c>
      <c r="AB11" s="330" t="n"/>
      <c r="AC11" s="327">
        <f>IFERROR(IF(VLOOKUP(B11,Detalle!$A:$AA,$AC$1,0)=0,"Sin datos",IFERROR(VLOOKUP(B11,Detalle!$A:$AA,$AC$1,0),"Sin datos")),"")</f>
        <v/>
      </c>
      <c r="AD11" s="93">
        <f>IFERROR(IF(VLOOKUP(B11,Detalle!$A:$AA,$AD$1,0)=0,"Sin datos",IFERROR(VLOOKUP(B11,Detalle!$A:$AA,$AD$1,0),"Sin datos")),"")</f>
        <v/>
      </c>
      <c r="AE11" s="327">
        <f>IFERROR(IF(VLOOKUP(B11,Detalle!$A:$AA,$AE$1,0)=0,"Sin datos",IFERROR(VLOOKUP(B11,Detalle!$A:$AA,$AE$1,0),"Sin datos")),"")</f>
        <v/>
      </c>
      <c r="AF11" s="93">
        <f>IFERROR(IF(VLOOKUP(B11,Detalle!$A:$AA,$AF$1,0)=0,"Sin datos",IFERROR(VLOOKUP(B11,Detalle!$A:$AA,$AF$1,0),"Sin datos")),"")</f>
        <v/>
      </c>
      <c r="AG11" s="327">
        <f>IFERROR(IF(VLOOKUP(B11,Detalle!$A:$AA,$AG$1,0)=0,"Sin datos",IFERROR(VLOOKUP(B11,Detalle!$A:$AA,$AG$1,0),"Sin datos")),"")</f>
        <v/>
      </c>
      <c r="AH11" s="93">
        <f>IFERROR(IF(VLOOKUP(B11,Detalle!$A:$AA,$AH$1,0)=0,"Sin datos",IFERROR(VLOOKUP(B11,Detalle!$A:$AA,$AH$1,0),"Sin datos")),"")</f>
        <v/>
      </c>
      <c r="AI11" s="98">
        <f>IF(AB11="",IF(MIN(AC11,AE11,AG11)&gt;E11,"Si","No"),IF(MIN(AC11,AG11,AG11)&gt;AB11,"Si","No"))</f>
        <v/>
      </c>
      <c r="AJ11" s="328">
        <f>MIN(AC11,AE11,AG11)</f>
        <v/>
      </c>
      <c r="AK11" s="328">
        <f>IFERROR(IF(MIN(AF11,AH11)=AD11,IF(AE11=AG11,"Escenario 5","Escenario 4"),IF(MIN(AF11,AH11)&lt;AD11,IF(AND(AD11-2&lt;=MIN(AF11,AH11),AE11&lt;&gt;AG11),"Escenario 1",IF(AND(AD11-2&lt;=MIN(AF11,AH11),AE11=AG11),"Escenario 2","Escenario 3")),IF(MIN(AF11,AH11)&gt;AD11,IF(AND(AD11+2&gt;=MIN(AF11,AH11),AE11=AG11),"Escenario 7",IF(AND(AD11+2&gt;=MIN(AF11,AH11),AE11&lt;&gt;AG11),"Escenario 6",IF(AD11+5&lt;=MIN(AF11,AH11),"Escenario 9","Escenario 8"))),"error"))),"Falta info")</f>
        <v/>
      </c>
      <c r="AL11" s="98">
        <f>IFERROR(VLOOKUP(AK11,Base!$BJ$37:$BL$45,3,0),0)</f>
        <v/>
      </c>
      <c r="AM11" s="330">
        <f>IF(LOOKUP(AK11,Base!$X$8:$BG$8)=AK11,VLOOKUP(B11,Base!E:BG,AL11,0),0)</f>
        <v/>
      </c>
      <c r="AN11" s="330" t="n"/>
      <c r="AO11" s="331" t="n"/>
      <c r="AP11" s="331">
        <f>IF(AM11&lt;=AA11,"REVISAR!","ok")</f>
        <v/>
      </c>
      <c r="AQ11" s="331" t="n"/>
    </row>
    <row customHeight="1" ht="12.95" r="12" s="183" spans="1:43">
      <c r="B12" s="108" t="s">
        <v>147</v>
      </c>
      <c r="C12" s="89" t="s">
        <v>260</v>
      </c>
      <c r="D12" s="106">
        <f>VLOOKUP(B12,Base!E:G,3,0)</f>
        <v/>
      </c>
      <c r="E12" s="326">
        <f>IFERROR(IF(VLOOKUP(B12,Detalle!$A:$AA,$E$1,0)=0,"Sin datos",IFERROR(VLOOKUP(B12,Detalle!$A:$AA,$E$1,0),"Sin datos")),"")</f>
        <v/>
      </c>
      <c r="F12" s="91">
        <f>IFERROR(IF(VLOOKUP(B12,Detalle!$A:$AA,$F$1,0)=0,"Sin datos",IFERROR(VLOOKUP(B12,Detalle!$A:$AA,$F$1,0),"Sin datos")),"")</f>
        <v/>
      </c>
      <c r="G12" s="327">
        <f>IFERROR(IF(VLOOKUP(B12,Detalle!$A:$AA,$G$1,0)=0,"Sin datos",IFERROR(VLOOKUP(B12,Detalle!$A:$AA,$G$1,0),"Sin datos")),"")</f>
        <v/>
      </c>
      <c r="H12" s="93">
        <f>IFERROR(IF(VLOOKUP(B12,Detalle!$A:$AA,$H$1,0)=0,"Sin datos",IFERROR(VLOOKUP(B12,Detalle!$A:$AA,$H$1,0),"Sin datos")),"")</f>
        <v/>
      </c>
      <c r="I12" s="327">
        <f>IFERROR(IF(VLOOKUP(B12,Detalle!$A:$AA,$I$1,0)=0,"Sin datos",IFERROR(VLOOKUP(B12,Detalle!$A:$AA,$I$1,0),"Sin datos")),"")</f>
        <v/>
      </c>
      <c r="J12" s="93">
        <f>IFERROR(IF(VLOOKUP(B12,Detalle!$A:$AA,$J$1,0)=0,"Sin datos",IFERROR(VLOOKUP(B12,Detalle!$A:$AA,$J$1,0),"Sin datos")),"")</f>
        <v/>
      </c>
      <c r="K12" s="98" t="s">
        <v>293</v>
      </c>
      <c r="L12" s="328">
        <f>MIN(E12,G12,I12)</f>
        <v/>
      </c>
      <c r="M12" s="329">
        <f>IFERROR(IF(MIN(H12,J12)=F12,IF(G12=I12,"Escenario 5","Escenario 4"),IF(MIN(H12,J12)&lt;F12,IF(AND(F12-2&lt;=MIN(H12,J12),G12&lt;&gt;I12),"Escenario 1",IF(AND(F12-2&lt;=MIN(H12,J12),G12=I12),"Escenario 2","Escenario 3")),IF(MIN(H12,J12)&gt;F12,IF(AND(F12+2&gt;=MIN(H12,J12),G12=I12),"Escenario 7",IF(AND(F12+2&gt;=MIN(H12,J12),G12&lt;&gt;I12),"Escenario 6",IF(F12+5&lt;=MIN(H12,J12),"Escenario 9","Escenario 8"))),"error"))),"Falta info")</f>
        <v/>
      </c>
      <c r="N12" s="98">
        <f>IFERROR(VLOOKUP(M12,Base!$BJ$28:$BL$36,3,0),0)</f>
        <v/>
      </c>
      <c r="O12" s="330">
        <f>IF(LOOKUP(M12,Base!$X$8:$BG$8)=M12,VLOOKUP(B12,Base!E:BG,N12,0),0)</f>
        <v/>
      </c>
      <c r="P12" s="330" t="n"/>
      <c r="Q12" s="327">
        <f>IFERROR(IF(VLOOKUP(B12,Detalle!$A:$AA,$Q$1,0)=0,"Sin datos",IFERROR(VLOOKUP(B12,Detalle!$A:$AA,$Q$1,0),"Sin datos")),"")</f>
        <v/>
      </c>
      <c r="R12" s="93">
        <f>IFERROR(IF(VLOOKUP(B12,Detalle!$A:$AA,$R$1,0)=0,"Sin datos",IFERROR(VLOOKUP(B12,Detalle!$A:$AA,$R$1,0),"Sin datos")),"")</f>
        <v/>
      </c>
      <c r="S12" s="327">
        <f>IFERROR(IF(VLOOKUP(B12,Detalle!$A:$AA,$S$1,0)=0,"Sin datos",IFERROR(VLOOKUP(B12,Detalle!$A:$AA,$S$1,0),"Sin datos")),"")</f>
        <v/>
      </c>
      <c r="T12" s="93">
        <f>IFERROR(IF(VLOOKUP(B12,Detalle!$A:$AA,$T$1,0)=0,"Sin datos",IFERROR(VLOOKUP(B12,Detalle!$A:$AA,$T$1,0),"Sin datos")),"")</f>
        <v/>
      </c>
      <c r="U12" s="327">
        <f>IFERROR(IF(VLOOKUP(B12,Detalle!$A:$AA,$U$1,0)=0,"Sin datos",IFERROR(VLOOKUP(B12,Detalle!$A:$AA,$U$1,0),"Sin datos")),"")</f>
        <v/>
      </c>
      <c r="V12" s="93">
        <f>IFERROR(IF(VLOOKUP(B12,Detalle!$A:$AA,$V$1,0)=0,"Sin datos",IFERROR(VLOOKUP(B12,Detalle!$A:$AA,$V$1,0),"Sin datos")),"")</f>
        <v/>
      </c>
      <c r="W12" s="98">
        <f>IF(P12="",IF(MIN(Q12,S12,U12)&gt;E12,"Si","No"),IF(MIN(Q12,S12,U12)&gt;P12,"Si","No"))</f>
        <v/>
      </c>
      <c r="X12" s="328">
        <f>MIN(Q12,S12,U12)</f>
        <v/>
      </c>
      <c r="Y12" s="328">
        <f>IFERROR(IF(MIN(T12,V12)=R12,IF(S12=U12,"Escenario 5","Escenario 4"),IF(MIN(T12,V12)&lt;R12,IF(AND(R12-2&lt;=MIN(T12,V12),S12&lt;&gt;U12),"Escenario 1",IF(AND(R12-2&lt;=MIN(T12,V12),S12=U12),"Escenario 2","Escenario 3")),IF(MIN(T12,V12)&gt;R12,IF(AND(R12+2&gt;=MIN(T12,V12),S12=U12),"Escenario 7",IF(AND(R12+2&gt;=MIN(T12,V12),S12&lt;&gt;U12),"Escenario 6",IF(R12+5&lt;=MIN(T12,V12),"Escenario 9","Escenario 8"))),"error"))),"Falta info")</f>
        <v/>
      </c>
      <c r="Z12" s="98">
        <f>IFERROR(VLOOKUP(Y12,Base!$BJ$19:$BL$27,3,0),0)</f>
        <v/>
      </c>
      <c r="AA12" s="330">
        <f>IF(LOOKUP(Y12,Base!$X$8:$BG$8)=Y12,VLOOKUP(B12,Base!E:BG,Z12,0),0)</f>
        <v/>
      </c>
      <c r="AB12" s="330" t="n"/>
      <c r="AC12" s="327">
        <f>IFERROR(IF(VLOOKUP(B12,Detalle!$A:$AA,$AC$1,0)=0,"Sin datos",IFERROR(VLOOKUP(B12,Detalle!$A:$AA,$AC$1,0),"Sin datos")),"")</f>
        <v/>
      </c>
      <c r="AD12" s="93">
        <f>IFERROR(IF(VLOOKUP(B12,Detalle!$A:$AA,$AD$1,0)=0,"Sin datos",IFERROR(VLOOKUP(B12,Detalle!$A:$AA,$AD$1,0),"Sin datos")),"")</f>
        <v/>
      </c>
      <c r="AE12" s="327">
        <f>IFERROR(IF(VLOOKUP(B12,Detalle!$A:$AA,$AE$1,0)=0,"Sin datos",IFERROR(VLOOKUP(B12,Detalle!$A:$AA,$AE$1,0),"Sin datos")),"")</f>
        <v/>
      </c>
      <c r="AF12" s="93">
        <f>IFERROR(IF(VLOOKUP(B12,Detalle!$A:$AA,$AF$1,0)=0,"Sin datos",IFERROR(VLOOKUP(B12,Detalle!$A:$AA,$AF$1,0),"Sin datos")),"")</f>
        <v/>
      </c>
      <c r="AG12" s="327">
        <f>IFERROR(IF(VLOOKUP(B12,Detalle!$A:$AA,$AG$1,0)=0,"Sin datos",IFERROR(VLOOKUP(B12,Detalle!$A:$AA,$AG$1,0),"Sin datos")),"")</f>
        <v/>
      </c>
      <c r="AH12" s="93">
        <f>IFERROR(IF(VLOOKUP(B12,Detalle!$A:$AA,$AH$1,0)=0,"Sin datos",IFERROR(VLOOKUP(B12,Detalle!$A:$AA,$AH$1,0),"Sin datos")),"")</f>
        <v/>
      </c>
      <c r="AI12" s="98">
        <f>IF(AB12="",IF(MIN(AC12,AE12,AG12)&gt;E12,"Si","No"),IF(MIN(AC12,AG12,AG12)&gt;AB12,"Si","No"))</f>
        <v/>
      </c>
      <c r="AJ12" s="328">
        <f>MIN(AC12,AE12,AG12)</f>
        <v/>
      </c>
      <c r="AK12" s="328">
        <f>IFERROR(IF(MIN(AF12,AH12)=AD12,IF(AE12=AG12,"Escenario 5","Escenario 4"),IF(MIN(AF12,AH12)&lt;AD12,IF(AND(AD12-2&lt;=MIN(AF12,AH12),AE12&lt;&gt;AG12),"Escenario 1",IF(AND(AD12-2&lt;=MIN(AF12,AH12),AE12=AG12),"Escenario 2","Escenario 3")),IF(MIN(AF12,AH12)&gt;AD12,IF(AND(AD12+2&gt;=MIN(AF12,AH12),AE12=AG12),"Escenario 7",IF(AND(AD12+2&gt;=MIN(AF12,AH12),AE12&lt;&gt;AG12),"Escenario 6",IF(AD12+5&lt;=MIN(AF12,AH12),"Escenario 9","Escenario 8"))),"error"))),"Falta info")</f>
        <v/>
      </c>
      <c r="AL12" s="98">
        <f>IFERROR(VLOOKUP(AK12,Base!$BJ$37:$BL$45,3,0),0)</f>
        <v/>
      </c>
      <c r="AM12" s="330">
        <f>IF(LOOKUP(AK12,Base!$X$8:$BG$8)=AK12,VLOOKUP(B12,Base!E:BG,AL12,0),0)</f>
        <v/>
      </c>
      <c r="AN12" s="330" t="n"/>
      <c r="AO12" s="331" t="n"/>
      <c r="AP12" s="331">
        <f>IF(AM12&lt;=AA12,"REVISAR!","ok")</f>
        <v/>
      </c>
      <c r="AQ12" s="331" t="n"/>
    </row>
    <row customHeight="1" ht="12.95" r="13" s="183" spans="1:43">
      <c r="B13" s="108" t="s">
        <v>135</v>
      </c>
      <c r="C13" s="89" t="s">
        <v>260</v>
      </c>
      <c r="D13" s="106">
        <f>VLOOKUP(B13,Base!E:G,3,0)</f>
        <v/>
      </c>
      <c r="E13" s="326">
        <f>IFERROR(IF(VLOOKUP(B13,Detalle!$A:$AA,$E$1,0)=0,"Sin datos",IFERROR(VLOOKUP(B13,Detalle!$A:$AA,$E$1,0),"Sin datos")),"")</f>
        <v/>
      </c>
      <c r="F13" s="91">
        <f>IFERROR(IF(VLOOKUP(B13,Detalle!$A:$AA,$F$1,0)=0,"Sin datos",IFERROR(VLOOKUP(B13,Detalle!$A:$AA,$F$1,0),"Sin datos")),"")</f>
        <v/>
      </c>
      <c r="G13" s="327">
        <f>IFERROR(IF(VLOOKUP(B13,Detalle!$A:$AA,$G$1,0)=0,"Sin datos",IFERROR(VLOOKUP(B13,Detalle!$A:$AA,$G$1,0),"Sin datos")),"")</f>
        <v/>
      </c>
      <c r="H13" s="93">
        <f>IFERROR(IF(VLOOKUP(B13,Detalle!$A:$AA,$H$1,0)=0,"Sin datos",IFERROR(VLOOKUP(B13,Detalle!$A:$AA,$H$1,0),"Sin datos")),"")</f>
        <v/>
      </c>
      <c r="I13" s="327">
        <f>IFERROR(IF(VLOOKUP(B13,Detalle!$A:$AA,$I$1,0)=0,"Sin datos",IFERROR(VLOOKUP(B13,Detalle!$A:$AA,$I$1,0),"Sin datos")),"")</f>
        <v/>
      </c>
      <c r="J13" s="93">
        <f>IFERROR(IF(VLOOKUP(B13,Detalle!$A:$AA,$J$1,0)=0,"Sin datos",IFERROR(VLOOKUP(B13,Detalle!$A:$AA,$J$1,0),"Sin datos")),"")</f>
        <v/>
      </c>
      <c r="K13" s="98" t="s">
        <v>293</v>
      </c>
      <c r="L13" s="328">
        <f>MIN(E13,G13,I13)</f>
        <v/>
      </c>
      <c r="M13" s="329">
        <f>IFERROR(IF(MIN(H13,J13)=F13,IF(G13=I13,"Escenario 5","Escenario 4"),IF(MIN(H13,J13)&lt;F13,IF(AND(F13-2&lt;=MIN(H13,J13),G13&lt;&gt;I13),"Escenario 1",IF(AND(F13-2&lt;=MIN(H13,J13),G13=I13),"Escenario 2","Escenario 3")),IF(MIN(H13,J13)&gt;F13,IF(AND(F13+2&gt;=MIN(H13,J13),G13=I13),"Escenario 7",IF(AND(F13+2&gt;=MIN(H13,J13),G13&lt;&gt;I13),"Escenario 6",IF(F13+5&lt;=MIN(H13,J13),"Escenario 9","Escenario 8"))),"error"))),"Falta info")</f>
        <v/>
      </c>
      <c r="N13" s="98">
        <f>IFERROR(VLOOKUP(M13,Base!$BJ$28:$BL$36,3,0),0)</f>
        <v/>
      </c>
      <c r="O13" s="330">
        <f>IF(LOOKUP(M13,Base!$X$8:$BG$8)=M13,VLOOKUP(B13,Base!E:BG,N13,0),0)</f>
        <v/>
      </c>
      <c r="P13" s="330" t="n"/>
      <c r="Q13" s="327">
        <f>IFERROR(IF(VLOOKUP(B13,Detalle!$A:$AA,$Q$1,0)=0,"Sin datos",IFERROR(VLOOKUP(B13,Detalle!$A:$AA,$Q$1,0),"Sin datos")),"")</f>
        <v/>
      </c>
      <c r="R13" s="93">
        <f>IFERROR(IF(VLOOKUP(B13,Detalle!$A:$AA,$R$1,0)=0,"Sin datos",IFERROR(VLOOKUP(B13,Detalle!$A:$AA,$R$1,0),"Sin datos")),"")</f>
        <v/>
      </c>
      <c r="S13" s="327">
        <f>IFERROR(IF(VLOOKUP(B13,Detalle!$A:$AA,$S$1,0)=0,"Sin datos",IFERROR(VLOOKUP(B13,Detalle!$A:$AA,$S$1,0),"Sin datos")),"")</f>
        <v/>
      </c>
      <c r="T13" s="93">
        <f>IFERROR(IF(VLOOKUP(B13,Detalle!$A:$AA,$T$1,0)=0,"Sin datos",IFERROR(VLOOKUP(B13,Detalle!$A:$AA,$T$1,0),"Sin datos")),"")</f>
        <v/>
      </c>
      <c r="U13" s="327">
        <f>IFERROR(IF(VLOOKUP(B13,Detalle!$A:$AA,$U$1,0)=0,"Sin datos",IFERROR(VLOOKUP(B13,Detalle!$A:$AA,$U$1,0),"Sin datos")),"")</f>
        <v/>
      </c>
      <c r="V13" s="93">
        <f>IFERROR(IF(VLOOKUP(B13,Detalle!$A:$AA,$V$1,0)=0,"Sin datos",IFERROR(VLOOKUP(B13,Detalle!$A:$AA,$V$1,0),"Sin datos")),"")</f>
        <v/>
      </c>
      <c r="W13" s="98">
        <f>IF(P13="",IF(MIN(Q13,S13,U13)&gt;E13,"Si","No"),IF(MIN(Q13,S13,U13)&gt;P13,"Si","No"))</f>
        <v/>
      </c>
      <c r="X13" s="328">
        <f>MIN(Q13,S13,U13)</f>
        <v/>
      </c>
      <c r="Y13" s="328">
        <f>IFERROR(IF(MIN(T13,V13)=R13,IF(S13=U13,"Escenario 5","Escenario 4"),IF(MIN(T13,V13)&lt;R13,IF(AND(R13-2&lt;=MIN(T13,V13),S13&lt;&gt;U13),"Escenario 1",IF(AND(R13-2&lt;=MIN(T13,V13),S13=U13),"Escenario 2","Escenario 3")),IF(MIN(T13,V13)&gt;R13,IF(AND(R13+2&gt;=MIN(T13,V13),S13=U13),"Escenario 7",IF(AND(R13+2&gt;=MIN(T13,V13),S13&lt;&gt;U13),"Escenario 6",IF(R13+5&lt;=MIN(T13,V13),"Escenario 9","Escenario 8"))),"error"))),"Falta info")</f>
        <v/>
      </c>
      <c r="Z13" s="98">
        <f>IFERROR(VLOOKUP(Y13,Base!$BJ$19:$BL$27,3,0),0)</f>
        <v/>
      </c>
      <c r="AA13" s="330">
        <f>IF(LOOKUP(Y13,Base!$X$8:$BG$8)=Y13,VLOOKUP(B13,Base!E:BG,Z13,0),0)</f>
        <v/>
      </c>
      <c r="AB13" s="330" t="n"/>
      <c r="AC13" s="327">
        <f>IFERROR(IF(VLOOKUP(B13,Detalle!$A:$AA,$AC$1,0)=0,"Sin datos",IFERROR(VLOOKUP(B13,Detalle!$A:$AA,$AC$1,0),"Sin datos")),"")</f>
        <v/>
      </c>
      <c r="AD13" s="93">
        <f>IFERROR(IF(VLOOKUP(B13,Detalle!$A:$AA,$AD$1,0)=0,"Sin datos",IFERROR(VLOOKUP(B13,Detalle!$A:$AA,$AD$1,0),"Sin datos")),"")</f>
        <v/>
      </c>
      <c r="AE13" s="327">
        <f>IFERROR(IF(VLOOKUP(B13,Detalle!$A:$AA,$AE$1,0)=0,"Sin datos",IFERROR(VLOOKUP(B13,Detalle!$A:$AA,$AE$1,0),"Sin datos")),"")</f>
        <v/>
      </c>
      <c r="AF13" s="93">
        <f>IFERROR(IF(VLOOKUP(B13,Detalle!$A:$AA,$AF$1,0)=0,"Sin datos",IFERROR(VLOOKUP(B13,Detalle!$A:$AA,$AF$1,0),"Sin datos")),"")</f>
        <v/>
      </c>
      <c r="AG13" s="327">
        <f>IFERROR(IF(VLOOKUP(B13,Detalle!$A:$AA,$AG$1,0)=0,"Sin datos",IFERROR(VLOOKUP(B13,Detalle!$A:$AA,$AG$1,0),"Sin datos")),"")</f>
        <v/>
      </c>
      <c r="AH13" s="93">
        <f>IFERROR(IF(VLOOKUP(B13,Detalle!$A:$AA,$AH$1,0)=0,"Sin datos",IFERROR(VLOOKUP(B13,Detalle!$A:$AA,$AH$1,0),"Sin datos")),"")</f>
        <v/>
      </c>
      <c r="AI13" s="98">
        <f>IF(AB13="",IF(MIN(AC13,AE13,AG13)&gt;E13,"Si","No"),IF(MIN(AC13,AG13,AG13)&gt;AB13,"Si","No"))</f>
        <v/>
      </c>
      <c r="AJ13" s="328">
        <f>MIN(AC13,AE13,AG13)</f>
        <v/>
      </c>
      <c r="AK13" s="328">
        <f>IFERROR(IF(MIN(AF13,AH13)=AD13,IF(AE13=AG13,"Escenario 5","Escenario 4"),IF(MIN(AF13,AH13)&lt;AD13,IF(AND(AD13-2&lt;=MIN(AF13,AH13),AE13&lt;&gt;AG13),"Escenario 1",IF(AND(AD13-2&lt;=MIN(AF13,AH13),AE13=AG13),"Escenario 2","Escenario 3")),IF(MIN(AF13,AH13)&gt;AD13,IF(AND(AD13+2&gt;=MIN(AF13,AH13),AE13=AG13),"Escenario 7",IF(AND(AD13+2&gt;=MIN(AF13,AH13),AE13&lt;&gt;AG13),"Escenario 6",IF(AD13+5&lt;=MIN(AF13,AH13),"Escenario 9","Escenario 8"))),"error"))),"Falta info")</f>
        <v/>
      </c>
      <c r="AL13" s="98">
        <f>IFERROR(VLOOKUP(AK13,Base!$BJ$37:$BL$45,3,0),0)</f>
        <v/>
      </c>
      <c r="AM13" s="330">
        <f>IF(LOOKUP(AK13,Base!$X$8:$BG$8)=AK13,VLOOKUP(B13,Base!E:BG,AL13,0),0)</f>
        <v/>
      </c>
      <c r="AN13" s="330" t="n"/>
      <c r="AO13" s="331" t="n"/>
      <c r="AP13" s="331">
        <f>IF(AM13&lt;=AA13,"REVISAR!","ok")</f>
        <v/>
      </c>
      <c r="AQ13" s="331" t="n"/>
    </row>
    <row customHeight="1" ht="12.95" r="14" s="183" spans="1:43">
      <c r="B14" s="108" t="s">
        <v>234</v>
      </c>
      <c r="C14" s="89" t="s">
        <v>260</v>
      </c>
      <c r="D14" s="106">
        <f>VLOOKUP(B14,Base!E:G,3,0)</f>
        <v/>
      </c>
      <c r="E14" s="326">
        <f>IFERROR(IF(VLOOKUP(B14,Detalle!$A:$AA,$E$1,0)=0,"Sin datos",IFERROR(VLOOKUP(B14,Detalle!$A:$AA,$E$1,0),"Sin datos")),"")</f>
        <v/>
      </c>
      <c r="F14" s="91">
        <f>IFERROR(IF(VLOOKUP(B14,Detalle!$A:$AA,$F$1,0)=0,"Sin datos",IFERROR(VLOOKUP(B14,Detalle!$A:$AA,$F$1,0),"Sin datos")),"")</f>
        <v/>
      </c>
      <c r="G14" s="327">
        <f>IFERROR(IF(VLOOKUP(B14,Detalle!$A:$AA,$G$1,0)=0,"Sin datos",IFERROR(VLOOKUP(B14,Detalle!$A:$AA,$G$1,0),"Sin datos")),"")</f>
        <v/>
      </c>
      <c r="H14" s="93">
        <f>IFERROR(IF(VLOOKUP(B14,Detalle!$A:$AA,$H$1,0)=0,"Sin datos",IFERROR(VLOOKUP(B14,Detalle!$A:$AA,$H$1,0),"Sin datos")),"")</f>
        <v/>
      </c>
      <c r="I14" s="327">
        <f>IFERROR(IF(VLOOKUP(B14,Detalle!$A:$AA,$I$1,0)=0,"Sin datos",IFERROR(VLOOKUP(B14,Detalle!$A:$AA,$I$1,0),"Sin datos")),"")</f>
        <v/>
      </c>
      <c r="J14" s="93">
        <f>IFERROR(IF(VLOOKUP(B14,Detalle!$A:$AA,$J$1,0)=0,"Sin datos",IFERROR(VLOOKUP(B14,Detalle!$A:$AA,$J$1,0),"Sin datos")),"")</f>
        <v/>
      </c>
      <c r="K14" s="98" t="s">
        <v>293</v>
      </c>
      <c r="L14" s="328">
        <f>MIN(E14,G14,I14)</f>
        <v/>
      </c>
      <c r="M14" s="329">
        <f>IFERROR(IF(MIN(H14,J14)=F14,IF(G14=I14,"Escenario 5","Escenario 4"),IF(MIN(H14,J14)&lt;F14,IF(AND(F14-2&lt;=MIN(H14,J14),G14&lt;&gt;I14),"Escenario 1",IF(AND(F14-2&lt;=MIN(H14,J14),G14=I14),"Escenario 2","Escenario 3")),IF(MIN(H14,J14)&gt;F14,IF(AND(F14+2&gt;=MIN(H14,J14),G14=I14),"Escenario 7",IF(AND(F14+2&gt;=MIN(H14,J14),G14&lt;&gt;I14),"Escenario 6",IF(F14+5&lt;=MIN(H14,J14),"Escenario 9","Escenario 8"))),"error"))),"Falta info")</f>
        <v/>
      </c>
      <c r="N14" s="98">
        <f>IFERROR(VLOOKUP(M14,Base!$BJ$28:$BL$36,3,0),0)</f>
        <v/>
      </c>
      <c r="O14" s="330">
        <f>IF(LOOKUP(M14,Base!$X$8:$BG$8)=M14,VLOOKUP(B14,Base!E:BG,N14,0),0)</f>
        <v/>
      </c>
      <c r="P14" s="330" t="n"/>
      <c r="Q14" s="327">
        <f>IFERROR(IF(VLOOKUP(B14,Detalle!$A:$AA,$Q$1,0)=0,"Sin datos",IFERROR(VLOOKUP(B14,Detalle!$A:$AA,$Q$1,0),"Sin datos")),"")</f>
        <v/>
      </c>
      <c r="R14" s="93">
        <f>IFERROR(IF(VLOOKUP(B14,Detalle!$A:$AA,$R$1,0)=0,"Sin datos",IFERROR(VLOOKUP(B14,Detalle!$A:$AA,$R$1,0),"Sin datos")),"")</f>
        <v/>
      </c>
      <c r="S14" s="327">
        <f>IFERROR(IF(VLOOKUP(B14,Detalle!$A:$AA,$S$1,0)=0,"Sin datos",IFERROR(VLOOKUP(B14,Detalle!$A:$AA,$S$1,0),"Sin datos")),"")</f>
        <v/>
      </c>
      <c r="T14" s="93">
        <f>IFERROR(IF(VLOOKUP(B14,Detalle!$A:$AA,$T$1,0)=0,"Sin datos",IFERROR(VLOOKUP(B14,Detalle!$A:$AA,$T$1,0),"Sin datos")),"")</f>
        <v/>
      </c>
      <c r="U14" s="327">
        <f>IFERROR(IF(VLOOKUP(B14,Detalle!$A:$AA,$U$1,0)=0,"Sin datos",IFERROR(VLOOKUP(B14,Detalle!$A:$AA,$U$1,0),"Sin datos")),"")</f>
        <v/>
      </c>
      <c r="V14" s="93">
        <f>IFERROR(IF(VLOOKUP(B14,Detalle!$A:$AA,$V$1,0)=0,"Sin datos",IFERROR(VLOOKUP(B14,Detalle!$A:$AA,$V$1,0),"Sin datos")),"")</f>
        <v/>
      </c>
      <c r="W14" s="98">
        <f>IF(P14="",IF(MIN(Q14,S14,U14)&gt;E14,"Si","No"),IF(MIN(Q14,S14,U14)&gt;P14,"Si","No"))</f>
        <v/>
      </c>
      <c r="X14" s="328">
        <f>MIN(Q14,S14,U14)</f>
        <v/>
      </c>
      <c r="Y14" s="328">
        <f>IFERROR(IF(MIN(T14,V14)=R14,IF(S14=U14,"Escenario 5","Escenario 4"),IF(MIN(T14,V14)&lt;R14,IF(AND(R14-2&lt;=MIN(T14,V14),S14&lt;&gt;U14),"Escenario 1",IF(AND(R14-2&lt;=MIN(T14,V14),S14=U14),"Escenario 2","Escenario 3")),IF(MIN(T14,V14)&gt;R14,IF(AND(R14+2&gt;=MIN(T14,V14),S14=U14),"Escenario 7",IF(AND(R14+2&gt;=MIN(T14,V14),S14&lt;&gt;U14),"Escenario 6",IF(R14+5&lt;=MIN(T14,V14),"Escenario 9","Escenario 8"))),"error"))),"Falta info")</f>
        <v/>
      </c>
      <c r="Z14" s="98">
        <f>IFERROR(VLOOKUP(Y14,Base!$BJ$19:$BL$27,3,0),0)</f>
        <v/>
      </c>
      <c r="AA14" s="330">
        <f>IF(LOOKUP(Y14,Base!$X$8:$BG$8)=Y14,VLOOKUP(B14,Base!E:BG,Z14,0),0)</f>
        <v/>
      </c>
      <c r="AB14" s="330" t="n"/>
      <c r="AC14" s="327">
        <f>IFERROR(IF(VLOOKUP(B14,Detalle!$A:$AA,$AC$1,0)=0,"Sin datos",IFERROR(VLOOKUP(B14,Detalle!$A:$AA,$AC$1,0),"Sin datos")),"")</f>
        <v/>
      </c>
      <c r="AD14" s="93">
        <f>IFERROR(IF(VLOOKUP(B14,Detalle!$A:$AA,$AD$1,0)=0,"Sin datos",IFERROR(VLOOKUP(B14,Detalle!$A:$AA,$AD$1,0),"Sin datos")),"")</f>
        <v/>
      </c>
      <c r="AE14" s="327">
        <f>IFERROR(IF(VLOOKUP(B14,Detalle!$A:$AA,$AE$1,0)=0,"Sin datos",IFERROR(VLOOKUP(B14,Detalle!$A:$AA,$AE$1,0),"Sin datos")),"")</f>
        <v/>
      </c>
      <c r="AF14" s="93">
        <f>IFERROR(IF(VLOOKUP(B14,Detalle!$A:$AA,$AF$1,0)=0,"Sin datos",IFERROR(VLOOKUP(B14,Detalle!$A:$AA,$AF$1,0),"Sin datos")),"")</f>
        <v/>
      </c>
      <c r="AG14" s="327">
        <f>IFERROR(IF(VLOOKUP(B14,Detalle!$A:$AA,$AG$1,0)=0,"Sin datos",IFERROR(VLOOKUP(B14,Detalle!$A:$AA,$AG$1,0),"Sin datos")),"")</f>
        <v/>
      </c>
      <c r="AH14" s="93">
        <f>IFERROR(IF(VLOOKUP(B14,Detalle!$A:$AA,$AH$1,0)=0,"Sin datos",IFERROR(VLOOKUP(B14,Detalle!$A:$AA,$AH$1,0),"Sin datos")),"")</f>
        <v/>
      </c>
      <c r="AI14" s="98">
        <f>IF(AB14="",IF(MIN(AC14,AE14,AG14)&gt;E14,"Si","No"),IF(MIN(AC14,AG14,AG14)&gt;AB14,"Si","No"))</f>
        <v/>
      </c>
      <c r="AJ14" s="328">
        <f>MIN(AC14,AE14,AG14)</f>
        <v/>
      </c>
      <c r="AK14" s="328">
        <f>IFERROR(IF(MIN(AF14,AH14)=AD14,IF(AE14=AG14,"Escenario 5","Escenario 4"),IF(MIN(AF14,AH14)&lt;AD14,IF(AND(AD14-2&lt;=MIN(AF14,AH14),AE14&lt;&gt;AG14),"Escenario 1",IF(AND(AD14-2&lt;=MIN(AF14,AH14),AE14=AG14),"Escenario 2","Escenario 3")),IF(MIN(AF14,AH14)&gt;AD14,IF(AND(AD14+2&gt;=MIN(AF14,AH14),AE14=AG14),"Escenario 7",IF(AND(AD14+2&gt;=MIN(AF14,AH14),AE14&lt;&gt;AG14),"Escenario 6",IF(AD14+5&lt;=MIN(AF14,AH14),"Escenario 9","Escenario 8"))),"error"))),"Falta info")</f>
        <v/>
      </c>
      <c r="AL14" s="98">
        <f>IFERROR(VLOOKUP(AK14,Base!$BJ$37:$BL$45,3,0),0)</f>
        <v/>
      </c>
      <c r="AM14" s="330">
        <f>IF(LOOKUP(AK14,Base!$X$8:$BG$8)=AK14,VLOOKUP(B14,Base!E:BG,AL14,0),0)</f>
        <v/>
      </c>
      <c r="AN14" s="330" t="n"/>
      <c r="AO14" s="331" t="n"/>
      <c r="AP14" s="331">
        <f>IF(AM14&lt;=AA14,"REVISAR!","ok")</f>
        <v/>
      </c>
      <c r="AQ14" s="331" t="n"/>
    </row>
    <row customHeight="1" ht="12.95" r="15" s="183" spans="1:43">
      <c r="B15" s="108" t="s">
        <v>143</v>
      </c>
      <c r="C15" s="89" t="s">
        <v>260</v>
      </c>
      <c r="D15" s="106">
        <f>VLOOKUP(B15,Base!E:G,3,0)</f>
        <v/>
      </c>
      <c r="E15" s="326">
        <f>IFERROR(IF(VLOOKUP(B15,Detalle!$A:$AA,$E$1,0)=0,"Sin datos",IFERROR(VLOOKUP(B15,Detalle!$A:$AA,$E$1,0),"Sin datos")),"")</f>
        <v/>
      </c>
      <c r="F15" s="91">
        <f>IFERROR(IF(VLOOKUP(B15,Detalle!$A:$AA,$F$1,0)=0,"Sin datos",IFERROR(VLOOKUP(B15,Detalle!$A:$AA,$F$1,0),"Sin datos")),"")</f>
        <v/>
      </c>
      <c r="G15" s="327">
        <f>IFERROR(IF(VLOOKUP(B15,Detalle!$A:$AA,$G$1,0)=0,"Sin datos",IFERROR(VLOOKUP(B15,Detalle!$A:$AA,$G$1,0),"Sin datos")),"")</f>
        <v/>
      </c>
      <c r="H15" s="93">
        <f>IFERROR(IF(VLOOKUP(B15,Detalle!$A:$AA,$H$1,0)=0,"Sin datos",IFERROR(VLOOKUP(B15,Detalle!$A:$AA,$H$1,0),"Sin datos")),"")</f>
        <v/>
      </c>
      <c r="I15" s="327">
        <f>IFERROR(IF(VLOOKUP(B15,Detalle!$A:$AA,$I$1,0)=0,"Sin datos",IFERROR(VLOOKUP(B15,Detalle!$A:$AA,$I$1,0),"Sin datos")),"")</f>
        <v/>
      </c>
      <c r="J15" s="93">
        <f>IFERROR(IF(VLOOKUP(B15,Detalle!$A:$AA,$J$1,0)=0,"Sin datos",IFERROR(VLOOKUP(B15,Detalle!$A:$AA,$J$1,0),"Sin datos")),"")</f>
        <v/>
      </c>
      <c r="K15" s="98" t="s">
        <v>293</v>
      </c>
      <c r="L15" s="328">
        <f>MIN(E15,G15,I15)</f>
        <v/>
      </c>
      <c r="M15" s="329">
        <f>IFERROR(IF(MIN(H15,J15)=F15,IF(G15=I15,"Escenario 5","Escenario 4"),IF(MIN(H15,J15)&lt;F15,IF(AND(F15-2&lt;=MIN(H15,J15),G15&lt;&gt;I15),"Escenario 1",IF(AND(F15-2&lt;=MIN(H15,J15),G15=I15),"Escenario 2","Escenario 3")),IF(MIN(H15,J15)&gt;F15,IF(AND(F15+2&gt;=MIN(H15,J15),G15=I15),"Escenario 7",IF(AND(F15+2&gt;=MIN(H15,J15),G15&lt;&gt;I15),"Escenario 6",IF(F15+5&lt;=MIN(H15,J15),"Escenario 9","Escenario 8"))),"error"))),"Falta info")</f>
        <v/>
      </c>
      <c r="N15" s="98">
        <f>IFERROR(VLOOKUP(M15,Base!$BJ$28:$BL$36,3,0),0)</f>
        <v/>
      </c>
      <c r="O15" s="330">
        <f>IF(LOOKUP(M15,Base!$X$8:$BG$8)=M15,VLOOKUP(B15,Base!E:BG,N15,0),0)</f>
        <v/>
      </c>
      <c r="P15" s="330" t="n"/>
      <c r="Q15" s="327">
        <f>IFERROR(IF(VLOOKUP(B15,Detalle!$A:$AA,$Q$1,0)=0,"Sin datos",IFERROR(VLOOKUP(B15,Detalle!$A:$AA,$Q$1,0),"Sin datos")),"")</f>
        <v/>
      </c>
      <c r="R15" s="93">
        <f>IFERROR(IF(VLOOKUP(B15,Detalle!$A:$AA,$R$1,0)=0,"Sin datos",IFERROR(VLOOKUP(B15,Detalle!$A:$AA,$R$1,0),"Sin datos")),"")</f>
        <v/>
      </c>
      <c r="S15" s="327">
        <f>IFERROR(IF(VLOOKUP(B15,Detalle!$A:$AA,$S$1,0)=0,"Sin datos",IFERROR(VLOOKUP(B15,Detalle!$A:$AA,$S$1,0),"Sin datos")),"")</f>
        <v/>
      </c>
      <c r="T15" s="93">
        <f>IFERROR(IF(VLOOKUP(B15,Detalle!$A:$AA,$T$1,0)=0,"Sin datos",IFERROR(VLOOKUP(B15,Detalle!$A:$AA,$T$1,0),"Sin datos")),"")</f>
        <v/>
      </c>
      <c r="U15" s="327">
        <f>IFERROR(IF(VLOOKUP(B15,Detalle!$A:$AA,$U$1,0)=0,"Sin datos",IFERROR(VLOOKUP(B15,Detalle!$A:$AA,$U$1,0),"Sin datos")),"")</f>
        <v/>
      </c>
      <c r="V15" s="93">
        <f>IFERROR(IF(VLOOKUP(B15,Detalle!$A:$AA,$V$1,0)=0,"Sin datos",IFERROR(VLOOKUP(B15,Detalle!$A:$AA,$V$1,0),"Sin datos")),"")</f>
        <v/>
      </c>
      <c r="W15" s="98">
        <f>IF(P15="",IF(MIN(Q15,S15,U15)&gt;E15,"Si","No"),IF(MIN(Q15,S15,U15)&gt;P15,"Si","No"))</f>
        <v/>
      </c>
      <c r="X15" s="328">
        <f>MIN(Q15,S15,U15)</f>
        <v/>
      </c>
      <c r="Y15" s="328">
        <f>IFERROR(IF(MIN(T15,V15)=R15,IF(S15=U15,"Escenario 5","Escenario 4"),IF(MIN(T15,V15)&lt;R15,IF(AND(R15-2&lt;=MIN(T15,V15),S15&lt;&gt;U15),"Escenario 1",IF(AND(R15-2&lt;=MIN(T15,V15),S15=U15),"Escenario 2","Escenario 3")),IF(MIN(T15,V15)&gt;R15,IF(AND(R15+2&gt;=MIN(T15,V15),S15=U15),"Escenario 7",IF(AND(R15+2&gt;=MIN(T15,V15),S15&lt;&gt;U15),"Escenario 6",IF(R15+5&lt;=MIN(T15,V15),"Escenario 9","Escenario 8"))),"error"))),"Falta info")</f>
        <v/>
      </c>
      <c r="Z15" s="98">
        <f>IFERROR(VLOOKUP(Y15,Base!$BJ$19:$BL$27,3,0),0)</f>
        <v/>
      </c>
      <c r="AA15" s="330">
        <f>IF(LOOKUP(Y15,Base!$X$8:$BG$8)=Y15,VLOOKUP(B15,Base!E:BG,Z15,0),0)</f>
        <v/>
      </c>
      <c r="AB15" s="330" t="n"/>
      <c r="AC15" s="327">
        <f>IFERROR(IF(VLOOKUP(B15,Detalle!$A:$AA,$AC$1,0)=0,"Sin datos",IFERROR(VLOOKUP(B15,Detalle!$A:$AA,$AC$1,0),"Sin datos")),"")</f>
        <v/>
      </c>
      <c r="AD15" s="93">
        <f>IFERROR(IF(VLOOKUP(B15,Detalle!$A:$AA,$AD$1,0)=0,"Sin datos",IFERROR(VLOOKUP(B15,Detalle!$A:$AA,$AD$1,0),"Sin datos")),"")</f>
        <v/>
      </c>
      <c r="AE15" s="327">
        <f>IFERROR(IF(VLOOKUP(B15,Detalle!$A:$AA,$AE$1,0)=0,"Sin datos",IFERROR(VLOOKUP(B15,Detalle!$A:$AA,$AE$1,0),"Sin datos")),"")</f>
        <v/>
      </c>
      <c r="AF15" s="93">
        <f>IFERROR(IF(VLOOKUP(B15,Detalle!$A:$AA,$AF$1,0)=0,"Sin datos",IFERROR(VLOOKUP(B15,Detalle!$A:$AA,$AF$1,0),"Sin datos")),"")</f>
        <v/>
      </c>
      <c r="AG15" s="327">
        <f>IFERROR(IF(VLOOKUP(B15,Detalle!$A:$AA,$AG$1,0)=0,"Sin datos",IFERROR(VLOOKUP(B15,Detalle!$A:$AA,$AG$1,0),"Sin datos")),"")</f>
        <v/>
      </c>
      <c r="AH15" s="93">
        <f>IFERROR(IF(VLOOKUP(B15,Detalle!$A:$AA,$AH$1,0)=0,"Sin datos",IFERROR(VLOOKUP(B15,Detalle!$A:$AA,$AH$1,0),"Sin datos")),"")</f>
        <v/>
      </c>
      <c r="AI15" s="98">
        <f>IF(AB15="",IF(MIN(AC15,AE15,AG15)&gt;E15,"Si","No"),IF(MIN(AC15,AG15,AG15)&gt;AB15,"Si","No"))</f>
        <v/>
      </c>
      <c r="AJ15" s="328">
        <f>MIN(AC15,AE15,AG15)</f>
        <v/>
      </c>
      <c r="AK15" s="328">
        <f>IFERROR(IF(MIN(AF15,AH15)=AD15,IF(AE15=AG15,"Escenario 5","Escenario 4"),IF(MIN(AF15,AH15)&lt;AD15,IF(AND(AD15-2&lt;=MIN(AF15,AH15),AE15&lt;&gt;AG15),"Escenario 1",IF(AND(AD15-2&lt;=MIN(AF15,AH15),AE15=AG15),"Escenario 2","Escenario 3")),IF(MIN(AF15,AH15)&gt;AD15,IF(AND(AD15+2&gt;=MIN(AF15,AH15),AE15=AG15),"Escenario 7",IF(AND(AD15+2&gt;=MIN(AF15,AH15),AE15&lt;&gt;AG15),"Escenario 6",IF(AD15+5&lt;=MIN(AF15,AH15),"Escenario 9","Escenario 8"))),"error"))),"Falta info")</f>
        <v/>
      </c>
      <c r="AL15" s="98">
        <f>IFERROR(VLOOKUP(AK15,Base!$BJ$37:$BL$45,3,0),0)</f>
        <v/>
      </c>
      <c r="AM15" s="330">
        <f>IF(LOOKUP(AK15,Base!$X$8:$BG$8)=AK15,VLOOKUP(B15,Base!E:BG,AL15,0),0)</f>
        <v/>
      </c>
      <c r="AN15" s="330" t="n"/>
      <c r="AO15" s="331" t="n"/>
      <c r="AP15" s="331">
        <f>IF(AM15&lt;=AA15,"REVISAR!","ok")</f>
        <v/>
      </c>
      <c r="AQ15" s="331" t="n"/>
    </row>
    <row customHeight="1" ht="12.95" r="16" s="183" spans="1:43">
      <c r="B16" s="108" t="s">
        <v>141</v>
      </c>
      <c r="C16" s="89" t="s">
        <v>260</v>
      </c>
      <c r="D16" s="106">
        <f>VLOOKUP(B16,Base!E:G,3,0)</f>
        <v/>
      </c>
      <c r="E16" s="326">
        <f>IFERROR(IF(VLOOKUP(B16,Detalle!$A:$AA,$E$1,0)=0,"Sin datos",IFERROR(VLOOKUP(B16,Detalle!$A:$AA,$E$1,0),"Sin datos")),"")</f>
        <v/>
      </c>
      <c r="F16" s="91">
        <f>IFERROR(IF(VLOOKUP(B16,Detalle!$A:$AA,$F$1,0)=0,"Sin datos",IFERROR(VLOOKUP(B16,Detalle!$A:$AA,$F$1,0),"Sin datos")),"")</f>
        <v/>
      </c>
      <c r="G16" s="327">
        <f>IFERROR(IF(VLOOKUP(B16,Detalle!$A:$AA,$G$1,0)=0,"Sin datos",IFERROR(VLOOKUP(B16,Detalle!$A:$AA,$G$1,0),"Sin datos")),"")</f>
        <v/>
      </c>
      <c r="H16" s="93">
        <f>IFERROR(IF(VLOOKUP(B16,Detalle!$A:$AA,$H$1,0)=0,"Sin datos",IFERROR(VLOOKUP(B16,Detalle!$A:$AA,$H$1,0),"Sin datos")),"")</f>
        <v/>
      </c>
      <c r="I16" s="327">
        <f>IFERROR(IF(VLOOKUP(B16,Detalle!$A:$AA,$I$1,0)=0,"Sin datos",IFERROR(VLOOKUP(B16,Detalle!$A:$AA,$I$1,0),"Sin datos")),"")</f>
        <v/>
      </c>
      <c r="J16" s="93">
        <f>IFERROR(IF(VLOOKUP(B16,Detalle!$A:$AA,$J$1,0)=0,"Sin datos",IFERROR(VLOOKUP(B16,Detalle!$A:$AA,$J$1,0),"Sin datos")),"")</f>
        <v/>
      </c>
      <c r="K16" s="98" t="s">
        <v>293</v>
      </c>
      <c r="L16" s="328">
        <f>MIN(E16,G16,I16)</f>
        <v/>
      </c>
      <c r="M16" s="329">
        <f>IFERROR(IF(MIN(H16,J16)=F16,IF(G16=I16,"Escenario 5","Escenario 4"),IF(MIN(H16,J16)&lt;F16,IF(AND(F16-2&lt;=MIN(H16,J16),G16&lt;&gt;I16),"Escenario 1",IF(AND(F16-2&lt;=MIN(H16,J16),G16=I16),"Escenario 2","Escenario 3")),IF(MIN(H16,J16)&gt;F16,IF(AND(F16+2&gt;=MIN(H16,J16),G16=I16),"Escenario 7",IF(AND(F16+2&gt;=MIN(H16,J16),G16&lt;&gt;I16),"Escenario 6",IF(F16+5&lt;=MIN(H16,J16),"Escenario 9","Escenario 8"))),"error"))),"Falta info")</f>
        <v/>
      </c>
      <c r="N16" s="98">
        <f>IFERROR(VLOOKUP(M16,Base!$BJ$28:$BL$36,3,0),0)</f>
        <v/>
      </c>
      <c r="O16" s="330">
        <f>IF(LOOKUP(M16,Base!$X$8:$BG$8)=M16,VLOOKUP(B16,Base!E:BG,N16,0),0)</f>
        <v/>
      </c>
      <c r="P16" s="330" t="n"/>
      <c r="Q16" s="327">
        <f>IFERROR(IF(VLOOKUP(B16,Detalle!$A:$AA,$Q$1,0)=0,"Sin datos",IFERROR(VLOOKUP(B16,Detalle!$A:$AA,$Q$1,0),"Sin datos")),"")</f>
        <v/>
      </c>
      <c r="R16" s="93">
        <f>IFERROR(IF(VLOOKUP(B16,Detalle!$A:$AA,$R$1,0)=0,"Sin datos",IFERROR(VLOOKUP(B16,Detalle!$A:$AA,$R$1,0),"Sin datos")),"")</f>
        <v/>
      </c>
      <c r="S16" s="327">
        <f>IFERROR(IF(VLOOKUP(B16,Detalle!$A:$AA,$S$1,0)=0,"Sin datos",IFERROR(VLOOKUP(B16,Detalle!$A:$AA,$S$1,0),"Sin datos")),"")</f>
        <v/>
      </c>
      <c r="T16" s="93">
        <f>IFERROR(IF(VLOOKUP(B16,Detalle!$A:$AA,$T$1,0)=0,"Sin datos",IFERROR(VLOOKUP(B16,Detalle!$A:$AA,$T$1,0),"Sin datos")),"")</f>
        <v/>
      </c>
      <c r="U16" s="327">
        <f>IFERROR(IF(VLOOKUP(B16,Detalle!$A:$AA,$U$1,0)=0,"Sin datos",IFERROR(VLOOKUP(B16,Detalle!$A:$AA,$U$1,0),"Sin datos")),"")</f>
        <v/>
      </c>
      <c r="V16" s="93">
        <f>IFERROR(IF(VLOOKUP(B16,Detalle!$A:$AA,$V$1,0)=0,"Sin datos",IFERROR(VLOOKUP(B16,Detalle!$A:$AA,$V$1,0),"Sin datos")),"")</f>
        <v/>
      </c>
      <c r="W16" s="98">
        <f>IF(P16="",IF(MIN(Q16,S16,U16)&gt;E16,"Si","No"),IF(MIN(Q16,S16,U16)&gt;P16,"Si","No"))</f>
        <v/>
      </c>
      <c r="X16" s="328">
        <f>MIN(Q16,S16,U16)</f>
        <v/>
      </c>
      <c r="Y16" s="328">
        <f>IFERROR(IF(MIN(T16,V16)=R16,IF(S16=U16,"Escenario 5","Escenario 4"),IF(MIN(T16,V16)&lt;R16,IF(AND(R16-2&lt;=MIN(T16,V16),S16&lt;&gt;U16),"Escenario 1",IF(AND(R16-2&lt;=MIN(T16,V16),S16=U16),"Escenario 2","Escenario 3")),IF(MIN(T16,V16)&gt;R16,IF(AND(R16+2&gt;=MIN(T16,V16),S16=U16),"Escenario 7",IF(AND(R16+2&gt;=MIN(T16,V16),S16&lt;&gt;U16),"Escenario 6",IF(R16+5&lt;=MIN(T16,V16),"Escenario 9","Escenario 8"))),"error"))),"Falta info")</f>
        <v/>
      </c>
      <c r="Z16" s="98">
        <f>IFERROR(VLOOKUP(Y16,Base!$BJ$19:$BL$27,3,0),0)</f>
        <v/>
      </c>
      <c r="AA16" s="330">
        <f>IF(LOOKUP(Y16,Base!$X$8:$BG$8)=Y16,VLOOKUP(B16,Base!E:BG,Z16,0),0)</f>
        <v/>
      </c>
      <c r="AB16" s="330" t="n"/>
      <c r="AC16" s="327">
        <f>IFERROR(IF(VLOOKUP(B16,Detalle!$A:$AA,$AC$1,0)=0,"Sin datos",IFERROR(VLOOKUP(B16,Detalle!$A:$AA,$AC$1,0),"Sin datos")),"")</f>
        <v/>
      </c>
      <c r="AD16" s="93">
        <f>IFERROR(IF(VLOOKUP(B16,Detalle!$A:$AA,$AD$1,0)=0,"Sin datos",IFERROR(VLOOKUP(B16,Detalle!$A:$AA,$AD$1,0),"Sin datos")),"")</f>
        <v/>
      </c>
      <c r="AE16" s="327">
        <f>IFERROR(IF(VLOOKUP(B16,Detalle!$A:$AA,$AE$1,0)=0,"Sin datos",IFERROR(VLOOKUP(B16,Detalle!$A:$AA,$AE$1,0),"Sin datos")),"")</f>
        <v/>
      </c>
      <c r="AF16" s="93">
        <f>IFERROR(IF(VLOOKUP(B16,Detalle!$A:$AA,$AF$1,0)=0,"Sin datos",IFERROR(VLOOKUP(B16,Detalle!$A:$AA,$AF$1,0),"Sin datos")),"")</f>
        <v/>
      </c>
      <c r="AG16" s="327">
        <f>IFERROR(IF(VLOOKUP(B16,Detalle!$A:$AA,$AG$1,0)=0,"Sin datos",IFERROR(VLOOKUP(B16,Detalle!$A:$AA,$AG$1,0),"Sin datos")),"")</f>
        <v/>
      </c>
      <c r="AH16" s="93">
        <f>IFERROR(IF(VLOOKUP(B16,Detalle!$A:$AA,$AH$1,0)=0,"Sin datos",IFERROR(VLOOKUP(B16,Detalle!$A:$AA,$AH$1,0),"Sin datos")),"")</f>
        <v/>
      </c>
      <c r="AI16" s="98">
        <f>IF(AB16="",IF(MIN(AC16,AE16,AG16)&gt;E16,"Si","No"),IF(MIN(AC16,AG16,AG16)&gt;AB16,"Si","No"))</f>
        <v/>
      </c>
      <c r="AJ16" s="328">
        <f>MIN(AC16,AE16,AG16)</f>
        <v/>
      </c>
      <c r="AK16" s="328">
        <f>IFERROR(IF(MIN(AF16,AH16)=AD16,IF(AE16=AG16,"Escenario 5","Escenario 4"),IF(MIN(AF16,AH16)&lt;AD16,IF(AND(AD16-2&lt;=MIN(AF16,AH16),AE16&lt;&gt;AG16),"Escenario 1",IF(AND(AD16-2&lt;=MIN(AF16,AH16),AE16=AG16),"Escenario 2","Escenario 3")),IF(MIN(AF16,AH16)&gt;AD16,IF(AND(AD16+2&gt;=MIN(AF16,AH16),AE16=AG16),"Escenario 7",IF(AND(AD16+2&gt;=MIN(AF16,AH16),AE16&lt;&gt;AG16),"Escenario 6",IF(AD16+5&lt;=MIN(AF16,AH16),"Escenario 9","Escenario 8"))),"error"))),"Falta info")</f>
        <v/>
      </c>
      <c r="AL16" s="98">
        <f>IFERROR(VLOOKUP(AK16,Base!$BJ$37:$BL$45,3,0),0)</f>
        <v/>
      </c>
      <c r="AM16" s="330">
        <f>IF(LOOKUP(AK16,Base!$X$8:$BG$8)=AK16,VLOOKUP(B16,Base!E:BG,AL16,0),0)</f>
        <v/>
      </c>
      <c r="AN16" s="330" t="n"/>
      <c r="AO16" s="331" t="n"/>
      <c r="AP16" s="331">
        <f>IF(AM16&lt;=AA16,"REVISAR!","ok")</f>
        <v/>
      </c>
      <c r="AQ16" s="331" t="n"/>
    </row>
    <row customHeight="1" ht="12.75" r="17" s="183" spans="1:43">
      <c r="B17" s="108" t="s">
        <v>137</v>
      </c>
      <c r="C17" s="89" t="s">
        <v>260</v>
      </c>
      <c r="D17" s="106">
        <f>VLOOKUP(B17,Base!E:G,3,0)</f>
        <v/>
      </c>
      <c r="E17" s="326">
        <f>IFERROR(IF(VLOOKUP(B17,Detalle!$A:$AA,$E$1,0)=0,"Sin datos",IFERROR(VLOOKUP(B17,Detalle!$A:$AA,$E$1,0),"Sin datos")),"")</f>
        <v/>
      </c>
      <c r="F17" s="91">
        <f>IFERROR(IF(VLOOKUP(B17,Detalle!$A:$AA,$F$1,0)=0,"Sin datos",IFERROR(VLOOKUP(B17,Detalle!$A:$AA,$F$1,0),"Sin datos")),"")</f>
        <v/>
      </c>
      <c r="G17" s="327">
        <f>IFERROR(IF(VLOOKUP(B17,Detalle!$A:$AA,$G$1,0)=0,"Sin datos",IFERROR(VLOOKUP(B17,Detalle!$A:$AA,$G$1,0),"Sin datos")),"")</f>
        <v/>
      </c>
      <c r="H17" s="93">
        <f>IFERROR(IF(VLOOKUP(B17,Detalle!$A:$AA,$H$1,0)=0,"Sin datos",IFERROR(VLOOKUP(B17,Detalle!$A:$AA,$H$1,0),"Sin datos")),"")</f>
        <v/>
      </c>
      <c r="I17" s="327">
        <f>IFERROR(IF(VLOOKUP(B17,Detalle!$A:$AA,$I$1,0)=0,"Sin datos",IFERROR(VLOOKUP(B17,Detalle!$A:$AA,$I$1,0),"Sin datos")),"")</f>
        <v/>
      </c>
      <c r="J17" s="93">
        <f>IFERROR(IF(VLOOKUP(B17,Detalle!$A:$AA,$J$1,0)=0,"Sin datos",IFERROR(VLOOKUP(B17,Detalle!$A:$AA,$J$1,0),"Sin datos")),"")</f>
        <v/>
      </c>
      <c r="K17" s="98" t="s">
        <v>293</v>
      </c>
      <c r="L17" s="328">
        <f>MIN(E17,G17,I17)</f>
        <v/>
      </c>
      <c r="M17" s="329">
        <f>IFERROR(IF(MIN(H17,J17)=F17,IF(G17=I17,"Escenario 5","Escenario 4"),IF(MIN(H17,J17)&lt;F17,IF(AND(F17-2&lt;=MIN(H17,J17),G17&lt;&gt;I17),"Escenario 1",IF(AND(F17-2&lt;=MIN(H17,J17),G17=I17),"Escenario 2","Escenario 3")),IF(MIN(H17,J17)&gt;F17,IF(AND(F17+2&gt;=MIN(H17,J17),G17=I17),"Escenario 7",IF(AND(F17+2&gt;=MIN(H17,J17),G17&lt;&gt;I17),"Escenario 6",IF(F17+5&lt;=MIN(H17,J17),"Escenario 9","Escenario 8"))),"error"))),"Falta info")</f>
        <v/>
      </c>
      <c r="N17" s="98">
        <f>IFERROR(VLOOKUP(M17,Base!$BJ$28:$BL$36,3,0),0)</f>
        <v/>
      </c>
      <c r="O17" s="330">
        <f>IF(LOOKUP(M17,Base!$X$8:$BG$8)=M17,VLOOKUP(B17,Base!E:BG,N17,0),0)</f>
        <v/>
      </c>
      <c r="P17" s="330" t="n"/>
      <c r="Q17" s="327">
        <f>IFERROR(IF(VLOOKUP(B17,Detalle!$A:$AA,$Q$1,0)=0,"Sin datos",IFERROR(VLOOKUP(B17,Detalle!$A:$AA,$Q$1,0),"Sin datos")),"")</f>
        <v/>
      </c>
      <c r="R17" s="93">
        <f>IFERROR(IF(VLOOKUP(B17,Detalle!$A:$AA,$R$1,0)=0,"Sin datos",IFERROR(VLOOKUP(B17,Detalle!$A:$AA,$R$1,0),"Sin datos")),"")</f>
        <v/>
      </c>
      <c r="S17" s="327">
        <f>IFERROR(IF(VLOOKUP(B17,Detalle!$A:$AA,$S$1,0)=0,"Sin datos",IFERROR(VLOOKUP(B17,Detalle!$A:$AA,$S$1,0),"Sin datos")),"")</f>
        <v/>
      </c>
      <c r="T17" s="93">
        <f>IFERROR(IF(VLOOKUP(B17,Detalle!$A:$AA,$T$1,0)=0,"Sin datos",IFERROR(VLOOKUP(B17,Detalle!$A:$AA,$T$1,0),"Sin datos")),"")</f>
        <v/>
      </c>
      <c r="U17" s="327">
        <f>IFERROR(IF(VLOOKUP(B17,Detalle!$A:$AA,$U$1,0)=0,"Sin datos",IFERROR(VLOOKUP(B17,Detalle!$A:$AA,$U$1,0),"Sin datos")),"")</f>
        <v/>
      </c>
      <c r="V17" s="93">
        <f>IFERROR(IF(VLOOKUP(B17,Detalle!$A:$AA,$V$1,0)=0,"Sin datos",IFERROR(VLOOKUP(B17,Detalle!$A:$AA,$V$1,0),"Sin datos")),"")</f>
        <v/>
      </c>
      <c r="W17" s="98">
        <f>IF(P17="",IF(MIN(Q17,S17,U17)&gt;E17,"Si","No"),IF(MIN(Q17,S17,U17)&gt;P17,"Si","No"))</f>
        <v/>
      </c>
      <c r="X17" s="328">
        <f>MIN(Q17,S17,U17)</f>
        <v/>
      </c>
      <c r="Y17" s="328">
        <f>IFERROR(IF(MIN(T17,V17)=R17,IF(S17=U17,"Escenario 5","Escenario 4"),IF(MIN(T17,V17)&lt;R17,IF(AND(R17-2&lt;=MIN(T17,V17),S17&lt;&gt;U17),"Escenario 1",IF(AND(R17-2&lt;=MIN(T17,V17),S17=U17),"Escenario 2","Escenario 3")),IF(MIN(T17,V17)&gt;R17,IF(AND(R17+2&gt;=MIN(T17,V17),S17=U17),"Escenario 7",IF(AND(R17+2&gt;=MIN(T17,V17),S17&lt;&gt;U17),"Escenario 6",IF(R17+5&lt;=MIN(T17,V17),"Escenario 9","Escenario 8"))),"error"))),"Falta info")</f>
        <v/>
      </c>
      <c r="Z17" s="98">
        <f>IFERROR(VLOOKUP(Y17,Base!$BJ$19:$BL$27,3,0),0)</f>
        <v/>
      </c>
      <c r="AA17" s="330">
        <f>IF(LOOKUP(Y17,Base!$X$8:$BG$8)=Y17,VLOOKUP(B17,Base!E:BG,Z17,0),0)</f>
        <v/>
      </c>
      <c r="AB17" s="330" t="n"/>
      <c r="AC17" s="327">
        <f>IFERROR(IF(VLOOKUP(B17,Detalle!$A:$AA,$AC$1,0)=0,"Sin datos",IFERROR(VLOOKUP(B17,Detalle!$A:$AA,$AC$1,0),"Sin datos")),"")</f>
        <v/>
      </c>
      <c r="AD17" s="93">
        <f>IFERROR(IF(VLOOKUP(B17,Detalle!$A:$AA,$AD$1,0)=0,"Sin datos",IFERROR(VLOOKUP(B17,Detalle!$A:$AA,$AD$1,0),"Sin datos")),"")</f>
        <v/>
      </c>
      <c r="AE17" s="327">
        <f>IFERROR(IF(VLOOKUP(B17,Detalle!$A:$AA,$AE$1,0)=0,"Sin datos",IFERROR(VLOOKUP(B17,Detalle!$A:$AA,$AE$1,0),"Sin datos")),"")</f>
        <v/>
      </c>
      <c r="AF17" s="93">
        <f>IFERROR(IF(VLOOKUP(B17,Detalle!$A:$AA,$AF$1,0)=0,"Sin datos",IFERROR(VLOOKUP(B17,Detalle!$A:$AA,$AF$1,0),"Sin datos")),"")</f>
        <v/>
      </c>
      <c r="AG17" s="327">
        <f>IFERROR(IF(VLOOKUP(B17,Detalle!$A:$AA,$AG$1,0)=0,"Sin datos",IFERROR(VLOOKUP(B17,Detalle!$A:$AA,$AG$1,0),"Sin datos")),"")</f>
        <v/>
      </c>
      <c r="AH17" s="93">
        <f>IFERROR(IF(VLOOKUP(B17,Detalle!$A:$AA,$AH$1,0)=0,"Sin datos",IFERROR(VLOOKUP(B17,Detalle!$A:$AA,$AH$1,0),"Sin datos")),"")</f>
        <v/>
      </c>
      <c r="AI17" s="98">
        <f>IF(AB17="",IF(MIN(AC17,AE17,AG17)&gt;E17,"Si","No"),IF(MIN(AC17,AG17,AG17)&gt;AB17,"Si","No"))</f>
        <v/>
      </c>
      <c r="AJ17" s="328">
        <f>MIN(AC17,AE17,AG17)</f>
        <v/>
      </c>
      <c r="AK17" s="328">
        <f>IFERROR(IF(MIN(AF17,AH17)=AD17,IF(AE17=AG17,"Escenario 5","Escenario 4"),IF(MIN(AF17,AH17)&lt;AD17,IF(AND(AD17-2&lt;=MIN(AF17,AH17),AE17&lt;&gt;AG17),"Escenario 1",IF(AND(AD17-2&lt;=MIN(AF17,AH17),AE17=AG17),"Escenario 2","Escenario 3")),IF(MIN(AF17,AH17)&gt;AD17,IF(AND(AD17+2&gt;=MIN(AF17,AH17),AE17=AG17),"Escenario 7",IF(AND(AD17+2&gt;=MIN(AF17,AH17),AE17&lt;&gt;AG17),"Escenario 6",IF(AD17+5&lt;=MIN(AF17,AH17),"Escenario 9","Escenario 8"))),"error"))),"Falta info")</f>
        <v/>
      </c>
      <c r="AL17" s="98">
        <f>IFERROR(VLOOKUP(AK17,Base!$BJ$37:$BL$45,3,0),0)</f>
        <v/>
      </c>
      <c r="AM17" s="330">
        <f>IF(LOOKUP(AK17,Base!$X$8:$BG$8)=AK17,VLOOKUP(B17,Base!E:BG,AL17,0),0)</f>
        <v/>
      </c>
      <c r="AN17" s="330" t="n"/>
      <c r="AO17" s="331" t="n"/>
      <c r="AP17" s="331">
        <f>IF(AM17&lt;=AA17,"REVISAR!","ok")</f>
        <v/>
      </c>
      <c r="AQ17" s="331" t="n"/>
    </row>
    <row customHeight="1" ht="12.95" r="18" s="183" spans="1:43">
      <c r="B18" s="108" t="s">
        <v>109</v>
      </c>
      <c r="C18" s="89" t="s">
        <v>258</v>
      </c>
      <c r="D18" s="106">
        <f>VLOOKUP(B18,Base!E:G,3,0)</f>
        <v/>
      </c>
      <c r="E18" s="326">
        <f>IFERROR(IF(VLOOKUP(B18,Detalle!$A:$AA,$E$1,0)=0,"Sin datos",IFERROR(VLOOKUP(B18,Detalle!$A:$AA,$E$1,0),"Sin datos")),"")</f>
        <v/>
      </c>
      <c r="F18" s="91">
        <f>IFERROR(IF(VLOOKUP(B18,Detalle!$A:$AA,$F$1,0)=0,"Sin datos",IFERROR(VLOOKUP(B18,Detalle!$A:$AA,$F$1,0),"Sin datos")),"")</f>
        <v/>
      </c>
      <c r="G18" s="327">
        <f>IFERROR(IF(VLOOKUP(B18,Detalle!$A:$AA,$G$1,0)=0,"Sin datos",IFERROR(VLOOKUP(B18,Detalle!$A:$AA,$G$1,0),"Sin datos")),"")</f>
        <v/>
      </c>
      <c r="H18" s="93">
        <f>IFERROR(IF(VLOOKUP(B18,Detalle!$A:$AA,$H$1,0)=0,"Sin datos",IFERROR(VLOOKUP(B18,Detalle!$A:$AA,$H$1,0),"Sin datos")),"")</f>
        <v/>
      </c>
      <c r="I18" s="327">
        <f>IFERROR(IF(VLOOKUP(B18,Detalle!$A:$AA,$I$1,0)=0,"Sin datos",IFERROR(VLOOKUP(B18,Detalle!$A:$AA,$I$1,0),"Sin datos")),"")</f>
        <v/>
      </c>
      <c r="J18" s="93">
        <f>IFERROR(IF(VLOOKUP(B18,Detalle!$A:$AA,$J$1,0)=0,"Sin datos",IFERROR(VLOOKUP(B18,Detalle!$A:$AA,$J$1,0),"Sin datos")),"")</f>
        <v/>
      </c>
      <c r="K18" s="98" t="s">
        <v>293</v>
      </c>
      <c r="L18" s="328">
        <f>MIN(E18,G18,I18)</f>
        <v/>
      </c>
      <c r="M18" s="329">
        <f>IFERROR(IF(MIN(H18,J18)=F18,IF(G18=I18,"Escenario 5","Escenario 4"),IF(MIN(H18,J18)&lt;F18,IF(AND(F18-2&lt;=MIN(H18,J18),G18&lt;&gt;I18),"Escenario 1",IF(AND(F18-2&lt;=MIN(H18,J18),G18=I18),"Escenario 2","Escenario 3")),IF(MIN(H18,J18)&gt;F18,IF(AND(F18+2&gt;=MIN(H18,J18),G18=I18),"Escenario 7",IF(AND(F18+2&gt;=MIN(H18,J18),G18&lt;&gt;I18),"Escenario 6",IF(F18+5&lt;=MIN(H18,J18),"Escenario 9","Escenario 8"))),"error"))),"Falta info")</f>
        <v/>
      </c>
      <c r="N18" s="98">
        <f>IFERROR(VLOOKUP(M18,Base!$BJ$28:$BL$36,3,0),0)</f>
        <v/>
      </c>
      <c r="O18" s="330">
        <f>IF(LOOKUP(M18,Base!$X$8:$BG$8)=M18,VLOOKUP(B18,Base!E:BG,N18,0),0)</f>
        <v/>
      </c>
      <c r="P18" s="330" t="n"/>
      <c r="Q18" s="327">
        <f>IFERROR(IF(VLOOKUP(B18,Detalle!$A:$AA,$Q$1,0)=0,"Sin datos",IFERROR(VLOOKUP(B18,Detalle!$A:$AA,$Q$1,0),"Sin datos")),"")</f>
        <v/>
      </c>
      <c r="R18" s="93">
        <f>IFERROR(IF(VLOOKUP(B18,Detalle!$A:$AA,$R$1,0)=0,"Sin datos",IFERROR(VLOOKUP(B18,Detalle!$A:$AA,$R$1,0),"Sin datos")),"")</f>
        <v/>
      </c>
      <c r="S18" s="327">
        <f>IFERROR(IF(VLOOKUP(B18,Detalle!$A:$AA,$S$1,0)=0,"Sin datos",IFERROR(VLOOKUP(B18,Detalle!$A:$AA,$S$1,0),"Sin datos")),"")</f>
        <v/>
      </c>
      <c r="T18" s="93">
        <f>IFERROR(IF(VLOOKUP(B18,Detalle!$A:$AA,$T$1,0)=0,"Sin datos",IFERROR(VLOOKUP(B18,Detalle!$A:$AA,$T$1,0),"Sin datos")),"")</f>
        <v/>
      </c>
      <c r="U18" s="327">
        <f>IFERROR(IF(VLOOKUP(B18,Detalle!$A:$AA,$U$1,0)=0,"Sin datos",IFERROR(VLOOKUP(B18,Detalle!$A:$AA,$U$1,0),"Sin datos")),"")</f>
        <v/>
      </c>
      <c r="V18" s="93">
        <f>IFERROR(IF(VLOOKUP(B18,Detalle!$A:$AA,$V$1,0)=0,"Sin datos",IFERROR(VLOOKUP(B18,Detalle!$A:$AA,$V$1,0),"Sin datos")),"")</f>
        <v/>
      </c>
      <c r="W18" s="98">
        <f>IF(P18="",IF(MIN(Q18,S18,U18)&gt;E18,"Si","No"),IF(MIN(Q18,S18,U18)&gt;P18,"Si","No"))</f>
        <v/>
      </c>
      <c r="X18" s="328">
        <f>MIN(Q18,S18,U18)</f>
        <v/>
      </c>
      <c r="Y18" s="328">
        <f>IFERROR(IF(MIN(T18,V18)=R18,IF(S18=U18,"Escenario 5","Escenario 4"),IF(MIN(T18,V18)&lt;R18,IF(AND(R18-2&lt;=MIN(T18,V18),S18&lt;&gt;U18),"Escenario 1",IF(AND(R18-2&lt;=MIN(T18,V18),S18=U18),"Escenario 2","Escenario 3")),IF(MIN(T18,V18)&gt;R18,IF(AND(R18+2&gt;=MIN(T18,V18),S18=U18),"Escenario 7",IF(AND(R18+2&gt;=MIN(T18,V18),S18&lt;&gt;U18),"Escenario 6",IF(R18+5&lt;=MIN(T18,V18),"Escenario 9","Escenario 8"))),"error"))),"Falta info")</f>
        <v/>
      </c>
      <c r="Z18" s="98">
        <f>IFERROR(VLOOKUP(Y18,Base!$BJ$19:$BL$27,3,0),0)</f>
        <v/>
      </c>
      <c r="AA18" s="330">
        <f>IF(LOOKUP(Y18,Base!$X$8:$BG$8)=Y18,VLOOKUP(B18,Base!E:BG,Z18,0),0)</f>
        <v/>
      </c>
      <c r="AB18" s="330" t="n"/>
      <c r="AC18" s="327">
        <f>IFERROR(IF(VLOOKUP(B18,Detalle!$A:$AA,$AC$1,0)=0,"Sin datos",IFERROR(VLOOKUP(B18,Detalle!$A:$AA,$AC$1,0),"Sin datos")),"")</f>
        <v/>
      </c>
      <c r="AD18" s="93">
        <f>IFERROR(IF(VLOOKUP(B18,Detalle!$A:$AA,$AD$1,0)=0,"Sin datos",IFERROR(VLOOKUP(B18,Detalle!$A:$AA,$AD$1,0),"Sin datos")),"")</f>
        <v/>
      </c>
      <c r="AE18" s="327">
        <f>IFERROR(IF(VLOOKUP(B18,Detalle!$A:$AA,$AE$1,0)=0,"Sin datos",IFERROR(VLOOKUP(B18,Detalle!$A:$AA,$AE$1,0),"Sin datos")),"")</f>
        <v/>
      </c>
      <c r="AF18" s="93">
        <f>IFERROR(IF(VLOOKUP(B18,Detalle!$A:$AA,$AF$1,0)=0,"Sin datos",IFERROR(VLOOKUP(B18,Detalle!$A:$AA,$AF$1,0),"Sin datos")),"")</f>
        <v/>
      </c>
      <c r="AG18" s="327">
        <f>IFERROR(IF(VLOOKUP(B18,Detalle!$A:$AA,$AG$1,0)=0,"Sin datos",IFERROR(VLOOKUP(B18,Detalle!$A:$AA,$AG$1,0),"Sin datos")),"")</f>
        <v/>
      </c>
      <c r="AH18" s="93">
        <f>IFERROR(IF(VLOOKUP(B18,Detalle!$A:$AA,$AH$1,0)=0,"Sin datos",IFERROR(VLOOKUP(B18,Detalle!$A:$AA,$AH$1,0),"Sin datos")),"")</f>
        <v/>
      </c>
      <c r="AI18" s="98">
        <f>IF(AB18="",IF(MIN(AC18,AE18,AG18)&gt;E18,"Si","No"),IF(MIN(AC18,AG18,AG18)&gt;AB18,"Si","No"))</f>
        <v/>
      </c>
      <c r="AJ18" s="328">
        <f>MIN(AC18,AE18,AG18)</f>
        <v/>
      </c>
      <c r="AK18" s="328">
        <f>IFERROR(IF(MIN(AF18,AH18)=AD18,IF(AE18=AG18,"Escenario 5","Escenario 4"),IF(MIN(AF18,AH18)&lt;AD18,IF(AND(AD18-2&lt;=MIN(AF18,AH18),AE18&lt;&gt;AG18),"Escenario 1",IF(AND(AD18-2&lt;=MIN(AF18,AH18),AE18=AG18),"Escenario 2","Escenario 3")),IF(MIN(AF18,AH18)&gt;AD18,IF(AND(AD18+2&gt;=MIN(AF18,AH18),AE18=AG18),"Escenario 7",IF(AND(AD18+2&gt;=MIN(AF18,AH18),AE18&lt;&gt;AG18),"Escenario 6",IF(AD18+5&lt;=MIN(AF18,AH18),"Escenario 9","Escenario 8"))),"error"))),"Falta info")</f>
        <v/>
      </c>
      <c r="AL18" s="98">
        <f>IFERROR(VLOOKUP(AK18,Base!$BJ$37:$BL$45,3,0),0)</f>
        <v/>
      </c>
      <c r="AM18" s="330">
        <f>IF(LOOKUP(AK18,Base!$X$8:$BG$8)=AK18,VLOOKUP(B18,Base!E:BG,AL18,0),0)</f>
        <v/>
      </c>
      <c r="AN18" s="330" t="n">
        <v>11990</v>
      </c>
      <c r="AO18" s="331" t="n"/>
      <c r="AP18" s="331">
        <f>IF(AM18&lt;=AA18,"REVISAR!","ok")</f>
        <v/>
      </c>
      <c r="AQ18" s="331" t="n"/>
    </row>
    <row customHeight="1" ht="12.95" r="19" s="183" spans="1:43">
      <c r="B19" s="108" t="s">
        <v>139</v>
      </c>
      <c r="C19" s="89" t="s">
        <v>260</v>
      </c>
      <c r="D19" s="106">
        <f>VLOOKUP(B19,Base!E:G,3,0)</f>
        <v/>
      </c>
      <c r="E19" s="326">
        <f>IFERROR(IF(VLOOKUP(B19,Detalle!$A:$AA,$E$1,0)=0,"Sin datos",IFERROR(VLOOKUP(B19,Detalle!$A:$AA,$E$1,0),"Sin datos")),"")</f>
        <v/>
      </c>
      <c r="F19" s="91">
        <f>IFERROR(IF(VLOOKUP(B19,Detalle!$A:$AA,$F$1,0)=0,"Sin datos",IFERROR(VLOOKUP(B19,Detalle!$A:$AA,$F$1,0),"Sin datos")),"")</f>
        <v/>
      </c>
      <c r="G19" s="327">
        <f>IFERROR(IF(VLOOKUP(B19,Detalle!$A:$AA,$G$1,0)=0,"Sin datos",IFERROR(VLOOKUP(B19,Detalle!$A:$AA,$G$1,0),"Sin datos")),"")</f>
        <v/>
      </c>
      <c r="H19" s="93">
        <f>IFERROR(IF(VLOOKUP(B19,Detalle!$A:$AA,$H$1,0)=0,"Sin datos",IFERROR(VLOOKUP(B19,Detalle!$A:$AA,$H$1,0),"Sin datos")),"")</f>
        <v/>
      </c>
      <c r="I19" s="327">
        <f>IFERROR(IF(VLOOKUP(B19,Detalle!$A:$AA,$I$1,0)=0,"Sin datos",IFERROR(VLOOKUP(B19,Detalle!$A:$AA,$I$1,0),"Sin datos")),"")</f>
        <v/>
      </c>
      <c r="J19" s="93">
        <f>IFERROR(IF(VLOOKUP(B19,Detalle!$A:$AA,$J$1,0)=0,"Sin datos",IFERROR(VLOOKUP(B19,Detalle!$A:$AA,$J$1,0),"Sin datos")),"")</f>
        <v/>
      </c>
      <c r="K19" s="98" t="s">
        <v>293</v>
      </c>
      <c r="L19" s="328">
        <f>MIN(E19,G19,I19)</f>
        <v/>
      </c>
      <c r="M19" s="329">
        <f>IFERROR(IF(MIN(H19,J19)=F19,IF(G19=I19,"Escenario 5","Escenario 4"),IF(MIN(H19,J19)&lt;F19,IF(AND(F19-2&lt;=MIN(H19,J19),G19&lt;&gt;I19),"Escenario 1",IF(AND(F19-2&lt;=MIN(H19,J19),G19=I19),"Escenario 2","Escenario 3")),IF(MIN(H19,J19)&gt;F19,IF(AND(F19+2&gt;=MIN(H19,J19),G19=I19),"Escenario 7",IF(AND(F19+2&gt;=MIN(H19,J19),G19&lt;&gt;I19),"Escenario 6",IF(F19+5&lt;=MIN(H19,J19),"Escenario 9","Escenario 8"))),"error"))),"Falta info")</f>
        <v/>
      </c>
      <c r="N19" s="98">
        <f>IFERROR(VLOOKUP(M19,Base!$BJ$28:$BL$36,3,0),0)</f>
        <v/>
      </c>
      <c r="O19" s="330">
        <f>IF(LOOKUP(M19,Base!$X$8:$BG$8)=M19,VLOOKUP(B19,Base!E:BG,N19,0),0)</f>
        <v/>
      </c>
      <c r="P19" s="330" t="n"/>
      <c r="Q19" s="327">
        <f>IFERROR(IF(VLOOKUP(B19,Detalle!$A:$AA,$Q$1,0)=0,"Sin datos",IFERROR(VLOOKUP(B19,Detalle!$A:$AA,$Q$1,0),"Sin datos")),"")</f>
        <v/>
      </c>
      <c r="R19" s="93">
        <f>IFERROR(IF(VLOOKUP(B19,Detalle!$A:$AA,$R$1,0)=0,"Sin datos",IFERROR(VLOOKUP(B19,Detalle!$A:$AA,$R$1,0),"Sin datos")),"")</f>
        <v/>
      </c>
      <c r="S19" s="327">
        <f>IFERROR(IF(VLOOKUP(B19,Detalle!$A:$AA,$S$1,0)=0,"Sin datos",IFERROR(VLOOKUP(B19,Detalle!$A:$AA,$S$1,0),"Sin datos")),"")</f>
        <v/>
      </c>
      <c r="T19" s="93">
        <f>IFERROR(IF(VLOOKUP(B19,Detalle!$A:$AA,$T$1,0)=0,"Sin datos",IFERROR(VLOOKUP(B19,Detalle!$A:$AA,$T$1,0),"Sin datos")),"")</f>
        <v/>
      </c>
      <c r="U19" s="327">
        <f>IFERROR(IF(VLOOKUP(B19,Detalle!$A:$AA,$U$1,0)=0,"Sin datos",IFERROR(VLOOKUP(B19,Detalle!$A:$AA,$U$1,0),"Sin datos")),"")</f>
        <v/>
      </c>
      <c r="V19" s="93">
        <f>IFERROR(IF(VLOOKUP(B19,Detalle!$A:$AA,$V$1,0)=0,"Sin datos",IFERROR(VLOOKUP(B19,Detalle!$A:$AA,$V$1,0),"Sin datos")),"")</f>
        <v/>
      </c>
      <c r="W19" s="98">
        <f>IF(P19="",IF(MIN(Q19,S19,U19)&gt;E19,"Si","No"),IF(MIN(Q19,S19,U19)&gt;P19,"Si","No"))</f>
        <v/>
      </c>
      <c r="X19" s="328">
        <f>MIN(Q19,S19,U19)</f>
        <v/>
      </c>
      <c r="Y19" s="328">
        <f>IFERROR(IF(MIN(T19,V19)=R19,IF(S19=U19,"Escenario 5","Escenario 4"),IF(MIN(T19,V19)&lt;R19,IF(AND(R19-2&lt;=MIN(T19,V19),S19&lt;&gt;U19),"Escenario 1",IF(AND(R19-2&lt;=MIN(T19,V19),S19=U19),"Escenario 2","Escenario 3")),IF(MIN(T19,V19)&gt;R19,IF(AND(R19+2&gt;=MIN(T19,V19),S19=U19),"Escenario 7",IF(AND(R19+2&gt;=MIN(T19,V19),S19&lt;&gt;U19),"Escenario 6",IF(R19+5&lt;=MIN(T19,V19),"Escenario 9","Escenario 8"))),"error"))),"Falta info")</f>
        <v/>
      </c>
      <c r="Z19" s="98">
        <f>IFERROR(VLOOKUP(Y19,Base!$BJ$19:$BL$27,3,0),0)</f>
        <v/>
      </c>
      <c r="AA19" s="330">
        <f>IF(LOOKUP(Y19,Base!$X$8:$BG$8)=Y19,VLOOKUP(B19,Base!E:BG,Z19,0),0)</f>
        <v/>
      </c>
      <c r="AB19" s="330" t="n"/>
      <c r="AC19" s="327">
        <f>IFERROR(IF(VLOOKUP(B19,Detalle!$A:$AA,$AC$1,0)=0,"Sin datos",IFERROR(VLOOKUP(B19,Detalle!$A:$AA,$AC$1,0),"Sin datos")),"")</f>
        <v/>
      </c>
      <c r="AD19" s="93">
        <f>IFERROR(IF(VLOOKUP(B19,Detalle!$A:$AA,$AD$1,0)=0,"Sin datos",IFERROR(VLOOKUP(B19,Detalle!$A:$AA,$AD$1,0),"Sin datos")),"")</f>
        <v/>
      </c>
      <c r="AE19" s="327">
        <f>IFERROR(IF(VLOOKUP(B19,Detalle!$A:$AA,$AE$1,0)=0,"Sin datos",IFERROR(VLOOKUP(B19,Detalle!$A:$AA,$AE$1,0),"Sin datos")),"")</f>
        <v/>
      </c>
      <c r="AF19" s="93">
        <f>IFERROR(IF(VLOOKUP(B19,Detalle!$A:$AA,$AF$1,0)=0,"Sin datos",IFERROR(VLOOKUP(B19,Detalle!$A:$AA,$AF$1,0),"Sin datos")),"")</f>
        <v/>
      </c>
      <c r="AG19" s="327">
        <f>IFERROR(IF(VLOOKUP(B19,Detalle!$A:$AA,$AG$1,0)=0,"Sin datos",IFERROR(VLOOKUP(B19,Detalle!$A:$AA,$AG$1,0),"Sin datos")),"")</f>
        <v/>
      </c>
      <c r="AH19" s="93">
        <f>IFERROR(IF(VLOOKUP(B19,Detalle!$A:$AA,$AH$1,0)=0,"Sin datos",IFERROR(VLOOKUP(B19,Detalle!$A:$AA,$AH$1,0),"Sin datos")),"")</f>
        <v/>
      </c>
      <c r="AI19" s="98">
        <f>IF(AB19="",IF(MIN(AC19,AE19,AG19)&gt;E19,"Si","No"),IF(MIN(AC19,AG19,AG19)&gt;AB19,"Si","No"))</f>
        <v/>
      </c>
      <c r="AJ19" s="328">
        <f>MIN(AC19,AE19,AG19)</f>
        <v/>
      </c>
      <c r="AK19" s="328">
        <f>IFERROR(IF(MIN(AF19,AH19)=AD19,IF(AE19=AG19,"Escenario 5","Escenario 4"),IF(MIN(AF19,AH19)&lt;AD19,IF(AND(AD19-2&lt;=MIN(AF19,AH19),AE19&lt;&gt;AG19),"Escenario 1",IF(AND(AD19-2&lt;=MIN(AF19,AH19),AE19=AG19),"Escenario 2","Escenario 3")),IF(MIN(AF19,AH19)&gt;AD19,IF(AND(AD19+2&gt;=MIN(AF19,AH19),AE19=AG19),"Escenario 7",IF(AND(AD19+2&gt;=MIN(AF19,AH19),AE19&lt;&gt;AG19),"Escenario 6",IF(AD19+5&lt;=MIN(AF19,AH19),"Escenario 9","Escenario 8"))),"error"))),"Falta info")</f>
        <v/>
      </c>
      <c r="AL19" s="98">
        <f>IFERROR(VLOOKUP(AK19,Base!$BJ$37:$BL$45,3,0),0)</f>
        <v/>
      </c>
      <c r="AM19" s="330">
        <f>IF(LOOKUP(AK19,Base!$X$8:$BG$8)=AK19,VLOOKUP(B19,Base!E:BG,AL19,0),0)</f>
        <v/>
      </c>
      <c r="AN19" s="330" t="n"/>
      <c r="AO19" s="331" t="n"/>
      <c r="AP19" s="331">
        <f>IF(AM19&lt;=AA19,"REVISAR!","ok")</f>
        <v/>
      </c>
      <c r="AQ19" s="331" t="n"/>
    </row>
    <row customHeight="1" ht="12.95" r="20" s="183" spans="1:43">
      <c r="B20" s="108" t="s">
        <v>122</v>
      </c>
      <c r="C20" s="89" t="s">
        <v>260</v>
      </c>
      <c r="D20" s="106">
        <f>VLOOKUP(B20,Base!E:G,3,0)</f>
        <v/>
      </c>
      <c r="E20" s="326">
        <f>IFERROR(IF(VLOOKUP(B20,Detalle!$A:$AA,$E$1,0)=0,"Sin datos",IFERROR(VLOOKUP(B20,Detalle!$A:$AA,$E$1,0),"Sin datos")),"")</f>
        <v/>
      </c>
      <c r="F20" s="91">
        <f>IFERROR(IF(VLOOKUP(B20,Detalle!$A:$AA,$F$1,0)=0,"Sin datos",IFERROR(VLOOKUP(B20,Detalle!$A:$AA,$F$1,0),"Sin datos")),"")</f>
        <v/>
      </c>
      <c r="G20" s="327">
        <f>IFERROR(IF(VLOOKUP(B20,Detalle!$A:$AA,$G$1,0)=0,"Sin datos",IFERROR(VLOOKUP(B20,Detalle!$A:$AA,$G$1,0),"Sin datos")),"")</f>
        <v/>
      </c>
      <c r="H20" s="93">
        <f>IFERROR(IF(VLOOKUP(B20,Detalle!$A:$AA,$H$1,0)=0,"Sin datos",IFERROR(VLOOKUP(B20,Detalle!$A:$AA,$H$1,0),"Sin datos")),"")</f>
        <v/>
      </c>
      <c r="I20" s="327">
        <f>IFERROR(IF(VLOOKUP(B20,Detalle!$A:$AA,$I$1,0)=0,"Sin datos",IFERROR(VLOOKUP(B20,Detalle!$A:$AA,$I$1,0),"Sin datos")),"")</f>
        <v/>
      </c>
      <c r="J20" s="93">
        <f>IFERROR(IF(VLOOKUP(B20,Detalle!$A:$AA,$J$1,0)=0,"Sin datos",IFERROR(VLOOKUP(B20,Detalle!$A:$AA,$J$1,0),"Sin datos")),"")</f>
        <v/>
      </c>
      <c r="K20" s="98" t="s">
        <v>293</v>
      </c>
      <c r="L20" s="328">
        <f>MIN(E20,G20,I20)</f>
        <v/>
      </c>
      <c r="M20" s="329">
        <f>IFERROR(IF(MIN(H20,J20)=F20,IF(G20=I20,"Escenario 5","Escenario 4"),IF(MIN(H20,J20)&lt;F20,IF(AND(F20-2&lt;=MIN(H20,J20),G20&lt;&gt;I20),"Escenario 1",IF(AND(F20-2&lt;=MIN(H20,J20),G20=I20),"Escenario 2","Escenario 3")),IF(MIN(H20,J20)&gt;F20,IF(AND(F20+2&gt;=MIN(H20,J20),G20=I20),"Escenario 7",IF(AND(F20+2&gt;=MIN(H20,J20),G20&lt;&gt;I20),"Escenario 6",IF(F20+5&lt;=MIN(H20,J20),"Escenario 9","Escenario 8"))),"error"))),"Falta info")</f>
        <v/>
      </c>
      <c r="N20" s="98">
        <f>IFERROR(VLOOKUP(M20,Base!$BJ$28:$BL$36,3,0),0)</f>
        <v/>
      </c>
      <c r="O20" s="330">
        <f>IF(LOOKUP(M20,Base!$X$8:$BG$8)=M20,VLOOKUP(B20,Base!E:BG,N20,0),0)</f>
        <v/>
      </c>
      <c r="P20" s="330" t="n"/>
      <c r="Q20" s="327">
        <f>IFERROR(IF(VLOOKUP(B20,Detalle!$A:$AA,$Q$1,0)=0,"Sin datos",IFERROR(VLOOKUP(B20,Detalle!$A:$AA,$Q$1,0),"Sin datos")),"")</f>
        <v/>
      </c>
      <c r="R20" s="93">
        <f>IFERROR(IF(VLOOKUP(B20,Detalle!$A:$AA,$R$1,0)=0,"Sin datos",IFERROR(VLOOKUP(B20,Detalle!$A:$AA,$R$1,0),"Sin datos")),"")</f>
        <v/>
      </c>
      <c r="S20" s="327">
        <f>IFERROR(IF(VLOOKUP(B20,Detalle!$A:$AA,$S$1,0)=0,"Sin datos",IFERROR(VLOOKUP(B20,Detalle!$A:$AA,$S$1,0),"Sin datos")),"")</f>
        <v/>
      </c>
      <c r="T20" s="93">
        <f>IFERROR(IF(VLOOKUP(B20,Detalle!$A:$AA,$T$1,0)=0,"Sin datos",IFERROR(VLOOKUP(B20,Detalle!$A:$AA,$T$1,0),"Sin datos")),"")</f>
        <v/>
      </c>
      <c r="U20" s="327">
        <f>IFERROR(IF(VLOOKUP(B20,Detalle!$A:$AA,$U$1,0)=0,"Sin datos",IFERROR(VLOOKUP(B20,Detalle!$A:$AA,$U$1,0),"Sin datos")),"")</f>
        <v/>
      </c>
      <c r="V20" s="93">
        <f>IFERROR(IF(VLOOKUP(B20,Detalle!$A:$AA,$V$1,0)=0,"Sin datos",IFERROR(VLOOKUP(B20,Detalle!$A:$AA,$V$1,0),"Sin datos")),"")</f>
        <v/>
      </c>
      <c r="W20" s="98">
        <f>IF(P20="",IF(MIN(Q20,S20,U20)&gt;E20,"Si","No"),IF(MIN(Q20,S20,U20)&gt;P20,"Si","No"))</f>
        <v/>
      </c>
      <c r="X20" s="328">
        <f>MIN(Q20,S20,U20)</f>
        <v/>
      </c>
      <c r="Y20" s="328">
        <f>IFERROR(IF(MIN(T20,V20)=R20,IF(S20=U20,"Escenario 5","Escenario 4"),IF(MIN(T20,V20)&lt;R20,IF(AND(R20-2&lt;=MIN(T20,V20),S20&lt;&gt;U20),"Escenario 1",IF(AND(R20-2&lt;=MIN(T20,V20),S20=U20),"Escenario 2","Escenario 3")),IF(MIN(T20,V20)&gt;R20,IF(AND(R20+2&gt;=MIN(T20,V20),S20=U20),"Escenario 7",IF(AND(R20+2&gt;=MIN(T20,V20),S20&lt;&gt;U20),"Escenario 6",IF(R20+5&lt;=MIN(T20,V20),"Escenario 9","Escenario 8"))),"error"))),"Falta info")</f>
        <v/>
      </c>
      <c r="Z20" s="98">
        <f>IFERROR(VLOOKUP(Y20,Base!$BJ$19:$BL$27,3,0),0)</f>
        <v/>
      </c>
      <c r="AA20" s="330">
        <f>IF(LOOKUP(Y20,Base!$X$8:$BG$8)=Y20,VLOOKUP(B20,Base!E:BG,Z20,0),0)</f>
        <v/>
      </c>
      <c r="AB20" s="330" t="n"/>
      <c r="AC20" s="327">
        <f>IFERROR(IF(VLOOKUP(B20,Detalle!$A:$AA,$AC$1,0)=0,"Sin datos",IFERROR(VLOOKUP(B20,Detalle!$A:$AA,$AC$1,0),"Sin datos")),"")</f>
        <v/>
      </c>
      <c r="AD20" s="93">
        <f>IFERROR(IF(VLOOKUP(B20,Detalle!$A:$AA,$AD$1,0)=0,"Sin datos",IFERROR(VLOOKUP(B20,Detalle!$A:$AA,$AD$1,0),"Sin datos")),"")</f>
        <v/>
      </c>
      <c r="AE20" s="327">
        <f>IFERROR(IF(VLOOKUP(B20,Detalle!$A:$AA,$AE$1,0)=0,"Sin datos",IFERROR(VLOOKUP(B20,Detalle!$A:$AA,$AE$1,0),"Sin datos")),"")</f>
        <v/>
      </c>
      <c r="AF20" s="93">
        <f>IFERROR(IF(VLOOKUP(B20,Detalle!$A:$AA,$AF$1,0)=0,"Sin datos",IFERROR(VLOOKUP(B20,Detalle!$A:$AA,$AF$1,0),"Sin datos")),"")</f>
        <v/>
      </c>
      <c r="AG20" s="327">
        <f>IFERROR(IF(VLOOKUP(B20,Detalle!$A:$AA,$AG$1,0)=0,"Sin datos",IFERROR(VLOOKUP(B20,Detalle!$A:$AA,$AG$1,0),"Sin datos")),"")</f>
        <v/>
      </c>
      <c r="AH20" s="93">
        <f>IFERROR(IF(VLOOKUP(B20,Detalle!$A:$AA,$AH$1,0)=0,"Sin datos",IFERROR(VLOOKUP(B20,Detalle!$A:$AA,$AH$1,0),"Sin datos")),"")</f>
        <v/>
      </c>
      <c r="AI20" s="98">
        <f>IF(AB20="",IF(MIN(AC20,AE20,AG20)&gt;E20,"Si","No"),IF(MIN(AC20,AG20,AG20)&gt;AB20,"Si","No"))</f>
        <v/>
      </c>
      <c r="AJ20" s="328">
        <f>MIN(AC20,AE20,AG20)</f>
        <v/>
      </c>
      <c r="AK20" s="328">
        <f>IFERROR(IF(MIN(AF20,AH20)=AD20,IF(AE20=AG20,"Escenario 5","Escenario 4"),IF(MIN(AF20,AH20)&lt;AD20,IF(AND(AD20-2&lt;=MIN(AF20,AH20),AE20&lt;&gt;AG20),"Escenario 1",IF(AND(AD20-2&lt;=MIN(AF20,AH20),AE20=AG20),"Escenario 2","Escenario 3")),IF(MIN(AF20,AH20)&gt;AD20,IF(AND(AD20+2&gt;=MIN(AF20,AH20),AE20=AG20),"Escenario 7",IF(AND(AD20+2&gt;=MIN(AF20,AH20),AE20&lt;&gt;AG20),"Escenario 6",IF(AD20+5&lt;=MIN(AF20,AH20),"Escenario 9","Escenario 8"))),"error"))),"Falta info")</f>
        <v/>
      </c>
      <c r="AL20" s="98">
        <f>IFERROR(VLOOKUP(AK20,Base!$BJ$37:$BL$45,3,0),0)</f>
        <v/>
      </c>
      <c r="AM20" s="330">
        <f>IF(LOOKUP(AK20,Base!$X$8:$BG$8)=AK20,VLOOKUP(B20,Base!E:BG,AL20,0),0)</f>
        <v/>
      </c>
      <c r="AN20" s="330" t="n"/>
      <c r="AO20" s="331" t="n"/>
      <c r="AP20" s="331">
        <f>IF(AM20&lt;=AA20,"REVISAR!","ok")</f>
        <v/>
      </c>
      <c r="AQ20" s="331" t="n"/>
    </row>
    <row customHeight="1" ht="12.95" r="21" s="183" spans="1:43">
      <c r="B21" s="108" t="s">
        <v>119</v>
      </c>
      <c r="C21" s="89" t="s">
        <v>260</v>
      </c>
      <c r="D21" s="106">
        <f>VLOOKUP(B21,Base!E:G,3,0)</f>
        <v/>
      </c>
      <c r="E21" s="326">
        <f>IFERROR(IF(VLOOKUP(B21,Detalle!$A:$AA,$E$1,0)=0,"Sin datos",IFERROR(VLOOKUP(B21,Detalle!$A:$AA,$E$1,0),"Sin datos")),"")</f>
        <v/>
      </c>
      <c r="F21" s="91">
        <f>IFERROR(IF(VLOOKUP(B21,Detalle!$A:$AA,$F$1,0)=0,"Sin datos",IFERROR(VLOOKUP(B21,Detalle!$A:$AA,$F$1,0),"Sin datos")),"")</f>
        <v/>
      </c>
      <c r="G21" s="327">
        <f>IFERROR(IF(VLOOKUP(B21,Detalle!$A:$AA,$G$1,0)=0,"Sin datos",IFERROR(VLOOKUP(B21,Detalle!$A:$AA,$G$1,0),"Sin datos")),"")</f>
        <v/>
      </c>
      <c r="H21" s="93">
        <f>IFERROR(IF(VLOOKUP(B21,Detalle!$A:$AA,$H$1,0)=0,"Sin datos",IFERROR(VLOOKUP(B21,Detalle!$A:$AA,$H$1,0),"Sin datos")),"")</f>
        <v/>
      </c>
      <c r="I21" s="327">
        <f>IFERROR(IF(VLOOKUP(B21,Detalle!$A:$AA,$I$1,0)=0,"Sin datos",IFERROR(VLOOKUP(B21,Detalle!$A:$AA,$I$1,0),"Sin datos")),"")</f>
        <v/>
      </c>
      <c r="J21" s="93">
        <f>IFERROR(IF(VLOOKUP(B21,Detalle!$A:$AA,$J$1,0)=0,"Sin datos",IFERROR(VLOOKUP(B21,Detalle!$A:$AA,$J$1,0),"Sin datos")),"")</f>
        <v/>
      </c>
      <c r="K21" s="98" t="s">
        <v>293</v>
      </c>
      <c r="L21" s="328">
        <f>MIN(E21,G21,I21)</f>
        <v/>
      </c>
      <c r="M21" s="329">
        <f>IFERROR(IF(MIN(H21,J21)=F21,IF(G21=I21,"Escenario 5","Escenario 4"),IF(MIN(H21,J21)&lt;F21,IF(AND(F21-2&lt;=MIN(H21,J21),G21&lt;&gt;I21),"Escenario 1",IF(AND(F21-2&lt;=MIN(H21,J21),G21=I21),"Escenario 2","Escenario 3")),IF(MIN(H21,J21)&gt;F21,IF(AND(F21+2&gt;=MIN(H21,J21),G21=I21),"Escenario 7",IF(AND(F21+2&gt;=MIN(H21,J21),G21&lt;&gt;I21),"Escenario 6",IF(F21+5&lt;=MIN(H21,J21),"Escenario 9","Escenario 8"))),"error"))),"Falta info")</f>
        <v/>
      </c>
      <c r="N21" s="98">
        <f>IFERROR(VLOOKUP(M21,Base!$BJ$28:$BL$36,3,0),0)</f>
        <v/>
      </c>
      <c r="O21" s="330">
        <f>IF(LOOKUP(M21,Base!$X$8:$BG$8)=M21,VLOOKUP(B21,Base!E:BG,N21,0),0)</f>
        <v/>
      </c>
      <c r="P21" s="330" t="n"/>
      <c r="Q21" s="327">
        <f>IFERROR(IF(VLOOKUP(B21,Detalle!$A:$AA,$Q$1,0)=0,"Sin datos",IFERROR(VLOOKUP(B21,Detalle!$A:$AA,$Q$1,0),"Sin datos")),"")</f>
        <v/>
      </c>
      <c r="R21" s="93">
        <f>IFERROR(IF(VLOOKUP(B21,Detalle!$A:$AA,$R$1,0)=0,"Sin datos",IFERROR(VLOOKUP(B21,Detalle!$A:$AA,$R$1,0),"Sin datos")),"")</f>
        <v/>
      </c>
      <c r="S21" s="327">
        <f>IFERROR(IF(VLOOKUP(B21,Detalle!$A:$AA,$S$1,0)=0,"Sin datos",IFERROR(VLOOKUP(B21,Detalle!$A:$AA,$S$1,0),"Sin datos")),"")</f>
        <v/>
      </c>
      <c r="T21" s="93">
        <f>IFERROR(IF(VLOOKUP(B21,Detalle!$A:$AA,$T$1,0)=0,"Sin datos",IFERROR(VLOOKUP(B21,Detalle!$A:$AA,$T$1,0),"Sin datos")),"")</f>
        <v/>
      </c>
      <c r="U21" s="327">
        <f>IFERROR(IF(VLOOKUP(B21,Detalle!$A:$AA,$U$1,0)=0,"Sin datos",IFERROR(VLOOKUP(B21,Detalle!$A:$AA,$U$1,0),"Sin datos")),"")</f>
        <v/>
      </c>
      <c r="V21" s="93">
        <f>IFERROR(IF(VLOOKUP(B21,Detalle!$A:$AA,$V$1,0)=0,"Sin datos",IFERROR(VLOOKUP(B21,Detalle!$A:$AA,$V$1,0),"Sin datos")),"")</f>
        <v/>
      </c>
      <c r="W21" s="98">
        <f>IF(P21="",IF(MIN(Q21,S21,U21)&gt;E21,"Si","No"),IF(MIN(Q21,S21,U21)&gt;P21,"Si","No"))</f>
        <v/>
      </c>
      <c r="X21" s="328">
        <f>MIN(Q21,S21,U21)</f>
        <v/>
      </c>
      <c r="Y21" s="328">
        <f>IFERROR(IF(MIN(T21,V21)=R21,IF(S21=U21,"Escenario 5","Escenario 4"),IF(MIN(T21,V21)&lt;R21,IF(AND(R21-2&lt;=MIN(T21,V21),S21&lt;&gt;U21),"Escenario 1",IF(AND(R21-2&lt;=MIN(T21,V21),S21=U21),"Escenario 2","Escenario 3")),IF(MIN(T21,V21)&gt;R21,IF(AND(R21+2&gt;=MIN(T21,V21),S21=U21),"Escenario 7",IF(AND(R21+2&gt;=MIN(T21,V21),S21&lt;&gt;U21),"Escenario 6",IF(R21+5&lt;=MIN(T21,V21),"Escenario 9","Escenario 8"))),"error"))),"Falta info")</f>
        <v/>
      </c>
      <c r="Z21" s="98">
        <f>IFERROR(VLOOKUP(Y21,Base!$BJ$19:$BL$27,3,0),0)</f>
        <v/>
      </c>
      <c r="AA21" s="330">
        <f>IF(LOOKUP(Y21,Base!$X$8:$BG$8)=Y21,VLOOKUP(B21,Base!E:BG,Z21,0),0)</f>
        <v/>
      </c>
      <c r="AB21" s="330" t="n"/>
      <c r="AC21" s="327">
        <f>IFERROR(IF(VLOOKUP(B21,Detalle!$A:$AA,$AC$1,0)=0,"Sin datos",IFERROR(VLOOKUP(B21,Detalle!$A:$AA,$AC$1,0),"Sin datos")),"")</f>
        <v/>
      </c>
      <c r="AD21" s="93">
        <f>IFERROR(IF(VLOOKUP(B21,Detalle!$A:$AA,$AD$1,0)=0,"Sin datos",IFERROR(VLOOKUP(B21,Detalle!$A:$AA,$AD$1,0),"Sin datos")),"")</f>
        <v/>
      </c>
      <c r="AE21" s="327">
        <f>IFERROR(IF(VLOOKUP(B21,Detalle!$A:$AA,$AE$1,0)=0,"Sin datos",IFERROR(VLOOKUP(B21,Detalle!$A:$AA,$AE$1,0),"Sin datos")),"")</f>
        <v/>
      </c>
      <c r="AF21" s="93">
        <f>IFERROR(IF(VLOOKUP(B21,Detalle!$A:$AA,$AF$1,0)=0,"Sin datos",IFERROR(VLOOKUP(B21,Detalle!$A:$AA,$AF$1,0),"Sin datos")),"")</f>
        <v/>
      </c>
      <c r="AG21" s="327">
        <f>IFERROR(IF(VLOOKUP(B21,Detalle!$A:$AA,$AG$1,0)=0,"Sin datos",IFERROR(VLOOKUP(B21,Detalle!$A:$AA,$AG$1,0),"Sin datos")),"")</f>
        <v/>
      </c>
      <c r="AH21" s="93">
        <f>IFERROR(IF(VLOOKUP(B21,Detalle!$A:$AA,$AH$1,0)=0,"Sin datos",IFERROR(VLOOKUP(B21,Detalle!$A:$AA,$AH$1,0),"Sin datos")),"")</f>
        <v/>
      </c>
      <c r="AI21" s="98">
        <f>IF(AB21="",IF(MIN(AC21,AE21,AG21)&gt;E21,"Si","No"),IF(MIN(AC21,AG21,AG21)&gt;AB21,"Si","No"))</f>
        <v/>
      </c>
      <c r="AJ21" s="328">
        <f>MIN(AC21,AE21,AG21)</f>
        <v/>
      </c>
      <c r="AK21" s="328">
        <f>IFERROR(IF(MIN(AF21,AH21)=AD21,IF(AE21=AG21,"Escenario 5","Escenario 4"),IF(MIN(AF21,AH21)&lt;AD21,IF(AND(AD21-2&lt;=MIN(AF21,AH21),AE21&lt;&gt;AG21),"Escenario 1",IF(AND(AD21-2&lt;=MIN(AF21,AH21),AE21=AG21),"Escenario 2","Escenario 3")),IF(MIN(AF21,AH21)&gt;AD21,IF(AND(AD21+2&gt;=MIN(AF21,AH21),AE21=AG21),"Escenario 7",IF(AND(AD21+2&gt;=MIN(AF21,AH21),AE21&lt;&gt;AG21),"Escenario 6",IF(AD21+5&lt;=MIN(AF21,AH21),"Escenario 9","Escenario 8"))),"error"))),"Falta info")</f>
        <v/>
      </c>
      <c r="AL21" s="98">
        <f>IFERROR(VLOOKUP(AK21,Base!$BJ$37:$BL$45,3,0),0)</f>
        <v/>
      </c>
      <c r="AM21" s="330">
        <f>IF(LOOKUP(AK21,Base!$X$8:$BG$8)=AK21,VLOOKUP(B21,Base!E:BG,AL21,0),0)</f>
        <v/>
      </c>
      <c r="AN21" s="330" t="n"/>
      <c r="AO21" s="331" t="n"/>
      <c r="AP21" s="331">
        <f>IF(AM21&lt;=AA21,"REVISAR!","ok")</f>
        <v/>
      </c>
      <c r="AQ21" s="331" t="n"/>
    </row>
    <row customHeight="1" ht="12.95" r="22" s="183" spans="1:43">
      <c r="B22" s="108" t="s">
        <v>113</v>
      </c>
      <c r="C22" s="89" t="s">
        <v>260</v>
      </c>
      <c r="D22" s="106">
        <f>VLOOKUP(B22,Base!E:G,3,0)</f>
        <v/>
      </c>
      <c r="E22" s="326">
        <f>IFERROR(IF(VLOOKUP(B22,Detalle!$A:$AA,$E$1,0)=0,"Sin datos",IFERROR(VLOOKUP(B22,Detalle!$A:$AA,$E$1,0),"Sin datos")),"")</f>
        <v/>
      </c>
      <c r="F22" s="91">
        <f>IFERROR(IF(VLOOKUP(B22,Detalle!$A:$AA,$F$1,0)=0,"Sin datos",IFERROR(VLOOKUP(B22,Detalle!$A:$AA,$F$1,0),"Sin datos")),"")</f>
        <v/>
      </c>
      <c r="G22" s="327">
        <f>IFERROR(IF(VLOOKUP(B22,Detalle!$A:$AA,$G$1,0)=0,"Sin datos",IFERROR(VLOOKUP(B22,Detalle!$A:$AA,$G$1,0),"Sin datos")),"")</f>
        <v/>
      </c>
      <c r="H22" s="93">
        <f>IFERROR(IF(VLOOKUP(B22,Detalle!$A:$AA,$H$1,0)=0,"Sin datos",IFERROR(VLOOKUP(B22,Detalle!$A:$AA,$H$1,0),"Sin datos")),"")</f>
        <v/>
      </c>
      <c r="I22" s="327">
        <f>IFERROR(IF(VLOOKUP(B22,Detalle!$A:$AA,$I$1,0)=0,"Sin datos",IFERROR(VLOOKUP(B22,Detalle!$A:$AA,$I$1,0),"Sin datos")),"")</f>
        <v/>
      </c>
      <c r="J22" s="93">
        <f>IFERROR(IF(VLOOKUP(B22,Detalle!$A:$AA,$J$1,0)=0,"Sin datos",IFERROR(VLOOKUP(B22,Detalle!$A:$AA,$J$1,0),"Sin datos")),"")</f>
        <v/>
      </c>
      <c r="K22" s="98" t="s">
        <v>293</v>
      </c>
      <c r="L22" s="328">
        <f>MIN(E22,G22,I22)</f>
        <v/>
      </c>
      <c r="M22" s="329">
        <f>IFERROR(IF(MIN(H22,J22)=F22,IF(G22=I22,"Escenario 5","Escenario 4"),IF(MIN(H22,J22)&lt;F22,IF(AND(F22-2&lt;=MIN(H22,J22),G22&lt;&gt;I22),"Escenario 1",IF(AND(F22-2&lt;=MIN(H22,J22),G22=I22),"Escenario 2","Escenario 3")),IF(MIN(H22,J22)&gt;F22,IF(AND(F22+2&gt;=MIN(H22,J22),G22=I22),"Escenario 7",IF(AND(F22+2&gt;=MIN(H22,J22),G22&lt;&gt;I22),"Escenario 6",IF(F22+5&lt;=MIN(H22,J22),"Escenario 9","Escenario 8"))),"error"))),"Falta info")</f>
        <v/>
      </c>
      <c r="N22" s="98">
        <f>IFERROR(VLOOKUP(M22,Base!$BJ$28:$BL$36,3,0),0)</f>
        <v/>
      </c>
      <c r="O22" s="330">
        <f>IF(LOOKUP(M22,Base!$X$8:$BG$8)=M22,VLOOKUP(B22,Base!E:BG,N22,0),0)</f>
        <v/>
      </c>
      <c r="P22" s="330" t="n"/>
      <c r="Q22" s="327">
        <f>IFERROR(IF(VLOOKUP(B22,Detalle!$A:$AA,$Q$1,0)=0,"Sin datos",IFERROR(VLOOKUP(B22,Detalle!$A:$AA,$Q$1,0),"Sin datos")),"")</f>
        <v/>
      </c>
      <c r="R22" s="93">
        <f>IFERROR(IF(VLOOKUP(B22,Detalle!$A:$AA,$R$1,0)=0,"Sin datos",IFERROR(VLOOKUP(B22,Detalle!$A:$AA,$R$1,0),"Sin datos")),"")</f>
        <v/>
      </c>
      <c r="S22" s="327">
        <f>IFERROR(IF(VLOOKUP(B22,Detalle!$A:$AA,$S$1,0)=0,"Sin datos",IFERROR(VLOOKUP(B22,Detalle!$A:$AA,$S$1,0),"Sin datos")),"")</f>
        <v/>
      </c>
      <c r="T22" s="93">
        <f>IFERROR(IF(VLOOKUP(B22,Detalle!$A:$AA,$T$1,0)=0,"Sin datos",IFERROR(VLOOKUP(B22,Detalle!$A:$AA,$T$1,0),"Sin datos")),"")</f>
        <v/>
      </c>
      <c r="U22" s="327">
        <f>IFERROR(IF(VLOOKUP(B22,Detalle!$A:$AA,$U$1,0)=0,"Sin datos",IFERROR(VLOOKUP(B22,Detalle!$A:$AA,$U$1,0),"Sin datos")),"")</f>
        <v/>
      </c>
      <c r="V22" s="93">
        <f>IFERROR(IF(VLOOKUP(B22,Detalle!$A:$AA,$V$1,0)=0,"Sin datos",IFERROR(VLOOKUP(B22,Detalle!$A:$AA,$V$1,0),"Sin datos")),"")</f>
        <v/>
      </c>
      <c r="W22" s="98">
        <f>IF(P22="",IF(MIN(Q22,S22,U22)&gt;E22,"Si","No"),IF(MIN(Q22,S22,U22)&gt;P22,"Si","No"))</f>
        <v/>
      </c>
      <c r="X22" s="328">
        <f>MIN(Q22,S22,U22)</f>
        <v/>
      </c>
      <c r="Y22" s="328">
        <f>IFERROR(IF(MIN(T22,V22)=R22,IF(S22=U22,"Escenario 5","Escenario 4"),IF(MIN(T22,V22)&lt;R22,IF(AND(R22-2&lt;=MIN(T22,V22),S22&lt;&gt;U22),"Escenario 1",IF(AND(R22-2&lt;=MIN(T22,V22),S22=U22),"Escenario 2","Escenario 3")),IF(MIN(T22,V22)&gt;R22,IF(AND(R22+2&gt;=MIN(T22,V22),S22=U22),"Escenario 7",IF(AND(R22+2&gt;=MIN(T22,V22),S22&lt;&gt;U22),"Escenario 6",IF(R22+5&lt;=MIN(T22,V22),"Escenario 9","Escenario 8"))),"error"))),"Falta info")</f>
        <v/>
      </c>
      <c r="Z22" s="98">
        <f>IFERROR(VLOOKUP(Y22,Base!$BJ$19:$BL$27,3,0),0)</f>
        <v/>
      </c>
      <c r="AA22" s="330">
        <f>IF(LOOKUP(Y22,Base!$X$8:$BG$8)=Y22,VLOOKUP(B22,Base!E:BG,Z22,0),0)</f>
        <v/>
      </c>
      <c r="AB22" s="330" t="n"/>
      <c r="AC22" s="327">
        <f>IFERROR(IF(VLOOKUP(B22,Detalle!$A:$AA,$AC$1,0)=0,"Sin datos",IFERROR(VLOOKUP(B22,Detalle!$A:$AA,$AC$1,0),"Sin datos")),"")</f>
        <v/>
      </c>
      <c r="AD22" s="93">
        <f>IFERROR(IF(VLOOKUP(B22,Detalle!$A:$AA,$AD$1,0)=0,"Sin datos",IFERROR(VLOOKUP(B22,Detalle!$A:$AA,$AD$1,0),"Sin datos")),"")</f>
        <v/>
      </c>
      <c r="AE22" s="327">
        <f>IFERROR(IF(VLOOKUP(B22,Detalle!$A:$AA,$AE$1,0)=0,"Sin datos",IFERROR(VLOOKUP(B22,Detalle!$A:$AA,$AE$1,0),"Sin datos")),"")</f>
        <v/>
      </c>
      <c r="AF22" s="93">
        <f>IFERROR(IF(VLOOKUP(B22,Detalle!$A:$AA,$AF$1,0)=0,"Sin datos",IFERROR(VLOOKUP(B22,Detalle!$A:$AA,$AF$1,0),"Sin datos")),"")</f>
        <v/>
      </c>
      <c r="AG22" s="327">
        <f>IFERROR(IF(VLOOKUP(B22,Detalle!$A:$AA,$AG$1,0)=0,"Sin datos",IFERROR(VLOOKUP(B22,Detalle!$A:$AA,$AG$1,0),"Sin datos")),"")</f>
        <v/>
      </c>
      <c r="AH22" s="93">
        <f>IFERROR(IF(VLOOKUP(B22,Detalle!$A:$AA,$AH$1,0)=0,"Sin datos",IFERROR(VLOOKUP(B22,Detalle!$A:$AA,$AH$1,0),"Sin datos")),"")</f>
        <v/>
      </c>
      <c r="AI22" s="98">
        <f>IF(AB22="",IF(MIN(AC22,AE22,AG22)&gt;E22,"Si","No"),IF(MIN(AC22,AG22,AG22)&gt;AB22,"Si","No"))</f>
        <v/>
      </c>
      <c r="AJ22" s="328">
        <f>MIN(AC22,AE22,AG22)</f>
        <v/>
      </c>
      <c r="AK22" s="328">
        <f>IFERROR(IF(MIN(AF22,AH22)=AD22,IF(AE22=AG22,"Escenario 5","Escenario 4"),IF(MIN(AF22,AH22)&lt;AD22,IF(AND(AD22-2&lt;=MIN(AF22,AH22),AE22&lt;&gt;AG22),"Escenario 1",IF(AND(AD22-2&lt;=MIN(AF22,AH22),AE22=AG22),"Escenario 2","Escenario 3")),IF(MIN(AF22,AH22)&gt;AD22,IF(AND(AD22+2&gt;=MIN(AF22,AH22),AE22=AG22),"Escenario 7",IF(AND(AD22+2&gt;=MIN(AF22,AH22),AE22&lt;&gt;AG22),"Escenario 6",IF(AD22+5&lt;=MIN(AF22,AH22),"Escenario 9","Escenario 8"))),"error"))),"Falta info")</f>
        <v/>
      </c>
      <c r="AL22" s="98">
        <f>IFERROR(VLOOKUP(AK22,Base!$BJ$37:$BL$45,3,0),0)</f>
        <v/>
      </c>
      <c r="AM22" s="330">
        <f>IF(LOOKUP(AK22,Base!$X$8:$BG$8)=AK22,VLOOKUP(B22,Base!E:BG,AL22,0),0)</f>
        <v/>
      </c>
      <c r="AN22" s="330" t="n"/>
      <c r="AO22" s="331" t="n"/>
      <c r="AP22" s="331">
        <f>IF(AM22&lt;=AA22,"REVISAR!","ok")</f>
        <v/>
      </c>
      <c r="AQ22" s="331" t="n"/>
    </row>
    <row customHeight="1" ht="12.95" r="23" s="183" spans="1:43">
      <c r="B23" s="108" t="s">
        <v>138</v>
      </c>
      <c r="C23" s="89" t="s">
        <v>260</v>
      </c>
      <c r="D23" s="106">
        <f>VLOOKUP(B23,Base!E:G,3,0)</f>
        <v/>
      </c>
      <c r="E23" s="326">
        <f>IFERROR(IF(VLOOKUP(B23,Detalle!$A:$AA,$E$1,0)=0,"Sin datos",IFERROR(VLOOKUP(B23,Detalle!$A:$AA,$E$1,0),"Sin datos")),"")</f>
        <v/>
      </c>
      <c r="F23" s="91">
        <f>IFERROR(IF(VLOOKUP(B23,Detalle!$A:$AA,$F$1,0)=0,"Sin datos",IFERROR(VLOOKUP(B23,Detalle!$A:$AA,$F$1,0),"Sin datos")),"")</f>
        <v/>
      </c>
      <c r="G23" s="327">
        <f>IFERROR(IF(VLOOKUP(B23,Detalle!$A:$AA,$G$1,0)=0,"Sin datos",IFERROR(VLOOKUP(B23,Detalle!$A:$AA,$G$1,0),"Sin datos")),"")</f>
        <v/>
      </c>
      <c r="H23" s="93">
        <f>IFERROR(IF(VLOOKUP(B23,Detalle!$A:$AA,$H$1,0)=0,"Sin datos",IFERROR(VLOOKUP(B23,Detalle!$A:$AA,$H$1,0),"Sin datos")),"")</f>
        <v/>
      </c>
      <c r="I23" s="327">
        <f>IFERROR(IF(VLOOKUP(B23,Detalle!$A:$AA,$I$1,0)=0,"Sin datos",IFERROR(VLOOKUP(B23,Detalle!$A:$AA,$I$1,0),"Sin datos")),"")</f>
        <v/>
      </c>
      <c r="J23" s="93">
        <f>IFERROR(IF(VLOOKUP(B23,Detalle!$A:$AA,$J$1,0)=0,"Sin datos",IFERROR(VLOOKUP(B23,Detalle!$A:$AA,$J$1,0),"Sin datos")),"")</f>
        <v/>
      </c>
      <c r="K23" s="98" t="s">
        <v>293</v>
      </c>
      <c r="L23" s="328">
        <f>MIN(E23,G23,I23)</f>
        <v/>
      </c>
      <c r="M23" s="329">
        <f>IFERROR(IF(MIN(H23,J23)=F23,IF(G23=I23,"Escenario 5","Escenario 4"),IF(MIN(H23,J23)&lt;F23,IF(AND(F23-2&lt;=MIN(H23,J23),G23&lt;&gt;I23),"Escenario 1",IF(AND(F23-2&lt;=MIN(H23,J23),G23=I23),"Escenario 2","Escenario 3")),IF(MIN(H23,J23)&gt;F23,IF(AND(F23+2&gt;=MIN(H23,J23),G23=I23),"Escenario 7",IF(AND(F23+2&gt;=MIN(H23,J23),G23&lt;&gt;I23),"Escenario 6",IF(F23+5&lt;=MIN(H23,J23),"Escenario 9","Escenario 8"))),"error"))),"Falta info")</f>
        <v/>
      </c>
      <c r="N23" s="98">
        <f>IFERROR(VLOOKUP(M23,Base!$BJ$28:$BL$36,3,0),0)</f>
        <v/>
      </c>
      <c r="O23" s="330">
        <f>IF(LOOKUP(M23,Base!$X$8:$BG$8)=M23,VLOOKUP(B23,Base!E:BG,N23,0),0)</f>
        <v/>
      </c>
      <c r="P23" s="330" t="n"/>
      <c r="Q23" s="327">
        <f>IFERROR(IF(VLOOKUP(B23,Detalle!$A:$AA,$Q$1,0)=0,"Sin datos",IFERROR(VLOOKUP(B23,Detalle!$A:$AA,$Q$1,0),"Sin datos")),"")</f>
        <v/>
      </c>
      <c r="R23" s="93">
        <f>IFERROR(IF(VLOOKUP(B23,Detalle!$A:$AA,$R$1,0)=0,"Sin datos",IFERROR(VLOOKUP(B23,Detalle!$A:$AA,$R$1,0),"Sin datos")),"")</f>
        <v/>
      </c>
      <c r="S23" s="327">
        <f>IFERROR(IF(VLOOKUP(B23,Detalle!$A:$AA,$S$1,0)=0,"Sin datos",IFERROR(VLOOKUP(B23,Detalle!$A:$AA,$S$1,0),"Sin datos")),"")</f>
        <v/>
      </c>
      <c r="T23" s="93">
        <f>IFERROR(IF(VLOOKUP(B23,Detalle!$A:$AA,$T$1,0)=0,"Sin datos",IFERROR(VLOOKUP(B23,Detalle!$A:$AA,$T$1,0),"Sin datos")),"")</f>
        <v/>
      </c>
      <c r="U23" s="327">
        <f>IFERROR(IF(VLOOKUP(B23,Detalle!$A:$AA,$U$1,0)=0,"Sin datos",IFERROR(VLOOKUP(B23,Detalle!$A:$AA,$U$1,0),"Sin datos")),"")</f>
        <v/>
      </c>
      <c r="V23" s="93">
        <f>IFERROR(IF(VLOOKUP(B23,Detalle!$A:$AA,$V$1,0)=0,"Sin datos",IFERROR(VLOOKUP(B23,Detalle!$A:$AA,$V$1,0),"Sin datos")),"")</f>
        <v/>
      </c>
      <c r="W23" s="98">
        <f>IF(P23="",IF(MIN(Q23,S23,U23)&gt;E23,"Si","No"),IF(MIN(Q23,S23,U23)&gt;P23,"Si","No"))</f>
        <v/>
      </c>
      <c r="X23" s="328">
        <f>MIN(Q23,S23,U23)</f>
        <v/>
      </c>
      <c r="Y23" s="328">
        <f>IFERROR(IF(MIN(T23,V23)=R23,IF(S23=U23,"Escenario 5","Escenario 4"),IF(MIN(T23,V23)&lt;R23,IF(AND(R23-2&lt;=MIN(T23,V23),S23&lt;&gt;U23),"Escenario 1",IF(AND(R23-2&lt;=MIN(T23,V23),S23=U23),"Escenario 2","Escenario 3")),IF(MIN(T23,V23)&gt;R23,IF(AND(R23+2&gt;=MIN(T23,V23),S23=U23),"Escenario 7",IF(AND(R23+2&gt;=MIN(T23,V23),S23&lt;&gt;U23),"Escenario 6",IF(R23+5&lt;=MIN(T23,V23),"Escenario 9","Escenario 8"))),"error"))),"Falta info")</f>
        <v/>
      </c>
      <c r="Z23" s="98">
        <f>IFERROR(VLOOKUP(Y23,Base!$BJ$19:$BL$27,3,0),0)</f>
        <v/>
      </c>
      <c r="AA23" s="330">
        <f>IF(LOOKUP(Y23,Base!$X$8:$BG$8)=Y23,VLOOKUP(B23,Base!E:BG,Z23,0),0)</f>
        <v/>
      </c>
      <c r="AB23" s="330" t="n"/>
      <c r="AC23" s="327">
        <f>IFERROR(IF(VLOOKUP(B23,Detalle!$A:$AA,$AC$1,0)=0,"Sin datos",IFERROR(VLOOKUP(B23,Detalle!$A:$AA,$AC$1,0),"Sin datos")),"")</f>
        <v/>
      </c>
      <c r="AD23" s="93">
        <f>IFERROR(IF(VLOOKUP(B23,Detalle!$A:$AA,$AD$1,0)=0,"Sin datos",IFERROR(VLOOKUP(B23,Detalle!$A:$AA,$AD$1,0),"Sin datos")),"")</f>
        <v/>
      </c>
      <c r="AE23" s="327">
        <f>IFERROR(IF(VLOOKUP(B23,Detalle!$A:$AA,$AE$1,0)=0,"Sin datos",IFERROR(VLOOKUP(B23,Detalle!$A:$AA,$AE$1,0),"Sin datos")),"")</f>
        <v/>
      </c>
      <c r="AF23" s="93">
        <f>IFERROR(IF(VLOOKUP(B23,Detalle!$A:$AA,$AF$1,0)=0,"Sin datos",IFERROR(VLOOKUP(B23,Detalle!$A:$AA,$AF$1,0),"Sin datos")),"")</f>
        <v/>
      </c>
      <c r="AG23" s="327">
        <f>IFERROR(IF(VLOOKUP(B23,Detalle!$A:$AA,$AG$1,0)=0,"Sin datos",IFERROR(VLOOKUP(B23,Detalle!$A:$AA,$AG$1,0),"Sin datos")),"")</f>
        <v/>
      </c>
      <c r="AH23" s="93">
        <f>IFERROR(IF(VLOOKUP(B23,Detalle!$A:$AA,$AH$1,0)=0,"Sin datos",IFERROR(VLOOKUP(B23,Detalle!$A:$AA,$AH$1,0),"Sin datos")),"")</f>
        <v/>
      </c>
      <c r="AI23" s="98">
        <f>IF(AB23="",IF(MIN(AC23,AE23,AG23)&gt;E23,"Si","No"),IF(MIN(AC23,AG23,AG23)&gt;AB23,"Si","No"))</f>
        <v/>
      </c>
      <c r="AJ23" s="328">
        <f>MIN(AC23,AE23,AG23)</f>
        <v/>
      </c>
      <c r="AK23" s="328">
        <f>IFERROR(IF(MIN(AF23,AH23)=AD23,IF(AE23=AG23,"Escenario 5","Escenario 4"),IF(MIN(AF23,AH23)&lt;AD23,IF(AND(AD23-2&lt;=MIN(AF23,AH23),AE23&lt;&gt;AG23),"Escenario 1",IF(AND(AD23-2&lt;=MIN(AF23,AH23),AE23=AG23),"Escenario 2","Escenario 3")),IF(MIN(AF23,AH23)&gt;AD23,IF(AND(AD23+2&gt;=MIN(AF23,AH23),AE23=AG23),"Escenario 7",IF(AND(AD23+2&gt;=MIN(AF23,AH23),AE23&lt;&gt;AG23),"Escenario 6",IF(AD23+5&lt;=MIN(AF23,AH23),"Escenario 9","Escenario 8"))),"error"))),"Falta info")</f>
        <v/>
      </c>
      <c r="AL23" s="98">
        <f>IFERROR(VLOOKUP(AK23,Base!$BJ$37:$BL$45,3,0),0)</f>
        <v/>
      </c>
      <c r="AM23" s="330">
        <f>IF(LOOKUP(AK23,Base!$X$8:$BG$8)=AK23,VLOOKUP(B23,Base!E:BG,AL23,0),0)</f>
        <v/>
      </c>
      <c r="AN23" s="330" t="n"/>
      <c r="AO23" s="331" t="n"/>
      <c r="AP23" s="331">
        <f>IF(AM23&lt;=AA23,"REVISAR!","ok")</f>
        <v/>
      </c>
      <c r="AQ23" s="331" t="n"/>
    </row>
    <row customHeight="1" ht="12.95" r="24" s="183" spans="1:43">
      <c r="B24" s="108" t="s">
        <v>140</v>
      </c>
      <c r="C24" s="89" t="s">
        <v>260</v>
      </c>
      <c r="D24" s="106">
        <f>VLOOKUP(B24,Base!E:G,3,0)</f>
        <v/>
      </c>
      <c r="E24" s="326">
        <f>IFERROR(IF(VLOOKUP(B24,Detalle!$A:$AA,$E$1,0)=0,"Sin datos",IFERROR(VLOOKUP(B24,Detalle!$A:$AA,$E$1,0),"Sin datos")),"")</f>
        <v/>
      </c>
      <c r="F24" s="91">
        <f>IFERROR(IF(VLOOKUP(B24,Detalle!$A:$AA,$F$1,0)=0,"Sin datos",IFERROR(VLOOKUP(B24,Detalle!$A:$AA,$F$1,0),"Sin datos")),"")</f>
        <v/>
      </c>
      <c r="G24" s="327">
        <f>IFERROR(IF(VLOOKUP(B24,Detalle!$A:$AA,$G$1,0)=0,"Sin datos",IFERROR(VLOOKUP(B24,Detalle!$A:$AA,$G$1,0),"Sin datos")),"")</f>
        <v/>
      </c>
      <c r="H24" s="93">
        <f>IFERROR(IF(VLOOKUP(B24,Detalle!$A:$AA,$H$1,0)=0,"Sin datos",IFERROR(VLOOKUP(B24,Detalle!$A:$AA,$H$1,0),"Sin datos")),"")</f>
        <v/>
      </c>
      <c r="I24" s="327">
        <f>IFERROR(IF(VLOOKUP(B24,Detalle!$A:$AA,$I$1,0)=0,"Sin datos",IFERROR(VLOOKUP(B24,Detalle!$A:$AA,$I$1,0),"Sin datos")),"")</f>
        <v/>
      </c>
      <c r="J24" s="93">
        <f>IFERROR(IF(VLOOKUP(B24,Detalle!$A:$AA,$J$1,0)=0,"Sin datos",IFERROR(VLOOKUP(B24,Detalle!$A:$AA,$J$1,0),"Sin datos")),"")</f>
        <v/>
      </c>
      <c r="K24" s="98" t="s">
        <v>293</v>
      </c>
      <c r="L24" s="328">
        <f>MIN(E24,G24,I24)</f>
        <v/>
      </c>
      <c r="M24" s="329">
        <f>IFERROR(IF(MIN(H24,J24)=F24,IF(G24=I24,"Escenario 5","Escenario 4"),IF(MIN(H24,J24)&lt;F24,IF(AND(F24-2&lt;=MIN(H24,J24),G24&lt;&gt;I24),"Escenario 1",IF(AND(F24-2&lt;=MIN(H24,J24),G24=I24),"Escenario 2","Escenario 3")),IF(MIN(H24,J24)&gt;F24,IF(AND(F24+2&gt;=MIN(H24,J24),G24=I24),"Escenario 7",IF(AND(F24+2&gt;=MIN(H24,J24),G24&lt;&gt;I24),"Escenario 6",IF(F24+5&lt;=MIN(H24,J24),"Escenario 9","Escenario 8"))),"error"))),"Falta info")</f>
        <v/>
      </c>
      <c r="N24" s="98">
        <f>IFERROR(VLOOKUP(M24,Base!$BJ$28:$BL$36,3,0),0)</f>
        <v/>
      </c>
      <c r="O24" s="330">
        <f>IF(LOOKUP(M24,Base!$X$8:$BG$8)=M24,VLOOKUP(B24,Base!E:BG,N24,0),0)</f>
        <v/>
      </c>
      <c r="P24" s="330" t="n"/>
      <c r="Q24" s="327">
        <f>IFERROR(IF(VLOOKUP(B24,Detalle!$A:$AA,$Q$1,0)=0,"Sin datos",IFERROR(VLOOKUP(B24,Detalle!$A:$AA,$Q$1,0),"Sin datos")),"")</f>
        <v/>
      </c>
      <c r="R24" s="93">
        <f>IFERROR(IF(VLOOKUP(B24,Detalle!$A:$AA,$R$1,0)=0,"Sin datos",IFERROR(VLOOKUP(B24,Detalle!$A:$AA,$R$1,0),"Sin datos")),"")</f>
        <v/>
      </c>
      <c r="S24" s="327">
        <f>IFERROR(IF(VLOOKUP(B24,Detalle!$A:$AA,$S$1,0)=0,"Sin datos",IFERROR(VLOOKUP(B24,Detalle!$A:$AA,$S$1,0),"Sin datos")),"")</f>
        <v/>
      </c>
      <c r="T24" s="93">
        <f>IFERROR(IF(VLOOKUP(B24,Detalle!$A:$AA,$T$1,0)=0,"Sin datos",IFERROR(VLOOKUP(B24,Detalle!$A:$AA,$T$1,0),"Sin datos")),"")</f>
        <v/>
      </c>
      <c r="U24" s="327">
        <f>IFERROR(IF(VLOOKUP(B24,Detalle!$A:$AA,$U$1,0)=0,"Sin datos",IFERROR(VLOOKUP(B24,Detalle!$A:$AA,$U$1,0),"Sin datos")),"")</f>
        <v/>
      </c>
      <c r="V24" s="93">
        <f>IFERROR(IF(VLOOKUP(B24,Detalle!$A:$AA,$V$1,0)=0,"Sin datos",IFERROR(VLOOKUP(B24,Detalle!$A:$AA,$V$1,0),"Sin datos")),"")</f>
        <v/>
      </c>
      <c r="W24" s="98">
        <f>IF(P24="",IF(MIN(Q24,S24,U24)&gt;E24,"Si","No"),IF(MIN(Q24,S24,U24)&gt;P24,"Si","No"))</f>
        <v/>
      </c>
      <c r="X24" s="328">
        <f>MIN(Q24,S24,U24)</f>
        <v/>
      </c>
      <c r="Y24" s="328">
        <f>IFERROR(IF(MIN(T24,V24)=R24,IF(S24=U24,"Escenario 5","Escenario 4"),IF(MIN(T24,V24)&lt;R24,IF(AND(R24-2&lt;=MIN(T24,V24),S24&lt;&gt;U24),"Escenario 1",IF(AND(R24-2&lt;=MIN(T24,V24),S24=U24),"Escenario 2","Escenario 3")),IF(MIN(T24,V24)&gt;R24,IF(AND(R24+2&gt;=MIN(T24,V24),S24=U24),"Escenario 7",IF(AND(R24+2&gt;=MIN(T24,V24),S24&lt;&gt;U24),"Escenario 6",IF(R24+5&lt;=MIN(T24,V24),"Escenario 9","Escenario 8"))),"error"))),"Falta info")</f>
        <v/>
      </c>
      <c r="Z24" s="98">
        <f>IFERROR(VLOOKUP(Y24,Base!$BJ$19:$BL$27,3,0),0)</f>
        <v/>
      </c>
      <c r="AA24" s="330">
        <f>IF(LOOKUP(Y24,Base!$X$8:$BG$8)=Y24,VLOOKUP(B24,Base!E:BG,Z24,0),0)</f>
        <v/>
      </c>
      <c r="AB24" s="330" t="n"/>
      <c r="AC24" s="327">
        <f>IFERROR(IF(VLOOKUP(B24,Detalle!$A:$AA,$AC$1,0)=0,"Sin datos",IFERROR(VLOOKUP(B24,Detalle!$A:$AA,$AC$1,0),"Sin datos")),"")</f>
        <v/>
      </c>
      <c r="AD24" s="93">
        <f>IFERROR(IF(VLOOKUP(B24,Detalle!$A:$AA,$AD$1,0)=0,"Sin datos",IFERROR(VLOOKUP(B24,Detalle!$A:$AA,$AD$1,0),"Sin datos")),"")</f>
        <v/>
      </c>
      <c r="AE24" s="327">
        <f>IFERROR(IF(VLOOKUP(B24,Detalle!$A:$AA,$AE$1,0)=0,"Sin datos",IFERROR(VLOOKUP(B24,Detalle!$A:$AA,$AE$1,0),"Sin datos")),"")</f>
        <v/>
      </c>
      <c r="AF24" s="93">
        <f>IFERROR(IF(VLOOKUP(B24,Detalle!$A:$AA,$AF$1,0)=0,"Sin datos",IFERROR(VLOOKUP(B24,Detalle!$A:$AA,$AF$1,0),"Sin datos")),"")</f>
        <v/>
      </c>
      <c r="AG24" s="327">
        <f>IFERROR(IF(VLOOKUP(B24,Detalle!$A:$AA,$AG$1,0)=0,"Sin datos",IFERROR(VLOOKUP(B24,Detalle!$A:$AA,$AG$1,0),"Sin datos")),"")</f>
        <v/>
      </c>
      <c r="AH24" s="93">
        <f>IFERROR(IF(VLOOKUP(B24,Detalle!$A:$AA,$AH$1,0)=0,"Sin datos",IFERROR(VLOOKUP(B24,Detalle!$A:$AA,$AH$1,0),"Sin datos")),"")</f>
        <v/>
      </c>
      <c r="AI24" s="98">
        <f>IF(AB24="",IF(MIN(AC24,AE24,AG24)&gt;E24,"Si","No"),IF(MIN(AC24,AG24,AG24)&gt;AB24,"Si","No"))</f>
        <v/>
      </c>
      <c r="AJ24" s="328">
        <f>MIN(AC24,AE24,AG24)</f>
        <v/>
      </c>
      <c r="AK24" s="328">
        <f>IFERROR(IF(MIN(AF24,AH24)=AD24,IF(AE24=AG24,"Escenario 5","Escenario 4"),IF(MIN(AF24,AH24)&lt;AD24,IF(AND(AD24-2&lt;=MIN(AF24,AH24),AE24&lt;&gt;AG24),"Escenario 1",IF(AND(AD24-2&lt;=MIN(AF24,AH24),AE24=AG24),"Escenario 2","Escenario 3")),IF(MIN(AF24,AH24)&gt;AD24,IF(AND(AD24+2&gt;=MIN(AF24,AH24),AE24=AG24),"Escenario 7",IF(AND(AD24+2&gt;=MIN(AF24,AH24),AE24&lt;&gt;AG24),"Escenario 6",IF(AD24+5&lt;=MIN(AF24,AH24),"Escenario 9","Escenario 8"))),"error"))),"Falta info")</f>
        <v/>
      </c>
      <c r="AL24" s="98">
        <f>IFERROR(VLOOKUP(AK24,Base!$BJ$37:$BL$45,3,0),0)</f>
        <v/>
      </c>
      <c r="AM24" s="330">
        <f>IF(LOOKUP(AK24,Base!$X$8:$BG$8)=AK24,VLOOKUP(B24,Base!E:BG,AL24,0),0)</f>
        <v/>
      </c>
      <c r="AN24" s="330" t="n"/>
      <c r="AO24" s="331" t="n"/>
      <c r="AP24" s="331">
        <f>IF(AM24&lt;=AA24,"REVISAR!","ok")</f>
        <v/>
      </c>
      <c r="AQ24" s="331" t="n"/>
    </row>
    <row customHeight="1" ht="12.95" r="25" s="183" spans="1:43">
      <c r="B25" s="108" t="s">
        <v>112</v>
      </c>
      <c r="C25" s="89" t="s">
        <v>260</v>
      </c>
      <c r="D25" s="106">
        <f>VLOOKUP(B25,Base!E:G,3,0)</f>
        <v/>
      </c>
      <c r="E25" s="326">
        <f>IFERROR(IF(VLOOKUP(B25,Detalle!$A:$AA,$E$1,0)=0,"Sin datos",IFERROR(VLOOKUP(B25,Detalle!$A:$AA,$E$1,0),"Sin datos")),"")</f>
        <v/>
      </c>
      <c r="F25" s="91">
        <f>IFERROR(IF(VLOOKUP(B25,Detalle!$A:$AA,$F$1,0)=0,"Sin datos",IFERROR(VLOOKUP(B25,Detalle!$A:$AA,$F$1,0),"Sin datos")),"")</f>
        <v/>
      </c>
      <c r="G25" s="327">
        <f>IFERROR(IF(VLOOKUP(B25,Detalle!$A:$AA,$G$1,0)=0,"Sin datos",IFERROR(VLOOKUP(B25,Detalle!$A:$AA,$G$1,0),"Sin datos")),"")</f>
        <v/>
      </c>
      <c r="H25" s="93">
        <f>IFERROR(IF(VLOOKUP(B25,Detalle!$A:$AA,$H$1,0)=0,"Sin datos",IFERROR(VLOOKUP(B25,Detalle!$A:$AA,$H$1,0),"Sin datos")),"")</f>
        <v/>
      </c>
      <c r="I25" s="327">
        <f>IFERROR(IF(VLOOKUP(B25,Detalle!$A:$AA,$I$1,0)=0,"Sin datos",IFERROR(VLOOKUP(B25,Detalle!$A:$AA,$I$1,0),"Sin datos")),"")</f>
        <v/>
      </c>
      <c r="J25" s="93">
        <f>IFERROR(IF(VLOOKUP(B25,Detalle!$A:$AA,$J$1,0)=0,"Sin datos",IFERROR(VLOOKUP(B25,Detalle!$A:$AA,$J$1,0),"Sin datos")),"")</f>
        <v/>
      </c>
      <c r="K25" s="98" t="s">
        <v>293</v>
      </c>
      <c r="L25" s="328">
        <f>MIN(E25,G25,I25)</f>
        <v/>
      </c>
      <c r="M25" s="329">
        <f>IFERROR(IF(MIN(H25,J25)=F25,IF(G25=I25,"Escenario 5","Escenario 4"),IF(MIN(H25,J25)&lt;F25,IF(AND(F25-2&lt;=MIN(H25,J25),G25&lt;&gt;I25),"Escenario 1",IF(AND(F25-2&lt;=MIN(H25,J25),G25=I25),"Escenario 2","Escenario 3")),IF(MIN(H25,J25)&gt;F25,IF(AND(F25+2&gt;=MIN(H25,J25),G25=I25),"Escenario 7",IF(AND(F25+2&gt;=MIN(H25,J25),G25&lt;&gt;I25),"Escenario 6",IF(F25+5&lt;=MIN(H25,J25),"Escenario 9","Escenario 8"))),"error"))),"Falta info")</f>
        <v/>
      </c>
      <c r="N25" s="98">
        <f>IFERROR(VLOOKUP(M25,Base!$BJ$28:$BL$36,3,0),0)</f>
        <v/>
      </c>
      <c r="O25" s="330">
        <f>IF(LOOKUP(M25,Base!$X$8:$BG$8)=M25,VLOOKUP(B25,Base!E:BG,N25,0),0)</f>
        <v/>
      </c>
      <c r="P25" s="330" t="n"/>
      <c r="Q25" s="327">
        <f>IFERROR(IF(VLOOKUP(B25,Detalle!$A:$AA,$Q$1,0)=0,"Sin datos",IFERROR(VLOOKUP(B25,Detalle!$A:$AA,$Q$1,0),"Sin datos")),"")</f>
        <v/>
      </c>
      <c r="R25" s="93">
        <f>IFERROR(IF(VLOOKUP(B25,Detalle!$A:$AA,$R$1,0)=0,"Sin datos",IFERROR(VLOOKUP(B25,Detalle!$A:$AA,$R$1,0),"Sin datos")),"")</f>
        <v/>
      </c>
      <c r="S25" s="327">
        <f>IFERROR(IF(VLOOKUP(B25,Detalle!$A:$AA,$S$1,0)=0,"Sin datos",IFERROR(VLOOKUP(B25,Detalle!$A:$AA,$S$1,0),"Sin datos")),"")</f>
        <v/>
      </c>
      <c r="T25" s="93">
        <f>IFERROR(IF(VLOOKUP(B25,Detalle!$A:$AA,$T$1,0)=0,"Sin datos",IFERROR(VLOOKUP(B25,Detalle!$A:$AA,$T$1,0),"Sin datos")),"")</f>
        <v/>
      </c>
      <c r="U25" s="327">
        <f>IFERROR(IF(VLOOKUP(B25,Detalle!$A:$AA,$U$1,0)=0,"Sin datos",IFERROR(VLOOKUP(B25,Detalle!$A:$AA,$U$1,0),"Sin datos")),"")</f>
        <v/>
      </c>
      <c r="V25" s="93">
        <f>IFERROR(IF(VLOOKUP(B25,Detalle!$A:$AA,$V$1,0)=0,"Sin datos",IFERROR(VLOOKUP(B25,Detalle!$A:$AA,$V$1,0),"Sin datos")),"")</f>
        <v/>
      </c>
      <c r="W25" s="98">
        <f>IF(P25="",IF(MIN(Q25,S25,U25)&gt;E25,"Si","No"),IF(MIN(Q25,S25,U25)&gt;P25,"Si","No"))</f>
        <v/>
      </c>
      <c r="X25" s="328">
        <f>MIN(Q25,S25,U25)</f>
        <v/>
      </c>
      <c r="Y25" s="328">
        <f>IFERROR(IF(MIN(T25,V25)=R25,IF(S25=U25,"Escenario 5","Escenario 4"),IF(MIN(T25,V25)&lt;R25,IF(AND(R25-2&lt;=MIN(T25,V25),S25&lt;&gt;U25),"Escenario 1",IF(AND(R25-2&lt;=MIN(T25,V25),S25=U25),"Escenario 2","Escenario 3")),IF(MIN(T25,V25)&gt;R25,IF(AND(R25+2&gt;=MIN(T25,V25),S25=U25),"Escenario 7",IF(AND(R25+2&gt;=MIN(T25,V25),S25&lt;&gt;U25),"Escenario 6",IF(R25+5&lt;=MIN(T25,V25),"Escenario 9","Escenario 8"))),"error"))),"Falta info")</f>
        <v/>
      </c>
      <c r="Z25" s="98">
        <f>IFERROR(VLOOKUP(Y25,Base!$BJ$19:$BL$27,3,0),0)</f>
        <v/>
      </c>
      <c r="AA25" s="330">
        <f>IF(LOOKUP(Y25,Base!$X$8:$BG$8)=Y25,VLOOKUP(B25,Base!E:BG,Z25,0),0)</f>
        <v/>
      </c>
      <c r="AB25" s="330" t="n"/>
      <c r="AC25" s="327">
        <f>IFERROR(IF(VLOOKUP(B25,Detalle!$A:$AA,$AC$1,0)=0,"Sin datos",IFERROR(VLOOKUP(B25,Detalle!$A:$AA,$AC$1,0),"Sin datos")),"")</f>
        <v/>
      </c>
      <c r="AD25" s="93">
        <f>IFERROR(IF(VLOOKUP(B25,Detalle!$A:$AA,$AD$1,0)=0,"Sin datos",IFERROR(VLOOKUP(B25,Detalle!$A:$AA,$AD$1,0),"Sin datos")),"")</f>
        <v/>
      </c>
      <c r="AE25" s="327">
        <f>IFERROR(IF(VLOOKUP(B25,Detalle!$A:$AA,$AE$1,0)=0,"Sin datos",IFERROR(VLOOKUP(B25,Detalle!$A:$AA,$AE$1,0),"Sin datos")),"")</f>
        <v/>
      </c>
      <c r="AF25" s="93">
        <f>IFERROR(IF(VLOOKUP(B25,Detalle!$A:$AA,$AF$1,0)=0,"Sin datos",IFERROR(VLOOKUP(B25,Detalle!$A:$AA,$AF$1,0),"Sin datos")),"")</f>
        <v/>
      </c>
      <c r="AG25" s="327">
        <f>IFERROR(IF(VLOOKUP(B25,Detalle!$A:$AA,$AG$1,0)=0,"Sin datos",IFERROR(VLOOKUP(B25,Detalle!$A:$AA,$AG$1,0),"Sin datos")),"")</f>
        <v/>
      </c>
      <c r="AH25" s="93">
        <f>IFERROR(IF(VLOOKUP(B25,Detalle!$A:$AA,$AH$1,0)=0,"Sin datos",IFERROR(VLOOKUP(B25,Detalle!$A:$AA,$AH$1,0),"Sin datos")),"")</f>
        <v/>
      </c>
      <c r="AI25" s="98">
        <f>IF(AB25="",IF(MIN(AC25,AE25,AG25)&gt;E25,"Si","No"),IF(MIN(AC25,AG25,AG25)&gt;AB25,"Si","No"))</f>
        <v/>
      </c>
      <c r="AJ25" s="328">
        <f>MIN(AC25,AE25,AG25)</f>
        <v/>
      </c>
      <c r="AK25" s="328">
        <f>IFERROR(IF(MIN(AF25,AH25)=AD25,IF(AE25=AG25,"Escenario 5","Escenario 4"),IF(MIN(AF25,AH25)&lt;AD25,IF(AND(AD25-2&lt;=MIN(AF25,AH25),AE25&lt;&gt;AG25),"Escenario 1",IF(AND(AD25-2&lt;=MIN(AF25,AH25),AE25=AG25),"Escenario 2","Escenario 3")),IF(MIN(AF25,AH25)&gt;AD25,IF(AND(AD25+2&gt;=MIN(AF25,AH25),AE25=AG25),"Escenario 7",IF(AND(AD25+2&gt;=MIN(AF25,AH25),AE25&lt;&gt;AG25),"Escenario 6",IF(AD25+5&lt;=MIN(AF25,AH25),"Escenario 9","Escenario 8"))),"error"))),"Falta info")</f>
        <v/>
      </c>
      <c r="AL25" s="98">
        <f>IFERROR(VLOOKUP(AK25,Base!$BJ$37:$BL$45,3,0),0)</f>
        <v/>
      </c>
      <c r="AM25" s="330">
        <f>IF(LOOKUP(AK25,Base!$X$8:$BG$8)=AK25,VLOOKUP(B25,Base!E:BG,AL25,0),0)</f>
        <v/>
      </c>
      <c r="AN25" s="330" t="n"/>
      <c r="AO25" s="331" t="n"/>
      <c r="AP25" s="331">
        <f>IF(AM25&lt;=AA25,"REVISAR!","ok")</f>
        <v/>
      </c>
      <c r="AQ25" s="331" t="n"/>
    </row>
    <row customHeight="1" ht="12.95" r="26" s="183" spans="1:43">
      <c r="B26" s="108" t="s">
        <v>111</v>
      </c>
      <c r="C26" s="89" t="s">
        <v>260</v>
      </c>
      <c r="D26" s="106">
        <f>VLOOKUP(B26,Base!E:G,3,0)</f>
        <v/>
      </c>
      <c r="E26" s="326">
        <f>IFERROR(IF(VLOOKUP(B26,Detalle!$A:$AA,$E$1,0)=0,"Sin datos",IFERROR(VLOOKUP(B26,Detalle!$A:$AA,$E$1,0),"Sin datos")),"")</f>
        <v/>
      </c>
      <c r="F26" s="91">
        <f>IFERROR(IF(VLOOKUP(B26,Detalle!$A:$AA,$F$1,0)=0,"Sin datos",IFERROR(VLOOKUP(B26,Detalle!$A:$AA,$F$1,0),"Sin datos")),"")</f>
        <v/>
      </c>
      <c r="G26" s="327">
        <f>IFERROR(IF(VLOOKUP(B26,Detalle!$A:$AA,$G$1,0)=0,"Sin datos",IFERROR(VLOOKUP(B26,Detalle!$A:$AA,$G$1,0),"Sin datos")),"")</f>
        <v/>
      </c>
      <c r="H26" s="93">
        <f>IFERROR(IF(VLOOKUP(B26,Detalle!$A:$AA,$H$1,0)=0,"Sin datos",IFERROR(VLOOKUP(B26,Detalle!$A:$AA,$H$1,0),"Sin datos")),"")</f>
        <v/>
      </c>
      <c r="I26" s="327">
        <f>IFERROR(IF(VLOOKUP(B26,Detalle!$A:$AA,$I$1,0)=0,"Sin datos",IFERROR(VLOOKUP(B26,Detalle!$A:$AA,$I$1,0),"Sin datos")),"")</f>
        <v/>
      </c>
      <c r="J26" s="93">
        <f>IFERROR(IF(VLOOKUP(B26,Detalle!$A:$AA,$J$1,0)=0,"Sin datos",IFERROR(VLOOKUP(B26,Detalle!$A:$AA,$J$1,0),"Sin datos")),"")</f>
        <v/>
      </c>
      <c r="K26" s="98" t="s">
        <v>293</v>
      </c>
      <c r="L26" s="328">
        <f>MIN(E26,G26,I26)</f>
        <v/>
      </c>
      <c r="M26" s="329">
        <f>IFERROR(IF(MIN(H26,J26)=F26,IF(G26=I26,"Escenario 5","Escenario 4"),IF(MIN(H26,J26)&lt;F26,IF(AND(F26-2&lt;=MIN(H26,J26),G26&lt;&gt;I26),"Escenario 1",IF(AND(F26-2&lt;=MIN(H26,J26),G26=I26),"Escenario 2","Escenario 3")),IF(MIN(H26,J26)&gt;F26,IF(AND(F26+2&gt;=MIN(H26,J26),G26=I26),"Escenario 7",IF(AND(F26+2&gt;=MIN(H26,J26),G26&lt;&gt;I26),"Escenario 6",IF(F26+5&lt;=MIN(H26,J26),"Escenario 9","Escenario 8"))),"error"))),"Falta info")</f>
        <v/>
      </c>
      <c r="N26" s="98">
        <f>IFERROR(VLOOKUP(M26,Base!$BJ$28:$BL$36,3,0),0)</f>
        <v/>
      </c>
      <c r="O26" s="330">
        <f>IF(LOOKUP(M26,Base!$X$8:$BG$8)=M26,VLOOKUP(B26,Base!E:BG,N26,0),0)</f>
        <v/>
      </c>
      <c r="P26" s="330" t="n"/>
      <c r="Q26" s="327">
        <f>IFERROR(IF(VLOOKUP(B26,Detalle!$A:$AA,$Q$1,0)=0,"Sin datos",IFERROR(VLOOKUP(B26,Detalle!$A:$AA,$Q$1,0),"Sin datos")),"")</f>
        <v/>
      </c>
      <c r="R26" s="93">
        <f>IFERROR(IF(VLOOKUP(B26,Detalle!$A:$AA,$R$1,0)=0,"Sin datos",IFERROR(VLOOKUP(B26,Detalle!$A:$AA,$R$1,0),"Sin datos")),"")</f>
        <v/>
      </c>
      <c r="S26" s="327">
        <f>IFERROR(IF(VLOOKUP(B26,Detalle!$A:$AA,$S$1,0)=0,"Sin datos",IFERROR(VLOOKUP(B26,Detalle!$A:$AA,$S$1,0),"Sin datos")),"")</f>
        <v/>
      </c>
      <c r="T26" s="93">
        <f>IFERROR(IF(VLOOKUP(B26,Detalle!$A:$AA,$T$1,0)=0,"Sin datos",IFERROR(VLOOKUP(B26,Detalle!$A:$AA,$T$1,0),"Sin datos")),"")</f>
        <v/>
      </c>
      <c r="U26" s="327">
        <f>IFERROR(IF(VLOOKUP(B26,Detalle!$A:$AA,$U$1,0)=0,"Sin datos",IFERROR(VLOOKUP(B26,Detalle!$A:$AA,$U$1,0),"Sin datos")),"")</f>
        <v/>
      </c>
      <c r="V26" s="93">
        <f>IFERROR(IF(VLOOKUP(B26,Detalle!$A:$AA,$V$1,0)=0,"Sin datos",IFERROR(VLOOKUP(B26,Detalle!$A:$AA,$V$1,0),"Sin datos")),"")</f>
        <v/>
      </c>
      <c r="W26" s="98">
        <f>IF(P26="",IF(MIN(Q26,S26,U26)&gt;E26,"Si","No"),IF(MIN(Q26,S26,U26)&gt;P26,"Si","No"))</f>
        <v/>
      </c>
      <c r="X26" s="328">
        <f>MIN(Q26,S26,U26)</f>
        <v/>
      </c>
      <c r="Y26" s="328">
        <f>IFERROR(IF(MIN(T26,V26)=R26,IF(S26=U26,"Escenario 5","Escenario 4"),IF(MIN(T26,V26)&lt;R26,IF(AND(R26-2&lt;=MIN(T26,V26),S26&lt;&gt;U26),"Escenario 1",IF(AND(R26-2&lt;=MIN(T26,V26),S26=U26),"Escenario 2","Escenario 3")),IF(MIN(T26,V26)&gt;R26,IF(AND(R26+2&gt;=MIN(T26,V26),S26=U26),"Escenario 7",IF(AND(R26+2&gt;=MIN(T26,V26),S26&lt;&gt;U26),"Escenario 6",IF(R26+5&lt;=MIN(T26,V26),"Escenario 9","Escenario 8"))),"error"))),"Falta info")</f>
        <v/>
      </c>
      <c r="Z26" s="98">
        <f>IFERROR(VLOOKUP(Y26,Base!$BJ$19:$BL$27,3,0),0)</f>
        <v/>
      </c>
      <c r="AA26" s="330">
        <f>IF(LOOKUP(Y26,Base!$X$8:$BG$8)=Y26,VLOOKUP(B26,Base!E:BG,Z26,0),0)</f>
        <v/>
      </c>
      <c r="AB26" s="330" t="n"/>
      <c r="AC26" s="327">
        <f>IFERROR(IF(VLOOKUP(B26,Detalle!$A:$AA,$AC$1,0)=0,"Sin datos",IFERROR(VLOOKUP(B26,Detalle!$A:$AA,$AC$1,0),"Sin datos")),"")</f>
        <v/>
      </c>
      <c r="AD26" s="93">
        <f>IFERROR(IF(VLOOKUP(B26,Detalle!$A:$AA,$AD$1,0)=0,"Sin datos",IFERROR(VLOOKUP(B26,Detalle!$A:$AA,$AD$1,0),"Sin datos")),"")</f>
        <v/>
      </c>
      <c r="AE26" s="327">
        <f>IFERROR(IF(VLOOKUP(B26,Detalle!$A:$AA,$AE$1,0)=0,"Sin datos",IFERROR(VLOOKUP(B26,Detalle!$A:$AA,$AE$1,0),"Sin datos")),"")</f>
        <v/>
      </c>
      <c r="AF26" s="93">
        <f>IFERROR(IF(VLOOKUP(B26,Detalle!$A:$AA,$AF$1,0)=0,"Sin datos",IFERROR(VLOOKUP(B26,Detalle!$A:$AA,$AF$1,0),"Sin datos")),"")</f>
        <v/>
      </c>
      <c r="AG26" s="327">
        <f>IFERROR(IF(VLOOKUP(B26,Detalle!$A:$AA,$AG$1,0)=0,"Sin datos",IFERROR(VLOOKUP(B26,Detalle!$A:$AA,$AG$1,0),"Sin datos")),"")</f>
        <v/>
      </c>
      <c r="AH26" s="93">
        <f>IFERROR(IF(VLOOKUP(B26,Detalle!$A:$AA,$AH$1,0)=0,"Sin datos",IFERROR(VLOOKUP(B26,Detalle!$A:$AA,$AH$1,0),"Sin datos")),"")</f>
        <v/>
      </c>
      <c r="AI26" s="98">
        <f>IF(AB26="",IF(MIN(AC26,AE26,AG26)&gt;E26,"Si","No"),IF(MIN(AC26,AG26,AG26)&gt;AB26,"Si","No"))</f>
        <v/>
      </c>
      <c r="AJ26" s="328">
        <f>MIN(AC26,AE26,AG26)</f>
        <v/>
      </c>
      <c r="AK26" s="328">
        <f>IFERROR(IF(MIN(AF26,AH26)=AD26,IF(AE26=AG26,"Escenario 5","Escenario 4"),IF(MIN(AF26,AH26)&lt;AD26,IF(AND(AD26-2&lt;=MIN(AF26,AH26),AE26&lt;&gt;AG26),"Escenario 1",IF(AND(AD26-2&lt;=MIN(AF26,AH26),AE26=AG26),"Escenario 2","Escenario 3")),IF(MIN(AF26,AH26)&gt;AD26,IF(AND(AD26+2&gt;=MIN(AF26,AH26),AE26=AG26),"Escenario 7",IF(AND(AD26+2&gt;=MIN(AF26,AH26),AE26&lt;&gt;AG26),"Escenario 6",IF(AD26+5&lt;=MIN(AF26,AH26),"Escenario 9","Escenario 8"))),"error"))),"Falta info")</f>
        <v/>
      </c>
      <c r="AL26" s="98">
        <f>IFERROR(VLOOKUP(AK26,Base!$BJ$37:$BL$45,3,0),0)</f>
        <v/>
      </c>
      <c r="AM26" s="330">
        <f>IF(LOOKUP(AK26,Base!$X$8:$BG$8)=AK26,VLOOKUP(B26,Base!E:BG,AL26,0),0)</f>
        <v/>
      </c>
      <c r="AN26" s="330" t="n"/>
      <c r="AO26" s="331" t="n"/>
      <c r="AP26" s="331">
        <f>IF(AM26&lt;=AA26,"REVISAR!","ok")</f>
        <v/>
      </c>
      <c r="AQ26" s="331" t="n"/>
    </row>
    <row customHeight="1" ht="12.95" r="27" s="183" spans="1:43">
      <c r="B27" s="108" t="s">
        <v>125</v>
      </c>
      <c r="C27" s="89" t="s">
        <v>260</v>
      </c>
      <c r="D27" s="106">
        <f>VLOOKUP(B27,Base!E:G,3,0)</f>
        <v/>
      </c>
      <c r="E27" s="326">
        <f>IFERROR(IF(VLOOKUP(B27,Detalle!$A:$AA,$E$1,0)=0,"Sin datos",IFERROR(VLOOKUP(B27,Detalle!$A:$AA,$E$1,0),"Sin datos")),"")</f>
        <v/>
      </c>
      <c r="F27" s="91">
        <f>IFERROR(IF(VLOOKUP(B27,Detalle!$A:$AA,$F$1,0)=0,"Sin datos",IFERROR(VLOOKUP(B27,Detalle!$A:$AA,$F$1,0),"Sin datos")),"")</f>
        <v/>
      </c>
      <c r="G27" s="327">
        <f>IFERROR(IF(VLOOKUP(B27,Detalle!$A:$AA,$G$1,0)=0,"Sin datos",IFERROR(VLOOKUP(B27,Detalle!$A:$AA,$G$1,0),"Sin datos")),"")</f>
        <v/>
      </c>
      <c r="H27" s="93">
        <f>IFERROR(IF(VLOOKUP(B27,Detalle!$A:$AA,$H$1,0)=0,"Sin datos",IFERROR(VLOOKUP(B27,Detalle!$A:$AA,$H$1,0),"Sin datos")),"")</f>
        <v/>
      </c>
      <c r="I27" s="327">
        <f>IFERROR(IF(VLOOKUP(B27,Detalle!$A:$AA,$I$1,0)=0,"Sin datos",IFERROR(VLOOKUP(B27,Detalle!$A:$AA,$I$1,0),"Sin datos")),"")</f>
        <v/>
      </c>
      <c r="J27" s="93">
        <f>IFERROR(IF(VLOOKUP(B27,Detalle!$A:$AA,$J$1,0)=0,"Sin datos",IFERROR(VLOOKUP(B27,Detalle!$A:$AA,$J$1,0),"Sin datos")),"")</f>
        <v/>
      </c>
      <c r="K27" s="98" t="s">
        <v>293</v>
      </c>
      <c r="L27" s="328">
        <f>MIN(E27,G27,I27)</f>
        <v/>
      </c>
      <c r="M27" s="329">
        <f>IFERROR(IF(MIN(H27,J27)=F27,IF(G27=I27,"Escenario 5","Escenario 4"),IF(MIN(H27,J27)&lt;F27,IF(AND(F27-2&lt;=MIN(H27,J27),G27&lt;&gt;I27),"Escenario 1",IF(AND(F27-2&lt;=MIN(H27,J27),G27=I27),"Escenario 2","Escenario 3")),IF(MIN(H27,J27)&gt;F27,IF(AND(F27+2&gt;=MIN(H27,J27),G27=I27),"Escenario 7",IF(AND(F27+2&gt;=MIN(H27,J27),G27&lt;&gt;I27),"Escenario 6",IF(F27+5&lt;=MIN(H27,J27),"Escenario 9","Escenario 8"))),"error"))),"Falta info")</f>
        <v/>
      </c>
      <c r="N27" s="98">
        <f>IFERROR(VLOOKUP(M27,Base!$BJ$28:$BL$36,3,0),0)</f>
        <v/>
      </c>
      <c r="O27" s="330">
        <f>IF(LOOKUP(M27,Base!$X$8:$BG$8)=M27,VLOOKUP(B27,Base!E:BG,N27,0),0)</f>
        <v/>
      </c>
      <c r="P27" s="330" t="n"/>
      <c r="Q27" s="327">
        <f>IFERROR(IF(VLOOKUP(B27,Detalle!$A:$AA,$Q$1,0)=0,"Sin datos",IFERROR(VLOOKUP(B27,Detalle!$A:$AA,$Q$1,0),"Sin datos")),"")</f>
        <v/>
      </c>
      <c r="R27" s="93">
        <f>IFERROR(IF(VLOOKUP(B27,Detalle!$A:$AA,$R$1,0)=0,"Sin datos",IFERROR(VLOOKUP(B27,Detalle!$A:$AA,$R$1,0),"Sin datos")),"")</f>
        <v/>
      </c>
      <c r="S27" s="327">
        <f>IFERROR(IF(VLOOKUP(B27,Detalle!$A:$AA,$S$1,0)=0,"Sin datos",IFERROR(VLOOKUP(B27,Detalle!$A:$AA,$S$1,0),"Sin datos")),"")</f>
        <v/>
      </c>
      <c r="T27" s="93">
        <f>IFERROR(IF(VLOOKUP(B27,Detalle!$A:$AA,$T$1,0)=0,"Sin datos",IFERROR(VLOOKUP(B27,Detalle!$A:$AA,$T$1,0),"Sin datos")),"")</f>
        <v/>
      </c>
      <c r="U27" s="327">
        <f>IFERROR(IF(VLOOKUP(B27,Detalle!$A:$AA,$U$1,0)=0,"Sin datos",IFERROR(VLOOKUP(B27,Detalle!$A:$AA,$U$1,0),"Sin datos")),"")</f>
        <v/>
      </c>
      <c r="V27" s="93">
        <f>IFERROR(IF(VLOOKUP(B27,Detalle!$A:$AA,$V$1,0)=0,"Sin datos",IFERROR(VLOOKUP(B27,Detalle!$A:$AA,$V$1,0),"Sin datos")),"")</f>
        <v/>
      </c>
      <c r="W27" s="98">
        <f>IF(P27="",IF(MIN(Q27,S27,U27)&gt;E27,"Si","No"),IF(MIN(Q27,S27,U27)&gt;P27,"Si","No"))</f>
        <v/>
      </c>
      <c r="X27" s="328">
        <f>MIN(Q27,S27,U27)</f>
        <v/>
      </c>
      <c r="Y27" s="328">
        <f>IFERROR(IF(MIN(T27,V27)=R27,IF(S27=U27,"Escenario 5","Escenario 4"),IF(MIN(T27,V27)&lt;R27,IF(AND(R27-2&lt;=MIN(T27,V27),S27&lt;&gt;U27),"Escenario 1",IF(AND(R27-2&lt;=MIN(T27,V27),S27=U27),"Escenario 2","Escenario 3")),IF(MIN(T27,V27)&gt;R27,IF(AND(R27+2&gt;=MIN(T27,V27),S27=U27),"Escenario 7",IF(AND(R27+2&gt;=MIN(T27,V27),S27&lt;&gt;U27),"Escenario 6",IF(R27+5&lt;=MIN(T27,V27),"Escenario 9","Escenario 8"))),"error"))),"Falta info")</f>
        <v/>
      </c>
      <c r="Z27" s="98">
        <f>IFERROR(VLOOKUP(Y27,Base!$BJ$19:$BL$27,3,0),0)</f>
        <v/>
      </c>
      <c r="AA27" s="330">
        <f>IF(LOOKUP(Y27,Base!$X$8:$BG$8)=Y27,VLOOKUP(B27,Base!E:BG,Z27,0),0)</f>
        <v/>
      </c>
      <c r="AB27" s="330" t="n"/>
      <c r="AC27" s="327">
        <f>IFERROR(IF(VLOOKUP(B27,Detalle!$A:$AA,$AC$1,0)=0,"Sin datos",IFERROR(VLOOKUP(B27,Detalle!$A:$AA,$AC$1,0),"Sin datos")),"")</f>
        <v/>
      </c>
      <c r="AD27" s="93">
        <f>IFERROR(IF(VLOOKUP(B27,Detalle!$A:$AA,$AD$1,0)=0,"Sin datos",IFERROR(VLOOKUP(B27,Detalle!$A:$AA,$AD$1,0),"Sin datos")),"")</f>
        <v/>
      </c>
      <c r="AE27" s="327">
        <f>IFERROR(IF(VLOOKUP(B27,Detalle!$A:$AA,$AE$1,0)=0,"Sin datos",IFERROR(VLOOKUP(B27,Detalle!$A:$AA,$AE$1,0),"Sin datos")),"")</f>
        <v/>
      </c>
      <c r="AF27" s="93">
        <f>IFERROR(IF(VLOOKUP(B27,Detalle!$A:$AA,$AF$1,0)=0,"Sin datos",IFERROR(VLOOKUP(B27,Detalle!$A:$AA,$AF$1,0),"Sin datos")),"")</f>
        <v/>
      </c>
      <c r="AG27" s="327">
        <f>IFERROR(IF(VLOOKUP(B27,Detalle!$A:$AA,$AG$1,0)=0,"Sin datos",IFERROR(VLOOKUP(B27,Detalle!$A:$AA,$AG$1,0),"Sin datos")),"")</f>
        <v/>
      </c>
      <c r="AH27" s="93">
        <f>IFERROR(IF(VLOOKUP(B27,Detalle!$A:$AA,$AH$1,0)=0,"Sin datos",IFERROR(VLOOKUP(B27,Detalle!$A:$AA,$AH$1,0),"Sin datos")),"")</f>
        <v/>
      </c>
      <c r="AI27" s="98">
        <f>IF(AB27="",IF(MIN(AC27,AE27,AG27)&gt;E27,"Si","No"),IF(MIN(AC27,AG27,AG27)&gt;AB27,"Si","No"))</f>
        <v/>
      </c>
      <c r="AJ27" s="328">
        <f>MIN(AC27,AE27,AG27)</f>
        <v/>
      </c>
      <c r="AK27" s="328">
        <f>IFERROR(IF(MIN(AF27,AH27)=AD27,IF(AE27=AG27,"Escenario 5","Escenario 4"),IF(MIN(AF27,AH27)&lt;AD27,IF(AND(AD27-2&lt;=MIN(AF27,AH27),AE27&lt;&gt;AG27),"Escenario 1",IF(AND(AD27-2&lt;=MIN(AF27,AH27),AE27=AG27),"Escenario 2","Escenario 3")),IF(MIN(AF27,AH27)&gt;AD27,IF(AND(AD27+2&gt;=MIN(AF27,AH27),AE27=AG27),"Escenario 7",IF(AND(AD27+2&gt;=MIN(AF27,AH27),AE27&lt;&gt;AG27),"Escenario 6",IF(AD27+5&lt;=MIN(AF27,AH27),"Escenario 9","Escenario 8"))),"error"))),"Falta info")</f>
        <v/>
      </c>
      <c r="AL27" s="98">
        <f>IFERROR(VLOOKUP(AK27,Base!$BJ$37:$BL$45,3,0),0)</f>
        <v/>
      </c>
      <c r="AM27" s="330">
        <f>IF(LOOKUP(AK27,Base!$X$8:$BG$8)=AK27,VLOOKUP(B27,Base!E:BG,AL27,0),0)</f>
        <v/>
      </c>
      <c r="AN27" s="330" t="n"/>
      <c r="AO27" s="331" t="n"/>
      <c r="AP27" s="331">
        <f>IF(AM27&lt;=AA27,"REVISAR!","ok")</f>
        <v/>
      </c>
      <c r="AQ27" s="331" t="n"/>
    </row>
    <row customHeight="1" ht="12.75" r="28" s="183" spans="1:43">
      <c r="B28" s="108" t="s">
        <v>115</v>
      </c>
      <c r="C28" s="89" t="s">
        <v>260</v>
      </c>
      <c r="D28" s="106">
        <f>VLOOKUP(B28,Base!E:G,3,0)</f>
        <v/>
      </c>
      <c r="E28" s="326">
        <f>IFERROR(IF(VLOOKUP(B28,Detalle!$A:$AA,$E$1,0)=0,"Sin datos",IFERROR(VLOOKUP(B28,Detalle!$A:$AA,$E$1,0),"Sin datos")),"")</f>
        <v/>
      </c>
      <c r="F28" s="91">
        <f>IFERROR(IF(VLOOKUP(B28,Detalle!$A:$AA,$F$1,0)=0,"Sin datos",IFERROR(VLOOKUP(B28,Detalle!$A:$AA,$F$1,0),"Sin datos")),"")</f>
        <v/>
      </c>
      <c r="G28" s="327">
        <f>IFERROR(IF(VLOOKUP(B28,Detalle!$A:$AA,$G$1,0)=0,"Sin datos",IFERROR(VLOOKUP(B28,Detalle!$A:$AA,$G$1,0),"Sin datos")),"")</f>
        <v/>
      </c>
      <c r="H28" s="93">
        <f>IFERROR(IF(VLOOKUP(B28,Detalle!$A:$AA,$H$1,0)=0,"Sin datos",IFERROR(VLOOKUP(B28,Detalle!$A:$AA,$H$1,0),"Sin datos")),"")</f>
        <v/>
      </c>
      <c r="I28" s="327">
        <f>IFERROR(IF(VLOOKUP(B28,Detalle!$A:$AA,$I$1,0)=0,"Sin datos",IFERROR(VLOOKUP(B28,Detalle!$A:$AA,$I$1,0),"Sin datos")),"")</f>
        <v/>
      </c>
      <c r="J28" s="93">
        <f>IFERROR(IF(VLOOKUP(B28,Detalle!$A:$AA,$J$1,0)=0,"Sin datos",IFERROR(VLOOKUP(B28,Detalle!$A:$AA,$J$1,0),"Sin datos")),"")</f>
        <v/>
      </c>
      <c r="K28" s="98" t="s">
        <v>293</v>
      </c>
      <c r="L28" s="328">
        <f>MIN(E28,G28,I28)</f>
        <v/>
      </c>
      <c r="M28" s="329">
        <f>IFERROR(IF(MIN(H28,J28)=F28,IF(G28=I28,"Escenario 5","Escenario 4"),IF(MIN(H28,J28)&lt;F28,IF(AND(F28-2&lt;=MIN(H28,J28),G28&lt;&gt;I28),"Escenario 1",IF(AND(F28-2&lt;=MIN(H28,J28),G28=I28),"Escenario 2","Escenario 3")),IF(MIN(H28,J28)&gt;F28,IF(AND(F28+2&gt;=MIN(H28,J28),G28=I28),"Escenario 7",IF(AND(F28+2&gt;=MIN(H28,J28),G28&lt;&gt;I28),"Escenario 6",IF(F28+5&lt;=MIN(H28,J28),"Escenario 9","Escenario 8"))),"error"))),"Falta info")</f>
        <v/>
      </c>
      <c r="N28" s="98">
        <f>IFERROR(VLOOKUP(M28,Base!$BJ$28:$BL$36,3,0),0)</f>
        <v/>
      </c>
      <c r="O28" s="330">
        <f>IF(LOOKUP(M28,Base!$X$8:$BG$8)=M28,VLOOKUP(B28,Base!E:BG,N28,0),0)</f>
        <v/>
      </c>
      <c r="P28" s="330" t="n"/>
      <c r="Q28" s="327">
        <f>IFERROR(IF(VLOOKUP(B28,Detalle!$A:$AA,$Q$1,0)=0,"Sin datos",IFERROR(VLOOKUP(B28,Detalle!$A:$AA,$Q$1,0),"Sin datos")),"")</f>
        <v/>
      </c>
      <c r="R28" s="93">
        <f>IFERROR(IF(VLOOKUP(B28,Detalle!$A:$AA,$R$1,0)=0,"Sin datos",IFERROR(VLOOKUP(B28,Detalle!$A:$AA,$R$1,0),"Sin datos")),"")</f>
        <v/>
      </c>
      <c r="S28" s="327">
        <f>IFERROR(IF(VLOOKUP(B28,Detalle!$A:$AA,$S$1,0)=0,"Sin datos",IFERROR(VLOOKUP(B28,Detalle!$A:$AA,$S$1,0),"Sin datos")),"")</f>
        <v/>
      </c>
      <c r="T28" s="93">
        <f>IFERROR(IF(VLOOKUP(B28,Detalle!$A:$AA,$T$1,0)=0,"Sin datos",IFERROR(VLOOKUP(B28,Detalle!$A:$AA,$T$1,0),"Sin datos")),"")</f>
        <v/>
      </c>
      <c r="U28" s="327">
        <f>IFERROR(IF(VLOOKUP(B28,Detalle!$A:$AA,$U$1,0)=0,"Sin datos",IFERROR(VLOOKUP(B28,Detalle!$A:$AA,$U$1,0),"Sin datos")),"")</f>
        <v/>
      </c>
      <c r="V28" s="93">
        <f>IFERROR(IF(VLOOKUP(B28,Detalle!$A:$AA,$V$1,0)=0,"Sin datos",IFERROR(VLOOKUP(B28,Detalle!$A:$AA,$V$1,0),"Sin datos")),"")</f>
        <v/>
      </c>
      <c r="W28" s="98">
        <f>IF(P28="",IF(MIN(Q28,S28,U28)&gt;E28,"Si","No"),IF(MIN(Q28,S28,U28)&gt;P28,"Si","No"))</f>
        <v/>
      </c>
      <c r="X28" s="328">
        <f>MIN(Q28,S28,U28)</f>
        <v/>
      </c>
      <c r="Y28" s="328">
        <f>IFERROR(IF(MIN(T28,V28)=R28,IF(S28=U28,"Escenario 5","Escenario 4"),IF(MIN(T28,V28)&lt;R28,IF(AND(R28-2&lt;=MIN(T28,V28),S28&lt;&gt;U28),"Escenario 1",IF(AND(R28-2&lt;=MIN(T28,V28),S28=U28),"Escenario 2","Escenario 3")),IF(MIN(T28,V28)&gt;R28,IF(AND(R28+2&gt;=MIN(T28,V28),S28=U28),"Escenario 7",IF(AND(R28+2&gt;=MIN(T28,V28),S28&lt;&gt;U28),"Escenario 6",IF(R28+5&lt;=MIN(T28,V28),"Escenario 9","Escenario 8"))),"error"))),"Falta info")</f>
        <v/>
      </c>
      <c r="Z28" s="98">
        <f>IFERROR(VLOOKUP(Y28,Base!$BJ$19:$BL$27,3,0),0)</f>
        <v/>
      </c>
      <c r="AA28" s="330">
        <f>IF(LOOKUP(Y28,Base!$X$8:$BG$8)=Y28,VLOOKUP(B28,Base!E:BG,Z28,0),0)</f>
        <v/>
      </c>
      <c r="AB28" s="330" t="n"/>
      <c r="AC28" s="327">
        <f>IFERROR(IF(VLOOKUP(B28,Detalle!$A:$AA,$AC$1,0)=0,"Sin datos",IFERROR(VLOOKUP(B28,Detalle!$A:$AA,$AC$1,0),"Sin datos")),"")</f>
        <v/>
      </c>
      <c r="AD28" s="93">
        <f>IFERROR(IF(VLOOKUP(B28,Detalle!$A:$AA,$AD$1,0)=0,"Sin datos",IFERROR(VLOOKUP(B28,Detalle!$A:$AA,$AD$1,0),"Sin datos")),"")</f>
        <v/>
      </c>
      <c r="AE28" s="327">
        <f>IFERROR(IF(VLOOKUP(B28,Detalle!$A:$AA,$AE$1,0)=0,"Sin datos",IFERROR(VLOOKUP(B28,Detalle!$A:$AA,$AE$1,0),"Sin datos")),"")</f>
        <v/>
      </c>
      <c r="AF28" s="93">
        <f>IFERROR(IF(VLOOKUP(B28,Detalle!$A:$AA,$AF$1,0)=0,"Sin datos",IFERROR(VLOOKUP(B28,Detalle!$A:$AA,$AF$1,0),"Sin datos")),"")</f>
        <v/>
      </c>
      <c r="AG28" s="327">
        <f>IFERROR(IF(VLOOKUP(B28,Detalle!$A:$AA,$AG$1,0)=0,"Sin datos",IFERROR(VLOOKUP(B28,Detalle!$A:$AA,$AG$1,0),"Sin datos")),"")</f>
        <v/>
      </c>
      <c r="AH28" s="93">
        <f>IFERROR(IF(VLOOKUP(B28,Detalle!$A:$AA,$AH$1,0)=0,"Sin datos",IFERROR(VLOOKUP(B28,Detalle!$A:$AA,$AH$1,0),"Sin datos")),"")</f>
        <v/>
      </c>
      <c r="AI28" s="98">
        <f>IF(AB28="",IF(MIN(AC28,AE28,AG28)&gt;E28,"Si","No"),IF(MIN(AC28,AG28,AG28)&gt;AB28,"Si","No"))</f>
        <v/>
      </c>
      <c r="AJ28" s="328">
        <f>MIN(AC28,AE28,AG28)</f>
        <v/>
      </c>
      <c r="AK28" s="328">
        <f>IFERROR(IF(MIN(AF28,AH28)=AD28,IF(AE28=AG28,"Escenario 5","Escenario 4"),IF(MIN(AF28,AH28)&lt;AD28,IF(AND(AD28-2&lt;=MIN(AF28,AH28),AE28&lt;&gt;AG28),"Escenario 1",IF(AND(AD28-2&lt;=MIN(AF28,AH28),AE28=AG28),"Escenario 2","Escenario 3")),IF(MIN(AF28,AH28)&gt;AD28,IF(AND(AD28+2&gt;=MIN(AF28,AH28),AE28=AG28),"Escenario 7",IF(AND(AD28+2&gt;=MIN(AF28,AH28),AE28&lt;&gt;AG28),"Escenario 6",IF(AD28+5&lt;=MIN(AF28,AH28),"Escenario 9","Escenario 8"))),"error"))),"Falta info")</f>
        <v/>
      </c>
      <c r="AL28" s="98">
        <f>IFERROR(VLOOKUP(AK28,Base!$BJ$37:$BL$45,3,0),0)</f>
        <v/>
      </c>
      <c r="AM28" s="330">
        <f>IF(LOOKUP(AK28,Base!$X$8:$BG$8)=AK28,VLOOKUP(B28,Base!E:BG,AL28,0),0)</f>
        <v/>
      </c>
      <c r="AN28" s="330" t="n"/>
      <c r="AO28" s="331" t="n"/>
      <c r="AP28" s="331">
        <f>IF(AM28&lt;=AA28,"REVISAR!","ok")</f>
        <v/>
      </c>
      <c r="AQ28" s="331" t="n"/>
    </row>
    <row customHeight="1" ht="12.95" r="29" s="183" spans="1:43">
      <c r="B29" s="108" t="s">
        <v>110</v>
      </c>
      <c r="C29" s="89" t="s">
        <v>260</v>
      </c>
      <c r="D29" s="106">
        <f>VLOOKUP(B29,Base!E:G,3,0)</f>
        <v/>
      </c>
      <c r="E29" s="326">
        <f>IFERROR(IF(VLOOKUP(B29,Detalle!$A:$AA,$E$1,0)=0,"Sin datos",IFERROR(VLOOKUP(B29,Detalle!$A:$AA,$E$1,0),"Sin datos")),"")</f>
        <v/>
      </c>
      <c r="F29" s="91">
        <f>IFERROR(IF(VLOOKUP(B29,Detalle!$A:$AA,$F$1,0)=0,"Sin datos",IFERROR(VLOOKUP(B29,Detalle!$A:$AA,$F$1,0),"Sin datos")),"")</f>
        <v/>
      </c>
      <c r="G29" s="327">
        <f>IFERROR(IF(VLOOKUP(B29,Detalle!$A:$AA,$G$1,0)=0,"Sin datos",IFERROR(VLOOKUP(B29,Detalle!$A:$AA,$G$1,0),"Sin datos")),"")</f>
        <v/>
      </c>
      <c r="H29" s="93">
        <f>IFERROR(IF(VLOOKUP(B29,Detalle!$A:$AA,$H$1,0)=0,"Sin datos",IFERROR(VLOOKUP(B29,Detalle!$A:$AA,$H$1,0),"Sin datos")),"")</f>
        <v/>
      </c>
      <c r="I29" s="327">
        <f>IFERROR(IF(VLOOKUP(B29,Detalle!$A:$AA,$I$1,0)=0,"Sin datos",IFERROR(VLOOKUP(B29,Detalle!$A:$AA,$I$1,0),"Sin datos")),"")</f>
        <v/>
      </c>
      <c r="J29" s="93">
        <f>IFERROR(IF(VLOOKUP(B29,Detalle!$A:$AA,$J$1,0)=0,"Sin datos",IFERROR(VLOOKUP(B29,Detalle!$A:$AA,$J$1,0),"Sin datos")),"")</f>
        <v/>
      </c>
      <c r="K29" s="98" t="s">
        <v>293</v>
      </c>
      <c r="L29" s="328">
        <f>MIN(E29,G29,I29)</f>
        <v/>
      </c>
      <c r="M29" s="329">
        <f>IFERROR(IF(MIN(H29,J29)=F29,IF(G29=I29,"Escenario 5","Escenario 4"),IF(MIN(H29,J29)&lt;F29,IF(AND(F29-2&lt;=MIN(H29,J29),G29&lt;&gt;I29),"Escenario 1",IF(AND(F29-2&lt;=MIN(H29,J29),G29=I29),"Escenario 2","Escenario 3")),IF(MIN(H29,J29)&gt;F29,IF(AND(F29+2&gt;=MIN(H29,J29),G29=I29),"Escenario 7",IF(AND(F29+2&gt;=MIN(H29,J29),G29&lt;&gt;I29),"Escenario 6",IF(F29+5&lt;=MIN(H29,J29),"Escenario 9","Escenario 8"))),"error"))),"Falta info")</f>
        <v/>
      </c>
      <c r="N29" s="98">
        <f>IFERROR(VLOOKUP(M29,Base!$BJ$28:$BL$36,3,0),0)</f>
        <v/>
      </c>
      <c r="O29" s="330">
        <f>IF(LOOKUP(M29,Base!$X$8:$BG$8)=M29,VLOOKUP(B29,Base!E:BG,N29,0),0)</f>
        <v/>
      </c>
      <c r="P29" s="330" t="n"/>
      <c r="Q29" s="327">
        <f>IFERROR(IF(VLOOKUP(B29,Detalle!$A:$AA,$Q$1,0)=0,"Sin datos",IFERROR(VLOOKUP(B29,Detalle!$A:$AA,$Q$1,0),"Sin datos")),"")</f>
        <v/>
      </c>
      <c r="R29" s="93">
        <f>IFERROR(IF(VLOOKUP(B29,Detalle!$A:$AA,$R$1,0)=0,"Sin datos",IFERROR(VLOOKUP(B29,Detalle!$A:$AA,$R$1,0),"Sin datos")),"")</f>
        <v/>
      </c>
      <c r="S29" s="327">
        <f>IFERROR(IF(VLOOKUP(B29,Detalle!$A:$AA,$S$1,0)=0,"Sin datos",IFERROR(VLOOKUP(B29,Detalle!$A:$AA,$S$1,0),"Sin datos")),"")</f>
        <v/>
      </c>
      <c r="T29" s="93">
        <f>IFERROR(IF(VLOOKUP(B29,Detalle!$A:$AA,$T$1,0)=0,"Sin datos",IFERROR(VLOOKUP(B29,Detalle!$A:$AA,$T$1,0),"Sin datos")),"")</f>
        <v/>
      </c>
      <c r="U29" s="327">
        <f>IFERROR(IF(VLOOKUP(B29,Detalle!$A:$AA,$U$1,0)=0,"Sin datos",IFERROR(VLOOKUP(B29,Detalle!$A:$AA,$U$1,0),"Sin datos")),"")</f>
        <v/>
      </c>
      <c r="V29" s="93">
        <f>IFERROR(IF(VLOOKUP(B29,Detalle!$A:$AA,$V$1,0)=0,"Sin datos",IFERROR(VLOOKUP(B29,Detalle!$A:$AA,$V$1,0),"Sin datos")),"")</f>
        <v/>
      </c>
      <c r="W29" s="98">
        <f>IF(P29="",IF(MIN(Q29,S29,U29)&gt;E29,"Si","No"),IF(MIN(Q29,S29,U29)&gt;P29,"Si","No"))</f>
        <v/>
      </c>
      <c r="X29" s="328">
        <f>MIN(Q29,S29,U29)</f>
        <v/>
      </c>
      <c r="Y29" s="328">
        <f>IFERROR(IF(MIN(T29,V29)=R29,IF(S29=U29,"Escenario 5","Escenario 4"),IF(MIN(T29,V29)&lt;R29,IF(AND(R29-2&lt;=MIN(T29,V29),S29&lt;&gt;U29),"Escenario 1",IF(AND(R29-2&lt;=MIN(T29,V29),S29=U29),"Escenario 2","Escenario 3")),IF(MIN(T29,V29)&gt;R29,IF(AND(R29+2&gt;=MIN(T29,V29),S29=U29),"Escenario 7",IF(AND(R29+2&gt;=MIN(T29,V29),S29&lt;&gt;U29),"Escenario 6",IF(R29+5&lt;=MIN(T29,V29),"Escenario 9","Escenario 8"))),"error"))),"Falta info")</f>
        <v/>
      </c>
      <c r="Z29" s="98">
        <f>IFERROR(VLOOKUP(Y29,Base!$BJ$19:$BL$27,3,0),0)</f>
        <v/>
      </c>
      <c r="AA29" s="330">
        <f>IF(LOOKUP(Y29,Base!$X$8:$BG$8)=Y29,VLOOKUP(B29,Base!E:BG,Z29,0),0)</f>
        <v/>
      </c>
      <c r="AB29" s="330" t="n"/>
      <c r="AC29" s="327">
        <f>IFERROR(IF(VLOOKUP(B29,Detalle!$A:$AA,$AC$1,0)=0,"Sin datos",IFERROR(VLOOKUP(B29,Detalle!$A:$AA,$AC$1,0),"Sin datos")),"")</f>
        <v/>
      </c>
      <c r="AD29" s="93">
        <f>IFERROR(IF(VLOOKUP(B29,Detalle!$A:$AA,$AD$1,0)=0,"Sin datos",IFERROR(VLOOKUP(B29,Detalle!$A:$AA,$AD$1,0),"Sin datos")),"")</f>
        <v/>
      </c>
      <c r="AE29" s="327">
        <f>IFERROR(IF(VLOOKUP(B29,Detalle!$A:$AA,$AE$1,0)=0,"Sin datos",IFERROR(VLOOKUP(B29,Detalle!$A:$AA,$AE$1,0),"Sin datos")),"")</f>
        <v/>
      </c>
      <c r="AF29" s="93">
        <f>IFERROR(IF(VLOOKUP(B29,Detalle!$A:$AA,$AF$1,0)=0,"Sin datos",IFERROR(VLOOKUP(B29,Detalle!$A:$AA,$AF$1,0),"Sin datos")),"")</f>
        <v/>
      </c>
      <c r="AG29" s="327">
        <f>IFERROR(IF(VLOOKUP(B29,Detalle!$A:$AA,$AG$1,0)=0,"Sin datos",IFERROR(VLOOKUP(B29,Detalle!$A:$AA,$AG$1,0),"Sin datos")),"")</f>
        <v/>
      </c>
      <c r="AH29" s="93">
        <f>IFERROR(IF(VLOOKUP(B29,Detalle!$A:$AA,$AH$1,0)=0,"Sin datos",IFERROR(VLOOKUP(B29,Detalle!$A:$AA,$AH$1,0),"Sin datos")),"")</f>
        <v/>
      </c>
      <c r="AI29" s="98">
        <f>IF(AB29="",IF(MIN(AC29,AE29,AG29)&gt;E29,"Si","No"),IF(MIN(AC29,AG29,AG29)&gt;AB29,"Si","No"))</f>
        <v/>
      </c>
      <c r="AJ29" s="328">
        <f>MIN(AC29,AE29,AG29)</f>
        <v/>
      </c>
      <c r="AK29" s="328">
        <f>IFERROR(IF(MIN(AF29,AH29)=AD29,IF(AE29=AG29,"Escenario 5","Escenario 4"),IF(MIN(AF29,AH29)&lt;AD29,IF(AND(AD29-2&lt;=MIN(AF29,AH29),AE29&lt;&gt;AG29),"Escenario 1",IF(AND(AD29-2&lt;=MIN(AF29,AH29),AE29=AG29),"Escenario 2","Escenario 3")),IF(MIN(AF29,AH29)&gt;AD29,IF(AND(AD29+2&gt;=MIN(AF29,AH29),AE29=AG29),"Escenario 7",IF(AND(AD29+2&gt;=MIN(AF29,AH29),AE29&lt;&gt;AG29),"Escenario 6",IF(AD29+5&lt;=MIN(AF29,AH29),"Escenario 9","Escenario 8"))),"error"))),"Falta info")</f>
        <v/>
      </c>
      <c r="AL29" s="98">
        <f>IFERROR(VLOOKUP(AK29,Base!$BJ$37:$BL$45,3,0),0)</f>
        <v/>
      </c>
      <c r="AM29" s="330">
        <f>IF(LOOKUP(AK29,Base!$X$8:$BG$8)=AK29,VLOOKUP(B29,Base!E:BG,AL29,0),0)</f>
        <v/>
      </c>
      <c r="AN29" s="330" t="n"/>
      <c r="AO29" s="331" t="n"/>
      <c r="AP29" s="331">
        <f>IF(AM29&lt;=AA29,"REVISAR!","ok")</f>
        <v/>
      </c>
      <c r="AQ29" s="331" t="n"/>
    </row>
    <row customHeight="1" ht="12.95" r="30" s="183" spans="1:43">
      <c r="B30" s="108" t="s">
        <v>114</v>
      </c>
      <c r="C30" s="89" t="s">
        <v>260</v>
      </c>
      <c r="D30" s="106">
        <f>VLOOKUP(B30,Base!E:G,3,0)</f>
        <v/>
      </c>
      <c r="E30" s="326">
        <f>IFERROR(IF(VLOOKUP(B30,Detalle!$A:$AA,$E$1,0)=0,"Sin datos",IFERROR(VLOOKUP(B30,Detalle!$A:$AA,$E$1,0),"Sin datos")),"")</f>
        <v/>
      </c>
      <c r="F30" s="91">
        <f>IFERROR(IF(VLOOKUP(B30,Detalle!$A:$AA,$F$1,0)=0,"Sin datos",IFERROR(VLOOKUP(B30,Detalle!$A:$AA,$F$1,0),"Sin datos")),"")</f>
        <v/>
      </c>
      <c r="G30" s="327">
        <f>IFERROR(IF(VLOOKUP(B30,Detalle!$A:$AA,$G$1,0)=0,"Sin datos",IFERROR(VLOOKUP(B30,Detalle!$A:$AA,$G$1,0),"Sin datos")),"")</f>
        <v/>
      </c>
      <c r="H30" s="93">
        <f>IFERROR(IF(VLOOKUP(B30,Detalle!$A:$AA,$H$1,0)=0,"Sin datos",IFERROR(VLOOKUP(B30,Detalle!$A:$AA,$H$1,0),"Sin datos")),"")</f>
        <v/>
      </c>
      <c r="I30" s="327">
        <f>IFERROR(IF(VLOOKUP(B30,Detalle!$A:$AA,$I$1,0)=0,"Sin datos",IFERROR(VLOOKUP(B30,Detalle!$A:$AA,$I$1,0),"Sin datos")),"")</f>
        <v/>
      </c>
      <c r="J30" s="93">
        <f>IFERROR(IF(VLOOKUP(B30,Detalle!$A:$AA,$J$1,0)=0,"Sin datos",IFERROR(VLOOKUP(B30,Detalle!$A:$AA,$J$1,0),"Sin datos")),"")</f>
        <v/>
      </c>
      <c r="K30" s="98" t="s">
        <v>293</v>
      </c>
      <c r="L30" s="328">
        <f>MIN(E30,G30,I30)</f>
        <v/>
      </c>
      <c r="M30" s="329">
        <f>IFERROR(IF(MIN(H30,J30)=F30,IF(G30=I30,"Escenario 5","Escenario 4"),IF(MIN(H30,J30)&lt;F30,IF(AND(F30-2&lt;=MIN(H30,J30),G30&lt;&gt;I30),"Escenario 1",IF(AND(F30-2&lt;=MIN(H30,J30),G30=I30),"Escenario 2","Escenario 3")),IF(MIN(H30,J30)&gt;F30,IF(AND(F30+2&gt;=MIN(H30,J30),G30=I30),"Escenario 7",IF(AND(F30+2&gt;=MIN(H30,J30),G30&lt;&gt;I30),"Escenario 6",IF(F30+5&lt;=MIN(H30,J30),"Escenario 9","Escenario 8"))),"error"))),"Falta info")</f>
        <v/>
      </c>
      <c r="N30" s="98">
        <f>IFERROR(VLOOKUP(M30,Base!$BJ$28:$BL$36,3,0),0)</f>
        <v/>
      </c>
      <c r="O30" s="330">
        <f>IF(LOOKUP(M30,Base!$X$8:$BG$8)=M30,VLOOKUP(B30,Base!E:BG,N30,0),0)</f>
        <v/>
      </c>
      <c r="P30" s="330" t="n"/>
      <c r="Q30" s="327">
        <f>IFERROR(IF(VLOOKUP(B30,Detalle!$A:$AA,$Q$1,0)=0,"Sin datos",IFERROR(VLOOKUP(B30,Detalle!$A:$AA,$Q$1,0),"Sin datos")),"")</f>
        <v/>
      </c>
      <c r="R30" s="93">
        <f>IFERROR(IF(VLOOKUP(B30,Detalle!$A:$AA,$R$1,0)=0,"Sin datos",IFERROR(VLOOKUP(B30,Detalle!$A:$AA,$R$1,0),"Sin datos")),"")</f>
        <v/>
      </c>
      <c r="S30" s="327">
        <f>IFERROR(IF(VLOOKUP(B30,Detalle!$A:$AA,$S$1,0)=0,"Sin datos",IFERROR(VLOOKUP(B30,Detalle!$A:$AA,$S$1,0),"Sin datos")),"")</f>
        <v/>
      </c>
      <c r="T30" s="93">
        <f>IFERROR(IF(VLOOKUP(B30,Detalle!$A:$AA,$T$1,0)=0,"Sin datos",IFERROR(VLOOKUP(B30,Detalle!$A:$AA,$T$1,0),"Sin datos")),"")</f>
        <v/>
      </c>
      <c r="U30" s="327">
        <f>IFERROR(IF(VLOOKUP(B30,Detalle!$A:$AA,$U$1,0)=0,"Sin datos",IFERROR(VLOOKUP(B30,Detalle!$A:$AA,$U$1,0),"Sin datos")),"")</f>
        <v/>
      </c>
      <c r="V30" s="93">
        <f>IFERROR(IF(VLOOKUP(B30,Detalle!$A:$AA,$V$1,0)=0,"Sin datos",IFERROR(VLOOKUP(B30,Detalle!$A:$AA,$V$1,0),"Sin datos")),"")</f>
        <v/>
      </c>
      <c r="W30" s="98">
        <f>IF(P30="",IF(MIN(Q30,S30,U30)&gt;E30,"Si","No"),IF(MIN(Q30,S30,U30)&gt;P30,"Si","No"))</f>
        <v/>
      </c>
      <c r="X30" s="328">
        <f>MIN(Q30,S30,U30)</f>
        <v/>
      </c>
      <c r="Y30" s="328">
        <f>IFERROR(IF(MIN(T30,V30)=R30,IF(S30=U30,"Escenario 5","Escenario 4"),IF(MIN(T30,V30)&lt;R30,IF(AND(R30-2&lt;=MIN(T30,V30),S30&lt;&gt;U30),"Escenario 1",IF(AND(R30-2&lt;=MIN(T30,V30),S30=U30),"Escenario 2","Escenario 3")),IF(MIN(T30,V30)&gt;R30,IF(AND(R30+2&gt;=MIN(T30,V30),S30=U30),"Escenario 7",IF(AND(R30+2&gt;=MIN(T30,V30),S30&lt;&gt;U30),"Escenario 6",IF(R30+5&lt;=MIN(T30,V30),"Escenario 9","Escenario 8"))),"error"))),"Falta info")</f>
        <v/>
      </c>
      <c r="Z30" s="98">
        <f>IFERROR(VLOOKUP(Y30,Base!$BJ$19:$BL$27,3,0),0)</f>
        <v/>
      </c>
      <c r="AA30" s="330">
        <f>IF(LOOKUP(Y30,Base!$X$8:$BG$8)=Y30,VLOOKUP(B30,Base!E:BG,Z30,0),0)</f>
        <v/>
      </c>
      <c r="AB30" s="330" t="n"/>
      <c r="AC30" s="327">
        <f>IFERROR(IF(VLOOKUP(B30,Detalle!$A:$AA,$AC$1,0)=0,"Sin datos",IFERROR(VLOOKUP(B30,Detalle!$A:$AA,$AC$1,0),"Sin datos")),"")</f>
        <v/>
      </c>
      <c r="AD30" s="93">
        <f>IFERROR(IF(VLOOKUP(B30,Detalle!$A:$AA,$AD$1,0)=0,"Sin datos",IFERROR(VLOOKUP(B30,Detalle!$A:$AA,$AD$1,0),"Sin datos")),"")</f>
        <v/>
      </c>
      <c r="AE30" s="327">
        <f>IFERROR(IF(VLOOKUP(B30,Detalle!$A:$AA,$AE$1,0)=0,"Sin datos",IFERROR(VLOOKUP(B30,Detalle!$A:$AA,$AE$1,0),"Sin datos")),"")</f>
        <v/>
      </c>
      <c r="AF30" s="93">
        <f>IFERROR(IF(VLOOKUP(B30,Detalle!$A:$AA,$AF$1,0)=0,"Sin datos",IFERROR(VLOOKUP(B30,Detalle!$A:$AA,$AF$1,0),"Sin datos")),"")</f>
        <v/>
      </c>
      <c r="AG30" s="327">
        <f>IFERROR(IF(VLOOKUP(B30,Detalle!$A:$AA,$AG$1,0)=0,"Sin datos",IFERROR(VLOOKUP(B30,Detalle!$A:$AA,$AG$1,0),"Sin datos")),"")</f>
        <v/>
      </c>
      <c r="AH30" s="93">
        <f>IFERROR(IF(VLOOKUP(B30,Detalle!$A:$AA,$AH$1,0)=0,"Sin datos",IFERROR(VLOOKUP(B30,Detalle!$A:$AA,$AH$1,0),"Sin datos")),"")</f>
        <v/>
      </c>
      <c r="AI30" s="98">
        <f>IF(AB30="",IF(MIN(AC30,AE30,AG30)&gt;E30,"Si","No"),IF(MIN(AC30,AG30,AG30)&gt;AB30,"Si","No"))</f>
        <v/>
      </c>
      <c r="AJ30" s="328">
        <f>MIN(AC30,AE30,AG30)</f>
        <v/>
      </c>
      <c r="AK30" s="328">
        <f>IFERROR(IF(MIN(AF30,AH30)=AD30,IF(AE30=AG30,"Escenario 5","Escenario 4"),IF(MIN(AF30,AH30)&lt;AD30,IF(AND(AD30-2&lt;=MIN(AF30,AH30),AE30&lt;&gt;AG30),"Escenario 1",IF(AND(AD30-2&lt;=MIN(AF30,AH30),AE30=AG30),"Escenario 2","Escenario 3")),IF(MIN(AF30,AH30)&gt;AD30,IF(AND(AD30+2&gt;=MIN(AF30,AH30),AE30=AG30),"Escenario 7",IF(AND(AD30+2&gt;=MIN(AF30,AH30),AE30&lt;&gt;AG30),"Escenario 6",IF(AD30+5&lt;=MIN(AF30,AH30),"Escenario 9","Escenario 8"))),"error"))),"Falta info")</f>
        <v/>
      </c>
      <c r="AL30" s="98">
        <f>IFERROR(VLOOKUP(AK30,Base!$BJ$37:$BL$45,3,0),0)</f>
        <v/>
      </c>
      <c r="AM30" s="330">
        <f>IF(LOOKUP(AK30,Base!$X$8:$BG$8)=AK30,VLOOKUP(B30,Base!E:BG,AL30,0),0)</f>
        <v/>
      </c>
      <c r="AN30" s="330" t="n"/>
      <c r="AO30" s="331" t="n"/>
      <c r="AP30" s="331">
        <f>IF(AM30&lt;=AA30,"REVISAR!","ok")</f>
        <v/>
      </c>
      <c r="AQ30" s="331" t="n"/>
    </row>
    <row customHeight="1" ht="12.95" r="31" s="183" spans="1:43">
      <c r="B31" s="108" t="s">
        <v>127</v>
      </c>
      <c r="C31" s="89" t="s">
        <v>258</v>
      </c>
      <c r="D31" s="106">
        <f>VLOOKUP(B31,Base!E:G,3,0)</f>
        <v/>
      </c>
      <c r="E31" s="326">
        <f>IFERROR(IF(VLOOKUP(B31,Detalle!$A:$AA,$E$1,0)=0,"Sin datos",IFERROR(VLOOKUP(B31,Detalle!$A:$AA,$E$1,0),"Sin datos")),"")</f>
        <v/>
      </c>
      <c r="F31" s="91">
        <f>IFERROR(IF(VLOOKUP(B31,Detalle!$A:$AA,$F$1,0)=0,"Sin datos",IFERROR(VLOOKUP(B31,Detalle!$A:$AA,$F$1,0),"Sin datos")),"")</f>
        <v/>
      </c>
      <c r="G31" s="327">
        <f>IFERROR(IF(VLOOKUP(B31,Detalle!$A:$AA,$G$1,0)=0,"Sin datos",IFERROR(VLOOKUP(B31,Detalle!$A:$AA,$G$1,0),"Sin datos")),"")</f>
        <v/>
      </c>
      <c r="H31" s="93">
        <f>IFERROR(IF(VLOOKUP(B31,Detalle!$A:$AA,$H$1,0)=0,"Sin datos",IFERROR(VLOOKUP(B31,Detalle!$A:$AA,$H$1,0),"Sin datos")),"")</f>
        <v/>
      </c>
      <c r="I31" s="327">
        <f>IFERROR(IF(VLOOKUP(B31,Detalle!$A:$AA,$I$1,0)=0,"Sin datos",IFERROR(VLOOKUP(B31,Detalle!$A:$AA,$I$1,0),"Sin datos")),"")</f>
        <v/>
      </c>
      <c r="J31" s="93">
        <f>IFERROR(IF(VLOOKUP(B31,Detalle!$A:$AA,$J$1,0)=0,"Sin datos",IFERROR(VLOOKUP(B31,Detalle!$A:$AA,$J$1,0),"Sin datos")),"")</f>
        <v/>
      </c>
      <c r="K31" s="98" t="s">
        <v>293</v>
      </c>
      <c r="L31" s="328">
        <f>MIN(E31,G31,I31)</f>
        <v/>
      </c>
      <c r="M31" s="329">
        <f>IFERROR(IF(MIN(H31,J31)=F31,IF(G31=I31,"Escenario 5","Escenario 4"),IF(MIN(H31,J31)&lt;F31,IF(AND(F31-2&lt;=MIN(H31,J31),G31&lt;&gt;I31),"Escenario 1",IF(AND(F31-2&lt;=MIN(H31,J31),G31=I31),"Escenario 2","Escenario 3")),IF(MIN(H31,J31)&gt;F31,IF(AND(F31+2&gt;=MIN(H31,J31),G31=I31),"Escenario 7",IF(AND(F31+2&gt;=MIN(H31,J31),G31&lt;&gt;I31),"Escenario 6",IF(F31+5&lt;=MIN(H31,J31),"Escenario 9","Escenario 8"))),"error"))),"Falta info")</f>
        <v/>
      </c>
      <c r="N31" s="98">
        <f>IFERROR(VLOOKUP(M31,Base!$BJ$28:$BL$36,3,0),0)</f>
        <v/>
      </c>
      <c r="O31" s="330">
        <f>IF(LOOKUP(M31,Base!$X$8:$BG$8)=M31,VLOOKUP(B31,Base!E:BG,N31,0),0)</f>
        <v/>
      </c>
      <c r="P31" s="330" t="n"/>
      <c r="Q31" s="327">
        <f>IFERROR(IF(VLOOKUP(B31,Detalle!$A:$AA,$Q$1,0)=0,"Sin datos",IFERROR(VLOOKUP(B31,Detalle!$A:$AA,$Q$1,0),"Sin datos")),"")</f>
        <v/>
      </c>
      <c r="R31" s="93">
        <f>IFERROR(IF(VLOOKUP(B31,Detalle!$A:$AA,$R$1,0)=0,"Sin datos",IFERROR(VLOOKUP(B31,Detalle!$A:$AA,$R$1,0),"Sin datos")),"")</f>
        <v/>
      </c>
      <c r="S31" s="327">
        <f>IFERROR(IF(VLOOKUP(B31,Detalle!$A:$AA,$S$1,0)=0,"Sin datos",IFERROR(VLOOKUP(B31,Detalle!$A:$AA,$S$1,0),"Sin datos")),"")</f>
        <v/>
      </c>
      <c r="T31" s="93">
        <f>IFERROR(IF(VLOOKUP(B31,Detalle!$A:$AA,$T$1,0)=0,"Sin datos",IFERROR(VLOOKUP(B31,Detalle!$A:$AA,$T$1,0),"Sin datos")),"")</f>
        <v/>
      </c>
      <c r="U31" s="327">
        <f>IFERROR(IF(VLOOKUP(B31,Detalle!$A:$AA,$U$1,0)=0,"Sin datos",IFERROR(VLOOKUP(B31,Detalle!$A:$AA,$U$1,0),"Sin datos")),"")</f>
        <v/>
      </c>
      <c r="V31" s="93">
        <f>IFERROR(IF(VLOOKUP(B31,Detalle!$A:$AA,$V$1,0)=0,"Sin datos",IFERROR(VLOOKUP(B31,Detalle!$A:$AA,$V$1,0),"Sin datos")),"")</f>
        <v/>
      </c>
      <c r="W31" s="98">
        <f>IF(P31="",IF(MIN(Q31,S31,U31)&gt;E31,"Si","No"),IF(MIN(Q31,S31,U31)&gt;P31,"Si","No"))</f>
        <v/>
      </c>
      <c r="X31" s="328">
        <f>MIN(Q31,S31,U31)</f>
        <v/>
      </c>
      <c r="Y31" s="328">
        <f>IFERROR(IF(MIN(T31,V31)=R31,IF(S31=U31,"Escenario 5","Escenario 4"),IF(MIN(T31,V31)&lt;R31,IF(AND(R31-2&lt;=MIN(T31,V31),S31&lt;&gt;U31),"Escenario 1",IF(AND(R31-2&lt;=MIN(T31,V31),S31=U31),"Escenario 2","Escenario 3")),IF(MIN(T31,V31)&gt;R31,IF(AND(R31+2&gt;=MIN(T31,V31),S31=U31),"Escenario 7",IF(AND(R31+2&gt;=MIN(T31,V31),S31&lt;&gt;U31),"Escenario 6",IF(R31+5&lt;=MIN(T31,V31),"Escenario 9","Escenario 8"))),"error"))),"Falta info")</f>
        <v/>
      </c>
      <c r="Z31" s="98">
        <f>IFERROR(VLOOKUP(Y31,Base!$BJ$19:$BL$27,3,0),0)</f>
        <v/>
      </c>
      <c r="AA31" s="330">
        <f>IF(LOOKUP(Y31,Base!$X$8:$BG$8)=Y31,VLOOKUP(B31,Base!E:BG,Z31,0),0)</f>
        <v/>
      </c>
      <c r="AB31" s="330" t="n"/>
      <c r="AC31" s="327">
        <f>IFERROR(IF(VLOOKUP(B31,Detalle!$A:$AA,$AC$1,0)=0,"Sin datos",IFERROR(VLOOKUP(B31,Detalle!$A:$AA,$AC$1,0),"Sin datos")),"")</f>
        <v/>
      </c>
      <c r="AD31" s="93">
        <f>IFERROR(IF(VLOOKUP(B31,Detalle!$A:$AA,$AD$1,0)=0,"Sin datos",IFERROR(VLOOKUP(B31,Detalle!$A:$AA,$AD$1,0),"Sin datos")),"")</f>
        <v/>
      </c>
      <c r="AE31" s="327">
        <f>IFERROR(IF(VLOOKUP(B31,Detalle!$A:$AA,$AE$1,0)=0,"Sin datos",IFERROR(VLOOKUP(B31,Detalle!$A:$AA,$AE$1,0),"Sin datos")),"")</f>
        <v/>
      </c>
      <c r="AF31" s="93">
        <f>IFERROR(IF(VLOOKUP(B31,Detalle!$A:$AA,$AF$1,0)=0,"Sin datos",IFERROR(VLOOKUP(B31,Detalle!$A:$AA,$AF$1,0),"Sin datos")),"")</f>
        <v/>
      </c>
      <c r="AG31" s="327">
        <f>IFERROR(IF(VLOOKUP(B31,Detalle!$A:$AA,$AG$1,0)=0,"Sin datos",IFERROR(VLOOKUP(B31,Detalle!$A:$AA,$AG$1,0),"Sin datos")),"")</f>
        <v/>
      </c>
      <c r="AH31" s="93">
        <f>IFERROR(IF(VLOOKUP(B31,Detalle!$A:$AA,$AH$1,0)=0,"Sin datos",IFERROR(VLOOKUP(B31,Detalle!$A:$AA,$AH$1,0),"Sin datos")),"")</f>
        <v/>
      </c>
      <c r="AI31" s="98">
        <f>IF(AB31="",IF(MIN(AC31,AE31,AG31)&gt;E31,"Si","No"),IF(MIN(AC31,AG31,AG31)&gt;AB31,"Si","No"))</f>
        <v/>
      </c>
      <c r="AJ31" s="328">
        <f>MIN(AC31,AE31,AG31)</f>
        <v/>
      </c>
      <c r="AK31" s="328">
        <f>IFERROR(IF(MIN(AF31,AH31)=AD31,IF(AE31=AG31,"Escenario 5","Escenario 4"),IF(MIN(AF31,AH31)&lt;AD31,IF(AND(AD31-2&lt;=MIN(AF31,AH31),AE31&lt;&gt;AG31),"Escenario 1",IF(AND(AD31-2&lt;=MIN(AF31,AH31),AE31=AG31),"Escenario 2","Escenario 3")),IF(MIN(AF31,AH31)&gt;AD31,IF(AND(AD31+2&gt;=MIN(AF31,AH31),AE31=AG31),"Escenario 7",IF(AND(AD31+2&gt;=MIN(AF31,AH31),AE31&lt;&gt;AG31),"Escenario 6",IF(AD31+5&lt;=MIN(AF31,AH31),"Escenario 9","Escenario 8"))),"error"))),"Falta info")</f>
        <v/>
      </c>
      <c r="AL31" s="98">
        <f>IFERROR(VLOOKUP(AK31,Base!$BJ$37:$BL$45,3,0),0)</f>
        <v/>
      </c>
      <c r="AM31" s="330">
        <f>IF(LOOKUP(AK31,Base!$X$8:$BG$8)=AK31,VLOOKUP(B31,Base!E:BG,AL31,0),0)</f>
        <v/>
      </c>
      <c r="AN31" s="330" t="n"/>
      <c r="AO31" s="331" t="n"/>
      <c r="AP31" s="331">
        <f>IF(AM31&lt;=AA31,"REVISAR!","ok")</f>
        <v/>
      </c>
      <c r="AQ31" s="331" t="n"/>
    </row>
    <row customHeight="1" ht="12.75" r="32" s="183" spans="1:43">
      <c r="B32" s="108" t="s">
        <v>106</v>
      </c>
      <c r="C32" s="89" t="s">
        <v>258</v>
      </c>
      <c r="D32" s="106">
        <f>VLOOKUP(B32,Base!E:G,3,0)</f>
        <v/>
      </c>
      <c r="E32" s="326">
        <f>IFERROR(IF(VLOOKUP(B32,Detalle!$A:$AA,$E$1,0)=0,"Sin datos",IFERROR(VLOOKUP(B32,Detalle!$A:$AA,$E$1,0),"Sin datos")),"")</f>
        <v/>
      </c>
      <c r="F32" s="91">
        <f>IFERROR(IF(VLOOKUP(B32,Detalle!$A:$AA,$F$1,0)=0,"Sin datos",IFERROR(VLOOKUP(B32,Detalle!$A:$AA,$F$1,0),"Sin datos")),"")</f>
        <v/>
      </c>
      <c r="G32" s="327">
        <f>IFERROR(IF(VLOOKUP(B32,Detalle!$A:$AA,$G$1,0)=0,"Sin datos",IFERROR(VLOOKUP(B32,Detalle!$A:$AA,$G$1,0),"Sin datos")),"")</f>
        <v/>
      </c>
      <c r="H32" s="93">
        <f>IFERROR(IF(VLOOKUP(B32,Detalle!$A:$AA,$H$1,0)=0,"Sin datos",IFERROR(VLOOKUP(B32,Detalle!$A:$AA,$H$1,0),"Sin datos")),"")</f>
        <v/>
      </c>
      <c r="I32" s="327">
        <f>IFERROR(IF(VLOOKUP(B32,Detalle!$A:$AA,$I$1,0)=0,"Sin datos",IFERROR(VLOOKUP(B32,Detalle!$A:$AA,$I$1,0),"Sin datos")),"")</f>
        <v/>
      </c>
      <c r="J32" s="93">
        <f>IFERROR(IF(VLOOKUP(B32,Detalle!$A:$AA,$J$1,0)=0,"Sin datos",IFERROR(VLOOKUP(B32,Detalle!$A:$AA,$J$1,0),"Sin datos")),"")</f>
        <v/>
      </c>
      <c r="K32" s="98" t="s">
        <v>293</v>
      </c>
      <c r="L32" s="328">
        <f>MIN(E32,G32,I32)</f>
        <v/>
      </c>
      <c r="M32" s="329">
        <f>IFERROR(IF(MIN(H32,J32)=F32,IF(G32=I32,"Escenario 5","Escenario 4"),IF(MIN(H32,J32)&lt;F32,IF(AND(F32-2&lt;=MIN(H32,J32),G32&lt;&gt;I32),"Escenario 1",IF(AND(F32-2&lt;=MIN(H32,J32),G32=I32),"Escenario 2","Escenario 3")),IF(MIN(H32,J32)&gt;F32,IF(AND(F32+2&gt;=MIN(H32,J32),G32=I32),"Escenario 7",IF(AND(F32+2&gt;=MIN(H32,J32),G32&lt;&gt;I32),"Escenario 6",IF(F32+5&lt;=MIN(H32,J32),"Escenario 9","Escenario 8"))),"error"))),"Falta info")</f>
        <v/>
      </c>
      <c r="N32" s="98">
        <f>IFERROR(VLOOKUP(M32,Base!$BJ$28:$BL$36,3,0),0)</f>
        <v/>
      </c>
      <c r="O32" s="330">
        <f>IF(LOOKUP(M32,Base!$X$8:$BG$8)=M32,VLOOKUP(B32,Base!E:BG,N32,0),0)</f>
        <v/>
      </c>
      <c r="P32" s="330" t="n">
        <v>3990</v>
      </c>
      <c r="Q32" s="327">
        <f>IFERROR(IF(VLOOKUP(B32,Detalle!$A:$AA,$Q$1,0)=0,"Sin datos",IFERROR(VLOOKUP(B32,Detalle!$A:$AA,$Q$1,0),"Sin datos")),"")</f>
        <v/>
      </c>
      <c r="R32" s="93">
        <f>IFERROR(IF(VLOOKUP(B32,Detalle!$A:$AA,$R$1,0)=0,"Sin datos",IFERROR(VLOOKUP(B32,Detalle!$A:$AA,$R$1,0),"Sin datos")),"")</f>
        <v/>
      </c>
      <c r="S32" s="327">
        <f>IFERROR(IF(VLOOKUP(B32,Detalle!$A:$AA,$S$1,0)=0,"Sin datos",IFERROR(VLOOKUP(B32,Detalle!$A:$AA,$S$1,0),"Sin datos")),"")</f>
        <v/>
      </c>
      <c r="T32" s="93">
        <f>IFERROR(IF(VLOOKUP(B32,Detalle!$A:$AA,$T$1,0)=0,"Sin datos",IFERROR(VLOOKUP(B32,Detalle!$A:$AA,$T$1,0),"Sin datos")),"")</f>
        <v/>
      </c>
      <c r="U32" s="327">
        <f>IFERROR(IF(VLOOKUP(B32,Detalle!$A:$AA,$U$1,0)=0,"Sin datos",IFERROR(VLOOKUP(B32,Detalle!$A:$AA,$U$1,0),"Sin datos")),"")</f>
        <v/>
      </c>
      <c r="V32" s="93">
        <f>IFERROR(IF(VLOOKUP(B32,Detalle!$A:$AA,$V$1,0)=0,"Sin datos",IFERROR(VLOOKUP(B32,Detalle!$A:$AA,$V$1,0),"Sin datos")),"")</f>
        <v/>
      </c>
      <c r="W32" s="98">
        <f>IF(P32="",IF(MIN(Q32,S32,U32)&gt;E32,"Si","No"),IF(MIN(Q32,S32,U32)&gt;P32,"Si","No"))</f>
        <v/>
      </c>
      <c r="X32" s="328">
        <f>MIN(Q32,S32,U32)</f>
        <v/>
      </c>
      <c r="Y32" s="328">
        <f>IFERROR(IF(MIN(T32,V32)=R32,IF(S32=U32,"Escenario 5","Escenario 4"),IF(MIN(T32,V32)&lt;R32,IF(AND(R32-2&lt;=MIN(T32,V32),S32&lt;&gt;U32),"Escenario 1",IF(AND(R32-2&lt;=MIN(T32,V32),S32=U32),"Escenario 2","Escenario 3")),IF(MIN(T32,V32)&gt;R32,IF(AND(R32+2&gt;=MIN(T32,V32),S32=U32),"Escenario 7",IF(AND(R32+2&gt;=MIN(T32,V32),S32&lt;&gt;U32),"Escenario 6",IF(R32+5&lt;=MIN(T32,V32),"Escenario 9","Escenario 8"))),"error"))),"Falta info")</f>
        <v/>
      </c>
      <c r="Z32" s="98">
        <f>IFERROR(VLOOKUP(Y32,Base!$BJ$19:$BL$27,3,0),0)</f>
        <v/>
      </c>
      <c r="AA32" s="330">
        <f>IF(LOOKUP(Y32,Base!$X$8:$BG$8)=Y32,VLOOKUP(B32,Base!E:BG,Z32,0),0)</f>
        <v/>
      </c>
      <c r="AB32" s="330" t="n">
        <v>8990</v>
      </c>
      <c r="AC32" s="327">
        <f>IFERROR(IF(VLOOKUP(B32,Detalle!$A:$AA,$AC$1,0)=0,"Sin datos",IFERROR(VLOOKUP(B32,Detalle!$A:$AA,$AC$1,0),"Sin datos")),"")</f>
        <v/>
      </c>
      <c r="AD32" s="93">
        <f>IFERROR(IF(VLOOKUP(B32,Detalle!$A:$AA,$AD$1,0)=0,"Sin datos",IFERROR(VLOOKUP(B32,Detalle!$A:$AA,$AD$1,0),"Sin datos")),"")</f>
        <v/>
      </c>
      <c r="AE32" s="327">
        <f>IFERROR(IF(VLOOKUP(B32,Detalle!$A:$AA,$AE$1,0)=0,"Sin datos",IFERROR(VLOOKUP(B32,Detalle!$A:$AA,$AE$1,0),"Sin datos")),"")</f>
        <v/>
      </c>
      <c r="AF32" s="93">
        <f>IFERROR(IF(VLOOKUP(B32,Detalle!$A:$AA,$AF$1,0)=0,"Sin datos",IFERROR(VLOOKUP(B32,Detalle!$A:$AA,$AF$1,0),"Sin datos")),"")</f>
        <v/>
      </c>
      <c r="AG32" s="327">
        <f>IFERROR(IF(VLOOKUP(B32,Detalle!$A:$AA,$AG$1,0)=0,"Sin datos",IFERROR(VLOOKUP(B32,Detalle!$A:$AA,$AG$1,0),"Sin datos")),"")</f>
        <v/>
      </c>
      <c r="AH32" s="93">
        <f>IFERROR(IF(VLOOKUP(B32,Detalle!$A:$AA,$AH$1,0)=0,"Sin datos",IFERROR(VLOOKUP(B32,Detalle!$A:$AA,$AH$1,0),"Sin datos")),"")</f>
        <v/>
      </c>
      <c r="AI32" s="98">
        <f>IF(AB32="",IF(MIN(AC32,AE32,AG32)&gt;E32,"Si","No"),IF(MIN(AC32,AG32,AG32)&gt;AB32,"Si","No"))</f>
        <v/>
      </c>
      <c r="AJ32" s="328">
        <f>MIN(AC32,AE32,AG32)</f>
        <v/>
      </c>
      <c r="AK32" s="328">
        <f>IFERROR(IF(MIN(AF32,AH32)=AD32,IF(AE32=AG32,"Escenario 5","Escenario 4"),IF(MIN(AF32,AH32)&lt;AD32,IF(AND(AD32-2&lt;=MIN(AF32,AH32),AE32&lt;&gt;AG32),"Escenario 1",IF(AND(AD32-2&lt;=MIN(AF32,AH32),AE32=AG32),"Escenario 2","Escenario 3")),IF(MIN(AF32,AH32)&gt;AD32,IF(AND(AD32+2&gt;=MIN(AF32,AH32),AE32=AG32),"Escenario 7",IF(AND(AD32+2&gt;=MIN(AF32,AH32),AE32&lt;&gt;AG32),"Escenario 6",IF(AD32+5&lt;=MIN(AF32,AH32),"Escenario 9","Escenario 8"))),"error"))),"Falta info")</f>
        <v/>
      </c>
      <c r="AL32" s="98">
        <f>IFERROR(VLOOKUP(AK32,Base!$BJ$37:$BL$45,3,0),0)</f>
        <v/>
      </c>
      <c r="AM32" s="330">
        <f>IF(LOOKUP(AK32,Base!$X$8:$BG$8)=AK32,VLOOKUP(B32,Base!E:BG,AL32,0),0)</f>
        <v/>
      </c>
      <c r="AN32" s="330" t="n"/>
      <c r="AO32" s="331" t="n"/>
      <c r="AP32" s="331" t="n"/>
      <c r="AQ32" s="331" t="n"/>
    </row>
    <row customHeight="1" ht="12.95" r="33" s="183" spans="1:43">
      <c r="B33" s="108" t="s">
        <v>108</v>
      </c>
      <c r="C33" s="89" t="s">
        <v>260</v>
      </c>
      <c r="D33" s="106">
        <f>VLOOKUP(B33,Base!E:G,3,0)</f>
        <v/>
      </c>
      <c r="E33" s="326">
        <f>IFERROR(IF(VLOOKUP(B33,Detalle!$A:$AA,$E$1,0)=0,"Sin datos",IFERROR(VLOOKUP(B33,Detalle!$A:$AA,$E$1,0),"Sin datos")),"")</f>
        <v/>
      </c>
      <c r="F33" s="91">
        <f>IFERROR(IF(VLOOKUP(B33,Detalle!$A:$AA,$F$1,0)=0,"Sin datos",IFERROR(VLOOKUP(B33,Detalle!$A:$AA,$F$1,0),"Sin datos")),"")</f>
        <v/>
      </c>
      <c r="G33" s="327">
        <f>IFERROR(IF(VLOOKUP(B33,Detalle!$A:$AA,$G$1,0)=0,"Sin datos",IFERROR(VLOOKUP(B33,Detalle!$A:$AA,$G$1,0),"Sin datos")),"")</f>
        <v/>
      </c>
      <c r="H33" s="93">
        <f>IFERROR(IF(VLOOKUP(B33,Detalle!$A:$AA,$H$1,0)=0,"Sin datos",IFERROR(VLOOKUP(B33,Detalle!$A:$AA,$H$1,0),"Sin datos")),"")</f>
        <v/>
      </c>
      <c r="I33" s="327">
        <f>IFERROR(IF(VLOOKUP(B33,Detalle!$A:$AA,$I$1,0)=0,"Sin datos",IFERROR(VLOOKUP(B33,Detalle!$A:$AA,$I$1,0),"Sin datos")),"")</f>
        <v/>
      </c>
      <c r="J33" s="93">
        <f>IFERROR(IF(VLOOKUP(B33,Detalle!$A:$AA,$J$1,0)=0,"Sin datos",IFERROR(VLOOKUP(B33,Detalle!$A:$AA,$J$1,0),"Sin datos")),"")</f>
        <v/>
      </c>
      <c r="K33" s="98" t="s">
        <v>293</v>
      </c>
      <c r="L33" s="328">
        <f>MIN(E33,G33,I33)</f>
        <v/>
      </c>
      <c r="M33" s="329">
        <f>IFERROR(IF(MIN(H33,J33)=F33,IF(G33=I33,"Escenario 5","Escenario 4"),IF(MIN(H33,J33)&lt;F33,IF(AND(F33-2&lt;=MIN(H33,J33),G33&lt;&gt;I33),"Escenario 1",IF(AND(F33-2&lt;=MIN(H33,J33),G33=I33),"Escenario 2","Escenario 3")),IF(MIN(H33,J33)&gt;F33,IF(AND(F33+2&gt;=MIN(H33,J33),G33=I33),"Escenario 7",IF(AND(F33+2&gt;=MIN(H33,J33),G33&lt;&gt;I33),"Escenario 6",IF(F33+5&lt;=MIN(H33,J33),"Escenario 9","Escenario 8"))),"error"))),"Falta info")</f>
        <v/>
      </c>
      <c r="N33" s="98">
        <f>IFERROR(VLOOKUP(M33,Base!$BJ$28:$BL$36,3,0),0)</f>
        <v/>
      </c>
      <c r="O33" s="330">
        <f>IF(LOOKUP(M33,Base!$X$8:$BG$8)=M33,VLOOKUP(B33,Base!E:BG,N33,0),0)</f>
        <v/>
      </c>
      <c r="P33" s="330" t="n"/>
      <c r="Q33" s="327">
        <f>IFERROR(IF(VLOOKUP(B33,Detalle!$A:$AA,$Q$1,0)=0,"Sin datos",IFERROR(VLOOKUP(B33,Detalle!$A:$AA,$Q$1,0),"Sin datos")),"")</f>
        <v/>
      </c>
      <c r="R33" s="93">
        <f>IFERROR(IF(VLOOKUP(B33,Detalle!$A:$AA,$R$1,0)=0,"Sin datos",IFERROR(VLOOKUP(B33,Detalle!$A:$AA,$R$1,0),"Sin datos")),"")</f>
        <v/>
      </c>
      <c r="S33" s="327">
        <f>IFERROR(IF(VLOOKUP(B33,Detalle!$A:$AA,$S$1,0)=0,"Sin datos",IFERROR(VLOOKUP(B33,Detalle!$A:$AA,$S$1,0),"Sin datos")),"")</f>
        <v/>
      </c>
      <c r="T33" s="93">
        <f>IFERROR(IF(VLOOKUP(B33,Detalle!$A:$AA,$T$1,0)=0,"Sin datos",IFERROR(VLOOKUP(B33,Detalle!$A:$AA,$T$1,0),"Sin datos")),"")</f>
        <v/>
      </c>
      <c r="U33" s="327">
        <f>IFERROR(IF(VLOOKUP(B33,Detalle!$A:$AA,$U$1,0)=0,"Sin datos",IFERROR(VLOOKUP(B33,Detalle!$A:$AA,$U$1,0),"Sin datos")),"")</f>
        <v/>
      </c>
      <c r="V33" s="93">
        <f>IFERROR(IF(VLOOKUP(B33,Detalle!$A:$AA,$V$1,0)=0,"Sin datos",IFERROR(VLOOKUP(B33,Detalle!$A:$AA,$V$1,0),"Sin datos")),"")</f>
        <v/>
      </c>
      <c r="W33" s="98">
        <f>IF(P33="",IF(MIN(Q33,S33,U33)&gt;E33,"Si","No"),IF(MIN(Q33,S33,U33)&gt;P33,"Si","No"))</f>
        <v/>
      </c>
      <c r="X33" s="328">
        <f>MIN(Q33,S33,U33)</f>
        <v/>
      </c>
      <c r="Y33" s="328">
        <f>IFERROR(IF(MIN(T33,V33)=R33,IF(S33=U33,"Escenario 5","Escenario 4"),IF(MIN(T33,V33)&lt;R33,IF(AND(R33-2&lt;=MIN(T33,V33),S33&lt;&gt;U33),"Escenario 1",IF(AND(R33-2&lt;=MIN(T33,V33),S33=U33),"Escenario 2","Escenario 3")),IF(MIN(T33,V33)&gt;R33,IF(AND(R33+2&gt;=MIN(T33,V33),S33=U33),"Escenario 7",IF(AND(R33+2&gt;=MIN(T33,V33),S33&lt;&gt;U33),"Escenario 6",IF(R33+5&lt;=MIN(T33,V33),"Escenario 9","Escenario 8"))),"error"))),"Falta info")</f>
        <v/>
      </c>
      <c r="Z33" s="98">
        <f>IFERROR(VLOOKUP(Y33,Base!$BJ$19:$BL$27,3,0),0)</f>
        <v/>
      </c>
      <c r="AA33" s="330">
        <f>IF(LOOKUP(Y33,Base!$X$8:$BG$8)=Y33,VLOOKUP(B33,Base!E:BG,Z33,0),0)</f>
        <v/>
      </c>
      <c r="AB33" s="330" t="n"/>
      <c r="AC33" s="327">
        <f>IFERROR(IF(VLOOKUP(B33,Detalle!$A:$AA,$AC$1,0)=0,"Sin datos",IFERROR(VLOOKUP(B33,Detalle!$A:$AA,$AC$1,0),"Sin datos")),"")</f>
        <v/>
      </c>
      <c r="AD33" s="93">
        <f>IFERROR(IF(VLOOKUP(B33,Detalle!$A:$AA,$AD$1,0)=0,"Sin datos",IFERROR(VLOOKUP(B33,Detalle!$A:$AA,$AD$1,0),"Sin datos")),"")</f>
        <v/>
      </c>
      <c r="AE33" s="327">
        <f>IFERROR(IF(VLOOKUP(B33,Detalle!$A:$AA,$AE$1,0)=0,"Sin datos",IFERROR(VLOOKUP(B33,Detalle!$A:$AA,$AE$1,0),"Sin datos")),"")</f>
        <v/>
      </c>
      <c r="AF33" s="93">
        <f>IFERROR(IF(VLOOKUP(B33,Detalle!$A:$AA,$AF$1,0)=0,"Sin datos",IFERROR(VLOOKUP(B33,Detalle!$A:$AA,$AF$1,0),"Sin datos")),"")</f>
        <v/>
      </c>
      <c r="AG33" s="327">
        <f>IFERROR(IF(VLOOKUP(B33,Detalle!$A:$AA,$AG$1,0)=0,"Sin datos",IFERROR(VLOOKUP(B33,Detalle!$A:$AA,$AG$1,0),"Sin datos")),"")</f>
        <v/>
      </c>
      <c r="AH33" s="93">
        <f>IFERROR(IF(VLOOKUP(B33,Detalle!$A:$AA,$AH$1,0)=0,"Sin datos",IFERROR(VLOOKUP(B33,Detalle!$A:$AA,$AH$1,0),"Sin datos")),"")</f>
        <v/>
      </c>
      <c r="AI33" s="98">
        <f>IF(AB33="",IF(MIN(AC33,AE33,AG33)&gt;E33,"Si","No"),IF(MIN(AC33,AG33,AG33)&gt;AB33,"Si","No"))</f>
        <v/>
      </c>
      <c r="AJ33" s="328">
        <f>MIN(AC33,AE33,AG33)</f>
        <v/>
      </c>
      <c r="AK33" s="328">
        <f>IFERROR(IF(MIN(AF33,AH33)=AD33,IF(AE33=AG33,"Escenario 5","Escenario 4"),IF(MIN(AF33,AH33)&lt;AD33,IF(AND(AD33-2&lt;=MIN(AF33,AH33),AE33&lt;&gt;AG33),"Escenario 1",IF(AND(AD33-2&lt;=MIN(AF33,AH33),AE33=AG33),"Escenario 2","Escenario 3")),IF(MIN(AF33,AH33)&gt;AD33,IF(AND(AD33+2&gt;=MIN(AF33,AH33),AE33=AG33),"Escenario 7",IF(AND(AD33+2&gt;=MIN(AF33,AH33),AE33&lt;&gt;AG33),"Escenario 6",IF(AD33+5&lt;=MIN(AF33,AH33),"Escenario 9","Escenario 8"))),"error"))),"Falta info")</f>
        <v/>
      </c>
      <c r="AL33" s="98">
        <f>IFERROR(VLOOKUP(AK33,Base!$BJ$37:$BL$45,3,0),0)</f>
        <v/>
      </c>
      <c r="AM33" s="330">
        <f>IF(LOOKUP(AK33,Base!$X$8:$BG$8)=AK33,VLOOKUP(B33,Base!E:BG,AL33,0),0)</f>
        <v/>
      </c>
      <c r="AN33" s="330" t="n"/>
      <c r="AO33" s="331" t="n"/>
      <c r="AP33" s="331">
        <f>IF(AM33&lt;=AA33,"REVISAR!","ok")</f>
        <v/>
      </c>
      <c r="AQ33" s="331" t="n"/>
    </row>
    <row customHeight="1" ht="12.75" r="34" s="183" spans="1:43">
      <c r="B34" s="108" t="s">
        <v>150</v>
      </c>
      <c r="C34" s="89" t="s">
        <v>260</v>
      </c>
      <c r="D34" s="106">
        <f>VLOOKUP(B34,Base!E:G,3,0)</f>
        <v/>
      </c>
      <c r="E34" s="326">
        <f>IFERROR(IF(VLOOKUP(B34,Detalle!$A:$AA,$E$1,0)=0,"Sin datos",IFERROR(VLOOKUP(B34,Detalle!$A:$AA,$E$1,0),"Sin datos")),"")</f>
        <v/>
      </c>
      <c r="F34" s="91">
        <f>IFERROR(IF(VLOOKUP(B34,Detalle!$A:$AA,$F$1,0)=0,"Sin datos",IFERROR(VLOOKUP(B34,Detalle!$A:$AA,$F$1,0),"Sin datos")),"")</f>
        <v/>
      </c>
      <c r="G34" s="327">
        <f>IFERROR(IF(VLOOKUP(B34,Detalle!$A:$AA,$G$1,0)=0,"Sin datos",IFERROR(VLOOKUP(B34,Detalle!$A:$AA,$G$1,0),"Sin datos")),"")</f>
        <v/>
      </c>
      <c r="H34" s="93">
        <f>IFERROR(IF(VLOOKUP(B34,Detalle!$A:$AA,$H$1,0)=0,"Sin datos",IFERROR(VLOOKUP(B34,Detalle!$A:$AA,$H$1,0),"Sin datos")),"")</f>
        <v/>
      </c>
      <c r="I34" s="327">
        <f>IFERROR(IF(VLOOKUP(B34,Detalle!$A:$AA,$I$1,0)=0,"Sin datos",IFERROR(VLOOKUP(B34,Detalle!$A:$AA,$I$1,0),"Sin datos")),"")</f>
        <v/>
      </c>
      <c r="J34" s="93">
        <f>IFERROR(IF(VLOOKUP(B34,Detalle!$A:$AA,$J$1,0)=0,"Sin datos",IFERROR(VLOOKUP(B34,Detalle!$A:$AA,$J$1,0),"Sin datos")),"")</f>
        <v/>
      </c>
      <c r="K34" s="98" t="s">
        <v>293</v>
      </c>
      <c r="L34" s="328">
        <f>MIN(E34,G34,I34)</f>
        <v/>
      </c>
      <c r="M34" s="329">
        <f>IFERROR(IF(MIN(H34,J34)=F34,IF(G34=I34,"Escenario 5","Escenario 4"),IF(MIN(H34,J34)&lt;F34,IF(AND(F34-2&lt;=MIN(H34,J34),G34&lt;&gt;I34),"Escenario 1",IF(AND(F34-2&lt;=MIN(H34,J34),G34=I34),"Escenario 2","Escenario 3")),IF(MIN(H34,J34)&gt;F34,IF(AND(F34+2&gt;=MIN(H34,J34),G34=I34),"Escenario 7",IF(AND(F34+2&gt;=MIN(H34,J34),G34&lt;&gt;I34),"Escenario 6",IF(F34+5&lt;=MIN(H34,J34),"Escenario 9","Escenario 8"))),"error"))),"Falta info")</f>
        <v/>
      </c>
      <c r="N34" s="98">
        <f>IFERROR(VLOOKUP(M34,Base!$BJ$28:$BL$36,3,0),0)</f>
        <v/>
      </c>
      <c r="O34" s="330">
        <f>IF(LOOKUP(M34,Base!$X$8:$BG$8)=M34,VLOOKUP(B34,Base!E:BG,N34,0),0)</f>
        <v/>
      </c>
      <c r="P34" s="330" t="n"/>
      <c r="Q34" s="327">
        <f>IFERROR(IF(VLOOKUP(B34,Detalle!$A:$AA,$Q$1,0)=0,"Sin datos",IFERROR(VLOOKUP(B34,Detalle!$A:$AA,$Q$1,0),"Sin datos")),"")</f>
        <v/>
      </c>
      <c r="R34" s="93">
        <f>IFERROR(IF(VLOOKUP(B34,Detalle!$A:$AA,$R$1,0)=0,"Sin datos",IFERROR(VLOOKUP(B34,Detalle!$A:$AA,$R$1,0),"Sin datos")),"")</f>
        <v/>
      </c>
      <c r="S34" s="327">
        <f>IFERROR(IF(VLOOKUP(B34,Detalle!$A:$AA,$S$1,0)=0,"Sin datos",IFERROR(VLOOKUP(B34,Detalle!$A:$AA,$S$1,0),"Sin datos")),"")</f>
        <v/>
      </c>
      <c r="T34" s="93">
        <f>IFERROR(IF(VLOOKUP(B34,Detalle!$A:$AA,$T$1,0)=0,"Sin datos",IFERROR(VLOOKUP(B34,Detalle!$A:$AA,$T$1,0),"Sin datos")),"")</f>
        <v/>
      </c>
      <c r="U34" s="327">
        <f>IFERROR(IF(VLOOKUP(B34,Detalle!$A:$AA,$U$1,0)=0,"Sin datos",IFERROR(VLOOKUP(B34,Detalle!$A:$AA,$U$1,0),"Sin datos")),"")</f>
        <v/>
      </c>
      <c r="V34" s="93">
        <f>IFERROR(IF(VLOOKUP(B34,Detalle!$A:$AA,$V$1,0)=0,"Sin datos",IFERROR(VLOOKUP(B34,Detalle!$A:$AA,$V$1,0),"Sin datos")),"")</f>
        <v/>
      </c>
      <c r="W34" s="98">
        <f>IF(P34="",IF(MIN(Q34,S34,U34)&gt;E34,"Si","No"),IF(MIN(Q34,S34,U34)&gt;P34,"Si","No"))</f>
        <v/>
      </c>
      <c r="X34" s="328">
        <f>MIN(Q34,S34,U34)</f>
        <v/>
      </c>
      <c r="Y34" s="328">
        <f>IFERROR(IF(MIN(T34,V34)=R34,IF(S34=U34,"Escenario 5","Escenario 4"),IF(MIN(T34,V34)&lt;R34,IF(AND(R34-2&lt;=MIN(T34,V34),S34&lt;&gt;U34),"Escenario 1",IF(AND(R34-2&lt;=MIN(T34,V34),S34=U34),"Escenario 2","Escenario 3")),IF(MIN(T34,V34)&gt;R34,IF(AND(R34+2&gt;=MIN(T34,V34),S34=U34),"Escenario 7",IF(AND(R34+2&gt;=MIN(T34,V34),S34&lt;&gt;U34),"Escenario 6",IF(R34+5&lt;=MIN(T34,V34),"Escenario 9","Escenario 8"))),"error"))),"Falta info")</f>
        <v/>
      </c>
      <c r="Z34" s="98">
        <f>IFERROR(VLOOKUP(Y34,Base!$BJ$19:$BL$27,3,0),0)</f>
        <v/>
      </c>
      <c r="AA34" s="330">
        <f>IF(LOOKUP(Y34,Base!$X$8:$BG$8)=Y34,VLOOKUP(B34,Base!E:BG,Z34,0),0)</f>
        <v/>
      </c>
      <c r="AB34" s="330" t="n"/>
      <c r="AC34" s="327">
        <f>IFERROR(IF(VLOOKUP(B34,Detalle!$A:$AA,$AC$1,0)=0,"Sin datos",IFERROR(VLOOKUP(B34,Detalle!$A:$AA,$AC$1,0),"Sin datos")),"")</f>
        <v/>
      </c>
      <c r="AD34" s="93">
        <f>IFERROR(IF(VLOOKUP(B34,Detalle!$A:$AA,$AD$1,0)=0,"Sin datos",IFERROR(VLOOKUP(B34,Detalle!$A:$AA,$AD$1,0),"Sin datos")),"")</f>
        <v/>
      </c>
      <c r="AE34" s="327">
        <f>IFERROR(IF(VLOOKUP(B34,Detalle!$A:$AA,$AE$1,0)=0,"Sin datos",IFERROR(VLOOKUP(B34,Detalle!$A:$AA,$AE$1,0),"Sin datos")),"")</f>
        <v/>
      </c>
      <c r="AF34" s="93">
        <f>IFERROR(IF(VLOOKUP(B34,Detalle!$A:$AA,$AF$1,0)=0,"Sin datos",IFERROR(VLOOKUP(B34,Detalle!$A:$AA,$AF$1,0),"Sin datos")),"")</f>
        <v/>
      </c>
      <c r="AG34" s="327">
        <f>IFERROR(IF(VLOOKUP(B34,Detalle!$A:$AA,$AG$1,0)=0,"Sin datos",IFERROR(VLOOKUP(B34,Detalle!$A:$AA,$AG$1,0),"Sin datos")),"")</f>
        <v/>
      </c>
      <c r="AH34" s="93">
        <f>IFERROR(IF(VLOOKUP(B34,Detalle!$A:$AA,$AH$1,0)=0,"Sin datos",IFERROR(VLOOKUP(B34,Detalle!$A:$AA,$AH$1,0),"Sin datos")),"")</f>
        <v/>
      </c>
      <c r="AI34" s="98">
        <f>IF(AB34="",IF(MIN(AC34,AE34,AG34)&gt;E34,"Si","No"),IF(MIN(AC34,AG34,AG34)&gt;AB34,"Si","No"))</f>
        <v/>
      </c>
      <c r="AJ34" s="328">
        <f>MIN(AC34,AE34,AG34)</f>
        <v/>
      </c>
      <c r="AK34" s="328">
        <f>IFERROR(IF(MIN(AF34,AH34)=AD34,IF(AE34=AG34,"Escenario 5","Escenario 4"),IF(MIN(AF34,AH34)&lt;AD34,IF(AND(AD34-2&lt;=MIN(AF34,AH34),AE34&lt;&gt;AG34),"Escenario 1",IF(AND(AD34-2&lt;=MIN(AF34,AH34),AE34=AG34),"Escenario 2","Escenario 3")),IF(MIN(AF34,AH34)&gt;AD34,IF(AND(AD34+2&gt;=MIN(AF34,AH34),AE34=AG34),"Escenario 7",IF(AND(AD34+2&gt;=MIN(AF34,AH34),AE34&lt;&gt;AG34),"Escenario 6",IF(AD34+5&lt;=MIN(AF34,AH34),"Escenario 9","Escenario 8"))),"error"))),"Falta info")</f>
        <v/>
      </c>
      <c r="AL34" s="98">
        <f>IFERROR(VLOOKUP(AK34,Base!$BJ$37:$BL$45,3,0),0)</f>
        <v/>
      </c>
      <c r="AM34" s="330">
        <f>IF(LOOKUP(AK34,Base!$X$8:$BG$8)=AK34,VLOOKUP(B34,Base!E:BG,AL34,0),0)</f>
        <v/>
      </c>
      <c r="AN34" s="330" t="n"/>
      <c r="AO34" s="331" t="n"/>
      <c r="AP34" s="331">
        <f>IF(AM34&lt;=AA34,"REVISAR!","ok")</f>
        <v/>
      </c>
      <c r="AQ34" s="331" t="n"/>
    </row>
    <row customHeight="1" ht="12.95" r="35" s="183" spans="1:43">
      <c r="B35" s="108" t="s">
        <v>118</v>
      </c>
      <c r="C35" s="89" t="s">
        <v>260</v>
      </c>
      <c r="D35" s="106">
        <f>VLOOKUP(B35,Base!E:G,3,0)</f>
        <v/>
      </c>
      <c r="E35" s="326">
        <f>IFERROR(IF(VLOOKUP(B35,Detalle!$A:$AA,$E$1,0)=0,"Sin datos",IFERROR(VLOOKUP(B35,Detalle!$A:$AA,$E$1,0),"Sin datos")),"")</f>
        <v/>
      </c>
      <c r="F35" s="91">
        <f>IFERROR(IF(VLOOKUP(B35,Detalle!$A:$AA,$F$1,0)=0,"Sin datos",IFERROR(VLOOKUP(B35,Detalle!$A:$AA,$F$1,0),"Sin datos")),"")</f>
        <v/>
      </c>
      <c r="G35" s="327">
        <f>IFERROR(IF(VLOOKUP(B35,Detalle!$A:$AA,$G$1,0)=0,"Sin datos",IFERROR(VLOOKUP(B35,Detalle!$A:$AA,$G$1,0),"Sin datos")),"")</f>
        <v/>
      </c>
      <c r="H35" s="93">
        <f>IFERROR(IF(VLOOKUP(B35,Detalle!$A:$AA,$H$1,0)=0,"Sin datos",IFERROR(VLOOKUP(B35,Detalle!$A:$AA,$H$1,0),"Sin datos")),"")</f>
        <v/>
      </c>
      <c r="I35" s="327">
        <f>IFERROR(IF(VLOOKUP(B35,Detalle!$A:$AA,$I$1,0)=0,"Sin datos",IFERROR(VLOOKUP(B35,Detalle!$A:$AA,$I$1,0),"Sin datos")),"")</f>
        <v/>
      </c>
      <c r="J35" s="93">
        <f>IFERROR(IF(VLOOKUP(B35,Detalle!$A:$AA,$J$1,0)=0,"Sin datos",IFERROR(VLOOKUP(B35,Detalle!$A:$AA,$J$1,0),"Sin datos")),"")</f>
        <v/>
      </c>
      <c r="K35" s="98" t="s">
        <v>293</v>
      </c>
      <c r="L35" s="328">
        <f>MIN(E35,G35,I35)</f>
        <v/>
      </c>
      <c r="M35" s="329">
        <f>IFERROR(IF(MIN(H35,J35)=F35,IF(G35=I35,"Escenario 5","Escenario 4"),IF(MIN(H35,J35)&lt;F35,IF(AND(F35-2&lt;=MIN(H35,J35),G35&lt;&gt;I35),"Escenario 1",IF(AND(F35-2&lt;=MIN(H35,J35),G35=I35),"Escenario 2","Escenario 3")),IF(MIN(H35,J35)&gt;F35,IF(AND(F35+2&gt;=MIN(H35,J35),G35=I35),"Escenario 7",IF(AND(F35+2&gt;=MIN(H35,J35),G35&lt;&gt;I35),"Escenario 6",IF(F35+5&lt;=MIN(H35,J35),"Escenario 9","Escenario 8"))),"error"))),"Falta info")</f>
        <v/>
      </c>
      <c r="N35" s="98">
        <f>IFERROR(VLOOKUP(M35,Base!$BJ$28:$BL$36,3,0),0)</f>
        <v/>
      </c>
      <c r="O35" s="330">
        <f>IF(LOOKUP(M35,Base!$X$8:$BG$8)=M35,VLOOKUP(B35,Base!E:BG,N35,0),0)</f>
        <v/>
      </c>
      <c r="P35" s="330" t="n"/>
      <c r="Q35" s="327">
        <f>IFERROR(IF(VLOOKUP(B35,Detalle!$A:$AA,$Q$1,0)=0,"Sin datos",IFERROR(VLOOKUP(B35,Detalle!$A:$AA,$Q$1,0),"Sin datos")),"")</f>
        <v/>
      </c>
      <c r="R35" s="93">
        <f>IFERROR(IF(VLOOKUP(B35,Detalle!$A:$AA,$R$1,0)=0,"Sin datos",IFERROR(VLOOKUP(B35,Detalle!$A:$AA,$R$1,0),"Sin datos")),"")</f>
        <v/>
      </c>
      <c r="S35" s="327">
        <f>IFERROR(IF(VLOOKUP(B35,Detalle!$A:$AA,$S$1,0)=0,"Sin datos",IFERROR(VLOOKUP(B35,Detalle!$A:$AA,$S$1,0),"Sin datos")),"")</f>
        <v/>
      </c>
      <c r="T35" s="93">
        <f>IFERROR(IF(VLOOKUP(B35,Detalle!$A:$AA,$T$1,0)=0,"Sin datos",IFERROR(VLOOKUP(B35,Detalle!$A:$AA,$T$1,0),"Sin datos")),"")</f>
        <v/>
      </c>
      <c r="U35" s="327">
        <f>IFERROR(IF(VLOOKUP(B35,Detalle!$A:$AA,$U$1,0)=0,"Sin datos",IFERROR(VLOOKUP(B35,Detalle!$A:$AA,$U$1,0),"Sin datos")),"")</f>
        <v/>
      </c>
      <c r="V35" s="93">
        <f>IFERROR(IF(VLOOKUP(B35,Detalle!$A:$AA,$V$1,0)=0,"Sin datos",IFERROR(VLOOKUP(B35,Detalle!$A:$AA,$V$1,0),"Sin datos")),"")</f>
        <v/>
      </c>
      <c r="W35" s="98">
        <f>IF(P35="",IF(MIN(Q35,S35,U35)&gt;E35,"Si","No"),IF(MIN(Q35,S35,U35)&gt;P35,"Si","No"))</f>
        <v/>
      </c>
      <c r="X35" s="328">
        <f>MIN(Q35,S35,U35)</f>
        <v/>
      </c>
      <c r="Y35" s="328">
        <f>IFERROR(IF(MIN(T35,V35)=R35,IF(S35=U35,"Escenario 5","Escenario 4"),IF(MIN(T35,V35)&lt;R35,IF(AND(R35-2&lt;=MIN(T35,V35),S35&lt;&gt;U35),"Escenario 1",IF(AND(R35-2&lt;=MIN(T35,V35),S35=U35),"Escenario 2","Escenario 3")),IF(MIN(T35,V35)&gt;R35,IF(AND(R35+2&gt;=MIN(T35,V35),S35=U35),"Escenario 7",IF(AND(R35+2&gt;=MIN(T35,V35),S35&lt;&gt;U35),"Escenario 6",IF(R35+5&lt;=MIN(T35,V35),"Escenario 9","Escenario 8"))),"error"))),"Falta info")</f>
        <v/>
      </c>
      <c r="Z35" s="98">
        <f>IFERROR(VLOOKUP(Y35,Base!$BJ$19:$BL$27,3,0),0)</f>
        <v/>
      </c>
      <c r="AA35" s="330">
        <f>IF(LOOKUP(Y35,Base!$X$8:$BG$8)=Y35,VLOOKUP(B35,Base!E:BG,Z35,0),0)</f>
        <v/>
      </c>
      <c r="AB35" s="330" t="n"/>
      <c r="AC35" s="327">
        <f>IFERROR(IF(VLOOKUP(B35,Detalle!$A:$AA,$AC$1,0)=0,"Sin datos",IFERROR(VLOOKUP(B35,Detalle!$A:$AA,$AC$1,0),"Sin datos")),"")</f>
        <v/>
      </c>
      <c r="AD35" s="93">
        <f>IFERROR(IF(VLOOKUP(B35,Detalle!$A:$AA,$AD$1,0)=0,"Sin datos",IFERROR(VLOOKUP(B35,Detalle!$A:$AA,$AD$1,0),"Sin datos")),"")</f>
        <v/>
      </c>
      <c r="AE35" s="327">
        <f>IFERROR(IF(VLOOKUP(B35,Detalle!$A:$AA,$AE$1,0)=0,"Sin datos",IFERROR(VLOOKUP(B35,Detalle!$A:$AA,$AE$1,0),"Sin datos")),"")</f>
        <v/>
      </c>
      <c r="AF35" s="93">
        <f>IFERROR(IF(VLOOKUP(B35,Detalle!$A:$AA,$AF$1,0)=0,"Sin datos",IFERROR(VLOOKUP(B35,Detalle!$A:$AA,$AF$1,0),"Sin datos")),"")</f>
        <v/>
      </c>
      <c r="AG35" s="327">
        <f>IFERROR(IF(VLOOKUP(B35,Detalle!$A:$AA,$AG$1,0)=0,"Sin datos",IFERROR(VLOOKUP(B35,Detalle!$A:$AA,$AG$1,0),"Sin datos")),"")</f>
        <v/>
      </c>
      <c r="AH35" s="93">
        <f>IFERROR(IF(VLOOKUP(B35,Detalle!$A:$AA,$AH$1,0)=0,"Sin datos",IFERROR(VLOOKUP(B35,Detalle!$A:$AA,$AH$1,0),"Sin datos")),"")</f>
        <v/>
      </c>
      <c r="AI35" s="98">
        <f>IF(AB35="",IF(MIN(AC35,AE35,AG35)&gt;E35,"Si","No"),IF(MIN(AC35,AG35,AG35)&gt;AB35,"Si","No"))</f>
        <v/>
      </c>
      <c r="AJ35" s="328">
        <f>MIN(AC35,AE35,AG35)</f>
        <v/>
      </c>
      <c r="AK35" s="328">
        <f>IFERROR(IF(MIN(AF35,AH35)=AD35,IF(AE35=AG35,"Escenario 5","Escenario 4"),IF(MIN(AF35,AH35)&lt;AD35,IF(AND(AD35-2&lt;=MIN(AF35,AH35),AE35&lt;&gt;AG35),"Escenario 1",IF(AND(AD35-2&lt;=MIN(AF35,AH35),AE35=AG35),"Escenario 2","Escenario 3")),IF(MIN(AF35,AH35)&gt;AD35,IF(AND(AD35+2&gt;=MIN(AF35,AH35),AE35=AG35),"Escenario 7",IF(AND(AD35+2&gt;=MIN(AF35,AH35),AE35&lt;&gt;AG35),"Escenario 6",IF(AD35+5&lt;=MIN(AF35,AH35),"Escenario 9","Escenario 8"))),"error"))),"Falta info")</f>
        <v/>
      </c>
      <c r="AL35" s="98">
        <f>IFERROR(VLOOKUP(AK35,Base!$BJ$37:$BL$45,3,0),0)</f>
        <v/>
      </c>
      <c r="AM35" s="330">
        <f>IF(LOOKUP(AK35,Base!$X$8:$BG$8)=AK35,VLOOKUP(B35,Base!E:BG,AL35,0),0)</f>
        <v/>
      </c>
      <c r="AN35" s="330" t="n"/>
      <c r="AO35" s="331" t="n"/>
      <c r="AP35" s="331">
        <f>IF(AM35&lt;=AA35,"REVISAR!","ok")</f>
        <v/>
      </c>
      <c r="AQ35" s="331" t="n"/>
    </row>
    <row customHeight="1" ht="12.95" r="36" s="183" spans="1:43">
      <c r="B36" s="108" t="s">
        <v>146</v>
      </c>
      <c r="C36" s="89" t="s">
        <v>258</v>
      </c>
      <c r="D36" s="106">
        <f>VLOOKUP(B36,Base!E:G,3,0)</f>
        <v/>
      </c>
      <c r="E36" s="326">
        <f>IFERROR(IF(VLOOKUP(B36,Detalle!$A:$AA,$E$1,0)=0,"Sin datos",IFERROR(VLOOKUP(B36,Detalle!$A:$AA,$E$1,0),"Sin datos")),"")</f>
        <v/>
      </c>
      <c r="F36" s="91">
        <f>IFERROR(IF(VLOOKUP(B36,Detalle!$A:$AA,$F$1,0)=0,"Sin datos",IFERROR(VLOOKUP(B36,Detalle!$A:$AA,$F$1,0),"Sin datos")),"")</f>
        <v/>
      </c>
      <c r="G36" s="327">
        <f>IFERROR(IF(VLOOKUP(B36,Detalle!$A:$AA,$G$1,0)=0,"Sin datos",IFERROR(VLOOKUP(B36,Detalle!$A:$AA,$G$1,0),"Sin datos")),"")</f>
        <v/>
      </c>
      <c r="H36" s="93">
        <f>IFERROR(IF(VLOOKUP(B36,Detalle!$A:$AA,$H$1,0)=0,"Sin datos",IFERROR(VLOOKUP(B36,Detalle!$A:$AA,$H$1,0),"Sin datos")),"")</f>
        <v/>
      </c>
      <c r="I36" s="327">
        <f>IFERROR(IF(VLOOKUP(B36,Detalle!$A:$AA,$I$1,0)=0,"Sin datos",IFERROR(VLOOKUP(B36,Detalle!$A:$AA,$I$1,0),"Sin datos")),"")</f>
        <v/>
      </c>
      <c r="J36" s="93">
        <f>IFERROR(IF(VLOOKUP(B36,Detalle!$A:$AA,$J$1,0)=0,"Sin datos",IFERROR(VLOOKUP(B36,Detalle!$A:$AA,$J$1,0),"Sin datos")),"")</f>
        <v/>
      </c>
      <c r="K36" s="98" t="s">
        <v>293</v>
      </c>
      <c r="L36" s="328">
        <f>MIN(E36,G36,I36)</f>
        <v/>
      </c>
      <c r="M36" s="329">
        <f>IFERROR(IF(MIN(H36,J36)=F36,IF(G36=I36,"Escenario 5","Escenario 4"),IF(MIN(H36,J36)&lt;F36,IF(AND(F36-2&lt;=MIN(H36,J36),G36&lt;&gt;I36),"Escenario 1",IF(AND(F36-2&lt;=MIN(H36,J36),G36=I36),"Escenario 2","Escenario 3")),IF(MIN(H36,J36)&gt;F36,IF(AND(F36+2&gt;=MIN(H36,J36),G36=I36),"Escenario 7",IF(AND(F36+2&gt;=MIN(H36,J36),G36&lt;&gt;I36),"Escenario 6",IF(F36+5&lt;=MIN(H36,J36),"Escenario 9","Escenario 8"))),"error"))),"Falta info")</f>
        <v/>
      </c>
      <c r="N36" s="98">
        <f>IFERROR(VLOOKUP(M36,Base!$BJ$28:$BL$36,3,0),0)</f>
        <v/>
      </c>
      <c r="O36" s="330">
        <f>IF(LOOKUP(M36,Base!$X$8:$BG$8)=M36,VLOOKUP(B36,Base!E:BG,N36,0),0)</f>
        <v/>
      </c>
      <c r="P36" s="330" t="n">
        <v>3990</v>
      </c>
      <c r="Q36" s="327">
        <f>IFERROR(IF(VLOOKUP(B36,Detalle!$A:$AA,$Q$1,0)=0,"Sin datos",IFERROR(VLOOKUP(B36,Detalle!$A:$AA,$Q$1,0),"Sin datos")),"")</f>
        <v/>
      </c>
      <c r="R36" s="93">
        <f>IFERROR(IF(VLOOKUP(B36,Detalle!$A:$AA,$R$1,0)=0,"Sin datos",IFERROR(VLOOKUP(B36,Detalle!$A:$AA,$R$1,0),"Sin datos")),"")</f>
        <v/>
      </c>
      <c r="S36" s="327">
        <f>IFERROR(IF(VLOOKUP(B36,Detalle!$A:$AA,$S$1,0)=0,"Sin datos",IFERROR(VLOOKUP(B36,Detalle!$A:$AA,$S$1,0),"Sin datos")),"")</f>
        <v/>
      </c>
      <c r="T36" s="93">
        <f>IFERROR(IF(VLOOKUP(B36,Detalle!$A:$AA,$T$1,0)=0,"Sin datos",IFERROR(VLOOKUP(B36,Detalle!$A:$AA,$T$1,0),"Sin datos")),"")</f>
        <v/>
      </c>
      <c r="U36" s="327">
        <f>IFERROR(IF(VLOOKUP(B36,Detalle!$A:$AA,$U$1,0)=0,"Sin datos",IFERROR(VLOOKUP(B36,Detalle!$A:$AA,$U$1,0),"Sin datos")),"")</f>
        <v/>
      </c>
      <c r="V36" s="93">
        <f>IFERROR(IF(VLOOKUP(B36,Detalle!$A:$AA,$V$1,0)=0,"Sin datos",IFERROR(VLOOKUP(B36,Detalle!$A:$AA,$V$1,0),"Sin datos")),"")</f>
        <v/>
      </c>
      <c r="W36" s="98">
        <f>IF(P36="",IF(MIN(Q36,S36,U36)&gt;E36,"Si","No"),IF(MIN(Q36,S36,U36)&gt;P36,"Si","No"))</f>
        <v/>
      </c>
      <c r="X36" s="328">
        <f>MIN(Q36,S36,U36)</f>
        <v/>
      </c>
      <c r="Y36" s="328">
        <f>IFERROR(IF(MIN(T36,V36)=R36,IF(S36=U36,"Escenario 5","Escenario 4"),IF(MIN(T36,V36)&lt;R36,IF(AND(R36-2&lt;=MIN(T36,V36),S36&lt;&gt;U36),"Escenario 1",IF(AND(R36-2&lt;=MIN(T36,V36),S36=U36),"Escenario 2","Escenario 3")),IF(MIN(T36,V36)&gt;R36,IF(AND(R36+2&gt;=MIN(T36,V36),S36=U36),"Escenario 7",IF(AND(R36+2&gt;=MIN(T36,V36),S36&lt;&gt;U36),"Escenario 6",IF(R36+5&lt;=MIN(T36,V36),"Escenario 9","Escenario 8"))),"error"))),"Falta info")</f>
        <v/>
      </c>
      <c r="Z36" s="98">
        <f>IFERROR(VLOOKUP(Y36,Base!$BJ$19:$BL$27,3,0),0)</f>
        <v/>
      </c>
      <c r="AA36" s="330">
        <f>IF(LOOKUP(Y36,Base!$X$8:$BG$8)=Y36,VLOOKUP(B36,Base!E:BG,Z36,0),0)</f>
        <v/>
      </c>
      <c r="AB36" s="330" t="n">
        <v>7990</v>
      </c>
      <c r="AC36" s="327">
        <f>IFERROR(IF(VLOOKUP(B36,Detalle!$A:$AA,$AC$1,0)=0,"Sin datos",IFERROR(VLOOKUP(B36,Detalle!$A:$AA,$AC$1,0),"Sin datos")),"")</f>
        <v/>
      </c>
      <c r="AD36" s="93">
        <f>IFERROR(IF(VLOOKUP(B36,Detalle!$A:$AA,$AD$1,0)=0,"Sin datos",IFERROR(VLOOKUP(B36,Detalle!$A:$AA,$AD$1,0),"Sin datos")),"")</f>
        <v/>
      </c>
      <c r="AE36" s="327">
        <f>IFERROR(IF(VLOOKUP(B36,Detalle!$A:$AA,$AE$1,0)=0,"Sin datos",IFERROR(VLOOKUP(B36,Detalle!$A:$AA,$AE$1,0),"Sin datos")),"")</f>
        <v/>
      </c>
      <c r="AF36" s="93">
        <f>IFERROR(IF(VLOOKUP(B36,Detalle!$A:$AA,$AF$1,0)=0,"Sin datos",IFERROR(VLOOKUP(B36,Detalle!$A:$AA,$AF$1,0),"Sin datos")),"")</f>
        <v/>
      </c>
      <c r="AG36" s="327">
        <f>IFERROR(IF(VLOOKUP(B36,Detalle!$A:$AA,$AG$1,0)=0,"Sin datos",IFERROR(VLOOKUP(B36,Detalle!$A:$AA,$AG$1,0),"Sin datos")),"")</f>
        <v/>
      </c>
      <c r="AH36" s="93">
        <f>IFERROR(IF(VLOOKUP(B36,Detalle!$A:$AA,$AH$1,0)=0,"Sin datos",IFERROR(VLOOKUP(B36,Detalle!$A:$AA,$AH$1,0),"Sin datos")),"")</f>
        <v/>
      </c>
      <c r="AI36" s="98">
        <f>IF(AB36="",IF(MIN(AC36,AE36,AG36)&gt;E36,"Si","No"),IF(MIN(AC36,AG36,AG36)&gt;AB36,"Si","No"))</f>
        <v/>
      </c>
      <c r="AJ36" s="328">
        <f>MIN(AC36,AE36,AG36)</f>
        <v/>
      </c>
      <c r="AK36" s="328">
        <f>IFERROR(IF(MIN(AF36,AH36)=AD36,IF(AE36=AG36,"Escenario 5","Escenario 4"),IF(MIN(AF36,AH36)&lt;AD36,IF(AND(AD36-2&lt;=MIN(AF36,AH36),AE36&lt;&gt;AG36),"Escenario 1",IF(AND(AD36-2&lt;=MIN(AF36,AH36),AE36=AG36),"Escenario 2","Escenario 3")),IF(MIN(AF36,AH36)&gt;AD36,IF(AND(AD36+2&gt;=MIN(AF36,AH36),AE36=AG36),"Escenario 7",IF(AND(AD36+2&gt;=MIN(AF36,AH36),AE36&lt;&gt;AG36),"Escenario 6",IF(AD36+5&lt;=MIN(AF36,AH36),"Escenario 9","Escenario 8"))),"error"))),"Falta info")</f>
        <v/>
      </c>
      <c r="AL36" s="98">
        <f>IFERROR(VLOOKUP(AK36,Base!$BJ$37:$BL$45,3,0),0)</f>
        <v/>
      </c>
      <c r="AM36" s="330">
        <f>IF(LOOKUP(AK36,Base!$X$8:$BG$8)=AK36,VLOOKUP(B36,Base!E:BG,AL36,0),0)</f>
        <v/>
      </c>
      <c r="AN36" s="330" t="n"/>
      <c r="AO36" s="331" t="n"/>
      <c r="AP36" s="331" t="n"/>
      <c r="AQ36" s="331" t="n"/>
    </row>
    <row customHeight="1" ht="12.95" r="37" s="183" spans="1:43">
      <c r="B37" s="108" t="s">
        <v>124</v>
      </c>
      <c r="C37" s="89" t="s">
        <v>260</v>
      </c>
      <c r="D37" s="106">
        <f>VLOOKUP(B37,Base!E:G,3,0)</f>
        <v/>
      </c>
      <c r="E37" s="326">
        <f>IFERROR(IF(VLOOKUP(B37,Detalle!$A:$AA,$E$1,0)=0,"Sin datos",IFERROR(VLOOKUP(B37,Detalle!$A:$AA,$E$1,0),"Sin datos")),"")</f>
        <v/>
      </c>
      <c r="F37" s="91">
        <f>IFERROR(IF(VLOOKUP(B37,Detalle!$A:$AA,$F$1,0)=0,"Sin datos",IFERROR(VLOOKUP(B37,Detalle!$A:$AA,$F$1,0),"Sin datos")),"")</f>
        <v/>
      </c>
      <c r="G37" s="327">
        <f>IFERROR(IF(VLOOKUP(B37,Detalle!$A:$AA,$G$1,0)=0,"Sin datos",IFERROR(VLOOKUP(B37,Detalle!$A:$AA,$G$1,0),"Sin datos")),"")</f>
        <v/>
      </c>
      <c r="H37" s="93">
        <f>IFERROR(IF(VLOOKUP(B37,Detalle!$A:$AA,$H$1,0)=0,"Sin datos",IFERROR(VLOOKUP(B37,Detalle!$A:$AA,$H$1,0),"Sin datos")),"")</f>
        <v/>
      </c>
      <c r="I37" s="327">
        <f>IFERROR(IF(VLOOKUP(B37,Detalle!$A:$AA,$I$1,0)=0,"Sin datos",IFERROR(VLOOKUP(B37,Detalle!$A:$AA,$I$1,0),"Sin datos")),"")</f>
        <v/>
      </c>
      <c r="J37" s="93">
        <f>IFERROR(IF(VLOOKUP(B37,Detalle!$A:$AA,$J$1,0)=0,"Sin datos",IFERROR(VLOOKUP(B37,Detalle!$A:$AA,$J$1,0),"Sin datos")),"")</f>
        <v/>
      </c>
      <c r="K37" s="98" t="s">
        <v>293</v>
      </c>
      <c r="L37" s="328">
        <f>MIN(E37,G37,I37)</f>
        <v/>
      </c>
      <c r="M37" s="329">
        <f>IFERROR(IF(MIN(H37,J37)=F37,IF(G37=I37,"Escenario 5","Escenario 4"),IF(MIN(H37,J37)&lt;F37,IF(AND(F37-2&lt;=MIN(H37,J37),G37&lt;&gt;I37),"Escenario 1",IF(AND(F37-2&lt;=MIN(H37,J37),G37=I37),"Escenario 2","Escenario 3")),IF(MIN(H37,J37)&gt;F37,IF(AND(F37+2&gt;=MIN(H37,J37),G37=I37),"Escenario 7",IF(AND(F37+2&gt;=MIN(H37,J37),G37&lt;&gt;I37),"Escenario 6",IF(F37+5&lt;=MIN(H37,J37),"Escenario 9","Escenario 8"))),"error"))),"Falta info")</f>
        <v/>
      </c>
      <c r="N37" s="98">
        <f>IFERROR(VLOOKUP(M37,Base!$BJ$28:$BL$36,3,0),0)</f>
        <v/>
      </c>
      <c r="O37" s="330">
        <f>IF(LOOKUP(M37,Base!$X$8:$BG$8)=M37,VLOOKUP(B37,Base!E:BG,N37,0),0)</f>
        <v/>
      </c>
      <c r="P37" s="330" t="n"/>
      <c r="Q37" s="327">
        <f>IFERROR(IF(VLOOKUP(B37,Detalle!$A:$AA,$Q$1,0)=0,"Sin datos",IFERROR(VLOOKUP(B37,Detalle!$A:$AA,$Q$1,0),"Sin datos")),"")</f>
        <v/>
      </c>
      <c r="R37" s="93">
        <f>IFERROR(IF(VLOOKUP(B37,Detalle!$A:$AA,$R$1,0)=0,"Sin datos",IFERROR(VLOOKUP(B37,Detalle!$A:$AA,$R$1,0),"Sin datos")),"")</f>
        <v/>
      </c>
      <c r="S37" s="327">
        <f>IFERROR(IF(VLOOKUP(B37,Detalle!$A:$AA,$S$1,0)=0,"Sin datos",IFERROR(VLOOKUP(B37,Detalle!$A:$AA,$S$1,0),"Sin datos")),"")</f>
        <v/>
      </c>
      <c r="T37" s="93">
        <f>IFERROR(IF(VLOOKUP(B37,Detalle!$A:$AA,$T$1,0)=0,"Sin datos",IFERROR(VLOOKUP(B37,Detalle!$A:$AA,$T$1,0),"Sin datos")),"")</f>
        <v/>
      </c>
      <c r="U37" s="327">
        <f>IFERROR(IF(VLOOKUP(B37,Detalle!$A:$AA,$U$1,0)=0,"Sin datos",IFERROR(VLOOKUP(B37,Detalle!$A:$AA,$U$1,0),"Sin datos")),"")</f>
        <v/>
      </c>
      <c r="V37" s="93">
        <f>IFERROR(IF(VLOOKUP(B37,Detalle!$A:$AA,$V$1,0)=0,"Sin datos",IFERROR(VLOOKUP(B37,Detalle!$A:$AA,$V$1,0),"Sin datos")),"")</f>
        <v/>
      </c>
      <c r="W37" s="98">
        <f>IF(P37="",IF(MIN(Q37,S37,U37)&gt;E37,"Si","No"),IF(MIN(Q37,S37,U37)&gt;P37,"Si","No"))</f>
        <v/>
      </c>
      <c r="X37" s="328">
        <f>MIN(Q37,S37,U37)</f>
        <v/>
      </c>
      <c r="Y37" s="328">
        <f>IFERROR(IF(MIN(T37,V37)=R37,IF(S37=U37,"Escenario 5","Escenario 4"),IF(MIN(T37,V37)&lt;R37,IF(AND(R37-2&lt;=MIN(T37,V37),S37&lt;&gt;U37),"Escenario 1",IF(AND(R37-2&lt;=MIN(T37,V37),S37=U37),"Escenario 2","Escenario 3")),IF(MIN(T37,V37)&gt;R37,IF(AND(R37+2&gt;=MIN(T37,V37),S37=U37),"Escenario 7",IF(AND(R37+2&gt;=MIN(T37,V37),S37&lt;&gt;U37),"Escenario 6",IF(R37+5&lt;=MIN(T37,V37),"Escenario 9","Escenario 8"))),"error"))),"Falta info")</f>
        <v/>
      </c>
      <c r="Z37" s="98">
        <f>IFERROR(VLOOKUP(Y37,Base!$BJ$19:$BL$27,3,0),0)</f>
        <v/>
      </c>
      <c r="AA37" s="330">
        <f>IF(LOOKUP(Y37,Base!$X$8:$BG$8)=Y37,VLOOKUP(B37,Base!E:BG,Z37,0),0)</f>
        <v/>
      </c>
      <c r="AB37" s="330" t="n"/>
      <c r="AC37" s="327">
        <f>IFERROR(IF(VLOOKUP(B37,Detalle!$A:$AA,$AC$1,0)=0,"Sin datos",IFERROR(VLOOKUP(B37,Detalle!$A:$AA,$AC$1,0),"Sin datos")),"")</f>
        <v/>
      </c>
      <c r="AD37" s="93">
        <f>IFERROR(IF(VLOOKUP(B37,Detalle!$A:$AA,$AD$1,0)=0,"Sin datos",IFERROR(VLOOKUP(B37,Detalle!$A:$AA,$AD$1,0),"Sin datos")),"")</f>
        <v/>
      </c>
      <c r="AE37" s="327">
        <f>IFERROR(IF(VLOOKUP(B37,Detalle!$A:$AA,$AE$1,0)=0,"Sin datos",IFERROR(VLOOKUP(B37,Detalle!$A:$AA,$AE$1,0),"Sin datos")),"")</f>
        <v/>
      </c>
      <c r="AF37" s="93">
        <f>IFERROR(IF(VLOOKUP(B37,Detalle!$A:$AA,$AF$1,0)=0,"Sin datos",IFERROR(VLOOKUP(B37,Detalle!$A:$AA,$AF$1,0),"Sin datos")),"")</f>
        <v/>
      </c>
      <c r="AG37" s="327">
        <f>IFERROR(IF(VLOOKUP(B37,Detalle!$A:$AA,$AG$1,0)=0,"Sin datos",IFERROR(VLOOKUP(B37,Detalle!$A:$AA,$AG$1,0),"Sin datos")),"")</f>
        <v/>
      </c>
      <c r="AH37" s="93">
        <f>IFERROR(IF(VLOOKUP(B37,Detalle!$A:$AA,$AH$1,0)=0,"Sin datos",IFERROR(VLOOKUP(B37,Detalle!$A:$AA,$AH$1,0),"Sin datos")),"")</f>
        <v/>
      </c>
      <c r="AI37" s="98">
        <f>IF(AB37="",IF(MIN(AC37,AE37,AG37)&gt;E37,"Si","No"),IF(MIN(AC37,AG37,AG37)&gt;AB37,"Si","No"))</f>
        <v/>
      </c>
      <c r="AJ37" s="328">
        <f>MIN(AC37,AE37,AG37)</f>
        <v/>
      </c>
      <c r="AK37" s="328">
        <f>IFERROR(IF(MIN(AF37,AH37)=AD37,IF(AE37=AG37,"Escenario 5","Escenario 4"),IF(MIN(AF37,AH37)&lt;AD37,IF(AND(AD37-2&lt;=MIN(AF37,AH37),AE37&lt;&gt;AG37),"Escenario 1",IF(AND(AD37-2&lt;=MIN(AF37,AH37),AE37=AG37),"Escenario 2","Escenario 3")),IF(MIN(AF37,AH37)&gt;AD37,IF(AND(AD37+2&gt;=MIN(AF37,AH37),AE37=AG37),"Escenario 7",IF(AND(AD37+2&gt;=MIN(AF37,AH37),AE37&lt;&gt;AG37),"Escenario 6",IF(AD37+5&lt;=MIN(AF37,AH37),"Escenario 9","Escenario 8"))),"error"))),"Falta info")</f>
        <v/>
      </c>
      <c r="AL37" s="98">
        <f>IFERROR(VLOOKUP(AK37,Base!$BJ$37:$BL$45,3,0),0)</f>
        <v/>
      </c>
      <c r="AM37" s="330">
        <f>IF(LOOKUP(AK37,Base!$X$8:$BG$8)=AK37,VLOOKUP(B37,Base!E:BG,AL37,0),0)</f>
        <v/>
      </c>
      <c r="AN37" s="330" t="n"/>
      <c r="AO37" s="331" t="n"/>
      <c r="AP37" s="331">
        <f>IF(AM37&lt;=AA37,"REVISAR!","ok")</f>
        <v/>
      </c>
      <c r="AQ37" s="331" t="n"/>
    </row>
    <row customHeight="1" ht="12.95" r="38" s="183" spans="1:43">
      <c r="B38" s="108" t="s">
        <v>270</v>
      </c>
      <c r="C38" s="89" t="s">
        <v>258</v>
      </c>
      <c r="D38" s="106">
        <f>VLOOKUP(B38,Base!E:G,3,0)</f>
        <v/>
      </c>
      <c r="E38" s="326">
        <f>IFERROR(IF(VLOOKUP(B38,Detalle!$A:$AA,$E$1,0)=0,"Sin datos",IFERROR(VLOOKUP(B38,Detalle!$A:$AA,$E$1,0),"Sin datos")),"")</f>
        <v/>
      </c>
      <c r="F38" s="91">
        <f>IFERROR(IF(VLOOKUP(B38,Detalle!$A:$AA,$F$1,0)=0,"Sin datos",IFERROR(VLOOKUP(B38,Detalle!$A:$AA,$F$1,0),"Sin datos")),"")</f>
        <v/>
      </c>
      <c r="G38" s="327">
        <f>IFERROR(IF(VLOOKUP(B38,Detalle!$A:$AA,$G$1,0)=0,"Sin datos",IFERROR(VLOOKUP(B38,Detalle!$A:$AA,$G$1,0),"Sin datos")),"")</f>
        <v/>
      </c>
      <c r="H38" s="93">
        <f>IFERROR(IF(VLOOKUP(B38,Detalle!$A:$AA,$H$1,0)=0,"Sin datos",IFERROR(VLOOKUP(B38,Detalle!$A:$AA,$H$1,0),"Sin datos")),"")</f>
        <v/>
      </c>
      <c r="I38" s="327">
        <f>IFERROR(IF(VLOOKUP(B38,Detalle!$A:$AA,$I$1,0)=0,"Sin datos",IFERROR(VLOOKUP(B38,Detalle!$A:$AA,$I$1,0),"Sin datos")),"")</f>
        <v/>
      </c>
      <c r="J38" s="93">
        <f>IFERROR(IF(VLOOKUP(B38,Detalle!$A:$AA,$J$1,0)=0,"Sin datos",IFERROR(VLOOKUP(B38,Detalle!$A:$AA,$J$1,0),"Sin datos")),"")</f>
        <v/>
      </c>
      <c r="K38" s="98" t="s">
        <v>293</v>
      </c>
      <c r="L38" s="328">
        <f>MIN(E38,G38,I38)</f>
        <v/>
      </c>
      <c r="M38" s="329">
        <f>IFERROR(IF(MIN(H38,J38)=F38,IF(G38=I38,"Escenario 5","Escenario 4"),IF(MIN(H38,J38)&lt;F38,IF(AND(F38-2&lt;=MIN(H38,J38),G38&lt;&gt;I38),"Escenario 1",IF(AND(F38-2&lt;=MIN(H38,J38),G38=I38),"Escenario 2","Escenario 3")),IF(MIN(H38,J38)&gt;F38,IF(AND(F38+2&gt;=MIN(H38,J38),G38=I38),"Escenario 7",IF(AND(F38+2&gt;=MIN(H38,J38),G38&lt;&gt;I38),"Escenario 6",IF(F38+5&lt;=MIN(H38,J38),"Escenario 9","Escenario 8"))),"error"))),"Falta info")</f>
        <v/>
      </c>
      <c r="N38" s="98">
        <f>IFERROR(VLOOKUP(M38,Base!$BJ$28:$BL$36,3,0),0)</f>
        <v/>
      </c>
      <c r="O38" s="330">
        <f>IF(LOOKUP(M38,Base!$X$8:$BG$8)=M38,VLOOKUP(B38,Base!E:BG,N38,0),0)</f>
        <v/>
      </c>
      <c r="P38" s="330" t="n">
        <v>3990</v>
      </c>
      <c r="Q38" s="327">
        <f>IFERROR(IF(VLOOKUP(B38,Detalle!$A:$AA,$Q$1,0)=0,"Sin datos",IFERROR(VLOOKUP(B38,Detalle!$A:$AA,$Q$1,0),"Sin datos")),"")</f>
        <v/>
      </c>
      <c r="R38" s="93">
        <f>IFERROR(IF(VLOOKUP(B38,Detalle!$A:$AA,$R$1,0)=0,"Sin datos",IFERROR(VLOOKUP(B38,Detalle!$A:$AA,$R$1,0),"Sin datos")),"")</f>
        <v/>
      </c>
      <c r="S38" s="327">
        <f>IFERROR(IF(VLOOKUP(B38,Detalle!$A:$AA,$S$1,0)=0,"Sin datos",IFERROR(VLOOKUP(B38,Detalle!$A:$AA,$S$1,0),"Sin datos")),"")</f>
        <v/>
      </c>
      <c r="T38" s="93">
        <f>IFERROR(IF(VLOOKUP(B38,Detalle!$A:$AA,$T$1,0)=0,"Sin datos",IFERROR(VLOOKUP(B38,Detalle!$A:$AA,$T$1,0),"Sin datos")),"")</f>
        <v/>
      </c>
      <c r="U38" s="327">
        <f>IFERROR(IF(VLOOKUP(B38,Detalle!$A:$AA,$U$1,0)=0,"Sin datos",IFERROR(VLOOKUP(B38,Detalle!$A:$AA,$U$1,0),"Sin datos")),"")</f>
        <v/>
      </c>
      <c r="V38" s="93">
        <f>IFERROR(IF(VLOOKUP(B38,Detalle!$A:$AA,$V$1,0)=0,"Sin datos",IFERROR(VLOOKUP(B38,Detalle!$A:$AA,$V$1,0),"Sin datos")),"")</f>
        <v/>
      </c>
      <c r="W38" s="98">
        <f>IF(P38="",IF(MIN(Q38,S38,U38)&gt;E38,"Si","No"),IF(MIN(Q38,S38,U38)&gt;P38,"Si","No"))</f>
        <v/>
      </c>
      <c r="X38" s="328">
        <f>MIN(Q38,S38,U38)</f>
        <v/>
      </c>
      <c r="Y38" s="328">
        <f>IFERROR(IF(MIN(T38,V38)=R38,IF(S38=U38,"Escenario 5","Escenario 4"),IF(MIN(T38,V38)&lt;R38,IF(AND(R38-2&lt;=MIN(T38,V38),S38&lt;&gt;U38),"Escenario 1",IF(AND(R38-2&lt;=MIN(T38,V38),S38=U38),"Escenario 2","Escenario 3")),IF(MIN(T38,V38)&gt;R38,IF(AND(R38+2&gt;=MIN(T38,V38),S38=U38),"Escenario 7",IF(AND(R38+2&gt;=MIN(T38,V38),S38&lt;&gt;U38),"Escenario 6",IF(R38+5&lt;=MIN(T38,V38),"Escenario 9","Escenario 8"))),"error"))),"Falta info")</f>
        <v/>
      </c>
      <c r="Z38" s="98">
        <f>IFERROR(VLOOKUP(Y38,Base!$BJ$19:$BL$27,3,0),0)</f>
        <v/>
      </c>
      <c r="AA38" s="330">
        <f>IF(LOOKUP(Y38,Base!$X$8:$BG$8)=Y38,VLOOKUP(B38,Base!E:BG,Z38,0),0)</f>
        <v/>
      </c>
      <c r="AB38" s="330" t="n">
        <v>8990</v>
      </c>
      <c r="AC38" s="327">
        <f>IFERROR(IF(VLOOKUP(B38,Detalle!$A:$AA,$AC$1,0)=0,"Sin datos",IFERROR(VLOOKUP(B38,Detalle!$A:$AA,$AC$1,0),"Sin datos")),"")</f>
        <v/>
      </c>
      <c r="AD38" s="93">
        <f>IFERROR(IF(VLOOKUP(B38,Detalle!$A:$AA,$AD$1,0)=0,"Sin datos",IFERROR(VLOOKUP(B38,Detalle!$A:$AA,$AD$1,0),"Sin datos")),"")</f>
        <v/>
      </c>
      <c r="AE38" s="327">
        <f>IFERROR(IF(VLOOKUP(B38,Detalle!$A:$AA,$AE$1,0)=0,"Sin datos",IFERROR(VLOOKUP(B38,Detalle!$A:$AA,$AE$1,0),"Sin datos")),"")</f>
        <v/>
      </c>
      <c r="AF38" s="93">
        <f>IFERROR(IF(VLOOKUP(B38,Detalle!$A:$AA,$AF$1,0)=0,"Sin datos",IFERROR(VLOOKUP(B38,Detalle!$A:$AA,$AF$1,0),"Sin datos")),"")</f>
        <v/>
      </c>
      <c r="AG38" s="327">
        <f>IFERROR(IF(VLOOKUP(B38,Detalle!$A:$AA,$AG$1,0)=0,"Sin datos",IFERROR(VLOOKUP(B38,Detalle!$A:$AA,$AG$1,0),"Sin datos")),"")</f>
        <v/>
      </c>
      <c r="AH38" s="93">
        <f>IFERROR(IF(VLOOKUP(B38,Detalle!$A:$AA,$AH$1,0)=0,"Sin datos",IFERROR(VLOOKUP(B38,Detalle!$A:$AA,$AH$1,0),"Sin datos")),"")</f>
        <v/>
      </c>
      <c r="AI38" s="98">
        <f>IF(AB38="",IF(MIN(AC38,AE38,AG38)&gt;E38,"Si","No"),IF(MIN(AC38,AG38,AG38)&gt;AB38,"Si","No"))</f>
        <v/>
      </c>
      <c r="AJ38" s="328">
        <f>MIN(AC38,AE38,AG38)</f>
        <v/>
      </c>
      <c r="AK38" s="328">
        <f>IFERROR(IF(MIN(AF38,AH38)=AD38,IF(AE38=AG38,"Escenario 5","Escenario 4"),IF(MIN(AF38,AH38)&lt;AD38,IF(AND(AD38-2&lt;=MIN(AF38,AH38),AE38&lt;&gt;AG38),"Escenario 1",IF(AND(AD38-2&lt;=MIN(AF38,AH38),AE38=AG38),"Escenario 2","Escenario 3")),IF(MIN(AF38,AH38)&gt;AD38,IF(AND(AD38+2&gt;=MIN(AF38,AH38),AE38=AG38),"Escenario 7",IF(AND(AD38+2&gt;=MIN(AF38,AH38),AE38&lt;&gt;AG38),"Escenario 6",IF(AD38+5&lt;=MIN(AF38,AH38),"Escenario 9","Escenario 8"))),"error"))),"Falta info")</f>
        <v/>
      </c>
      <c r="AL38" s="98">
        <f>IFERROR(VLOOKUP(AK38,Base!$BJ$37:$BL$45,3,0),0)</f>
        <v/>
      </c>
      <c r="AM38" s="330">
        <f>IF(LOOKUP(AK38,Base!$X$8:$BG$8)=AK38,VLOOKUP(B38,Base!E:BG,AL38,0),0)</f>
        <v/>
      </c>
      <c r="AN38" s="330" t="n"/>
      <c r="AO38" s="331" t="n"/>
      <c r="AP38" s="331" t="n"/>
      <c r="AQ38" s="331" t="n"/>
    </row>
    <row customHeight="1" ht="12.95" r="39" s="183" spans="1:43">
      <c r="B39" s="108" t="s">
        <v>120</v>
      </c>
      <c r="C39" s="89" t="s">
        <v>258</v>
      </c>
      <c r="D39" s="106">
        <f>VLOOKUP(B39,Base!E:G,3,0)</f>
        <v/>
      </c>
      <c r="E39" s="326">
        <f>IFERROR(IF(VLOOKUP(B39,Detalle!$A:$AA,$E$1,0)=0,"Sin datos",IFERROR(VLOOKUP(B39,Detalle!$A:$AA,$E$1,0),"Sin datos")),"")</f>
        <v/>
      </c>
      <c r="F39" s="91">
        <f>IFERROR(IF(VLOOKUP(B39,Detalle!$A:$AA,$F$1,0)=0,"Sin datos",IFERROR(VLOOKUP(B39,Detalle!$A:$AA,$F$1,0),"Sin datos")),"")</f>
        <v/>
      </c>
      <c r="G39" s="327">
        <f>IFERROR(IF(VLOOKUP(B39,Detalle!$A:$AA,$G$1,0)=0,"Sin datos",IFERROR(VLOOKUP(B39,Detalle!$A:$AA,$G$1,0),"Sin datos")),"")</f>
        <v/>
      </c>
      <c r="H39" s="93">
        <f>IFERROR(IF(VLOOKUP(B39,Detalle!$A:$AA,$H$1,0)=0,"Sin datos",IFERROR(VLOOKUP(B39,Detalle!$A:$AA,$H$1,0),"Sin datos")),"")</f>
        <v/>
      </c>
      <c r="I39" s="327">
        <f>IFERROR(IF(VLOOKUP(B39,Detalle!$A:$AA,$I$1,0)=0,"Sin datos",IFERROR(VLOOKUP(B39,Detalle!$A:$AA,$I$1,0),"Sin datos")),"")</f>
        <v/>
      </c>
      <c r="J39" s="93">
        <f>IFERROR(IF(VLOOKUP(B39,Detalle!$A:$AA,$J$1,0)=0,"Sin datos",IFERROR(VLOOKUP(B39,Detalle!$A:$AA,$J$1,0),"Sin datos")),"")</f>
        <v/>
      </c>
      <c r="K39" s="98" t="s">
        <v>293</v>
      </c>
      <c r="L39" s="328">
        <f>MIN(E39,G39,I39)</f>
        <v/>
      </c>
      <c r="M39" s="329">
        <f>IFERROR(IF(MIN(H39,J39)=F39,IF(G39=I39,"Escenario 5","Escenario 4"),IF(MIN(H39,J39)&lt;F39,IF(AND(F39-2&lt;=MIN(H39,J39),G39&lt;&gt;I39),"Escenario 1",IF(AND(F39-2&lt;=MIN(H39,J39),G39=I39),"Escenario 2","Escenario 3")),IF(MIN(H39,J39)&gt;F39,IF(AND(F39+2&gt;=MIN(H39,J39),G39=I39),"Escenario 7",IF(AND(F39+2&gt;=MIN(H39,J39),G39&lt;&gt;I39),"Escenario 6",IF(F39+5&lt;=MIN(H39,J39),"Escenario 9","Escenario 8"))),"error"))),"Falta info")</f>
        <v/>
      </c>
      <c r="N39" s="98">
        <f>IFERROR(VLOOKUP(M39,Base!$BJ$28:$BL$36,3,0),0)</f>
        <v/>
      </c>
      <c r="O39" s="330">
        <f>IF(LOOKUP(M39,Base!$X$8:$BG$8)=M39,VLOOKUP(B39,Base!E:BG,N39,0),0)</f>
        <v/>
      </c>
      <c r="P39" s="330" t="n"/>
      <c r="Q39" s="327">
        <f>IFERROR(IF(VLOOKUP(B39,Detalle!$A:$AA,$Q$1,0)=0,"Sin datos",IFERROR(VLOOKUP(B39,Detalle!$A:$AA,$Q$1,0),"Sin datos")),"")</f>
        <v/>
      </c>
      <c r="R39" s="93">
        <f>IFERROR(IF(VLOOKUP(B39,Detalle!$A:$AA,$R$1,0)=0,"Sin datos",IFERROR(VLOOKUP(B39,Detalle!$A:$AA,$R$1,0),"Sin datos")),"")</f>
        <v/>
      </c>
      <c r="S39" s="327">
        <f>IFERROR(IF(VLOOKUP(B39,Detalle!$A:$AA,$S$1,0)=0,"Sin datos",IFERROR(VLOOKUP(B39,Detalle!$A:$AA,$S$1,0),"Sin datos")),"")</f>
        <v/>
      </c>
      <c r="T39" s="93">
        <f>IFERROR(IF(VLOOKUP(B39,Detalle!$A:$AA,$T$1,0)=0,"Sin datos",IFERROR(VLOOKUP(B39,Detalle!$A:$AA,$T$1,0),"Sin datos")),"")</f>
        <v/>
      </c>
      <c r="U39" s="327">
        <f>IFERROR(IF(VLOOKUP(B39,Detalle!$A:$AA,$U$1,0)=0,"Sin datos",IFERROR(VLOOKUP(B39,Detalle!$A:$AA,$U$1,0),"Sin datos")),"")</f>
        <v/>
      </c>
      <c r="V39" s="93">
        <f>IFERROR(IF(VLOOKUP(B39,Detalle!$A:$AA,$V$1,0)=0,"Sin datos",IFERROR(VLOOKUP(B39,Detalle!$A:$AA,$V$1,0),"Sin datos")),"")</f>
        <v/>
      </c>
      <c r="W39" s="98">
        <f>IF(P39="",IF(MIN(Q39,S39,U39)&gt;E39,"Si","No"),IF(MIN(Q39,S39,U39)&gt;P39,"Si","No"))</f>
        <v/>
      </c>
      <c r="X39" s="328">
        <f>MIN(Q39,S39,U39)</f>
        <v/>
      </c>
      <c r="Y39" s="328">
        <f>IFERROR(IF(MIN(T39,V39)=R39,IF(S39=U39,"Escenario 5","Escenario 4"),IF(MIN(T39,V39)&lt;R39,IF(AND(R39-2&lt;=MIN(T39,V39),S39&lt;&gt;U39),"Escenario 1",IF(AND(R39-2&lt;=MIN(T39,V39),S39=U39),"Escenario 2","Escenario 3")),IF(MIN(T39,V39)&gt;R39,IF(AND(R39+2&gt;=MIN(T39,V39),S39=U39),"Escenario 7",IF(AND(R39+2&gt;=MIN(T39,V39),S39&lt;&gt;U39),"Escenario 6",IF(R39+5&lt;=MIN(T39,V39),"Escenario 9","Escenario 8"))),"error"))),"Falta info")</f>
        <v/>
      </c>
      <c r="Z39" s="98">
        <f>IFERROR(VLOOKUP(Y39,Base!$BJ$19:$BL$27,3,0),0)</f>
        <v/>
      </c>
      <c r="AA39" s="330">
        <f>IF(LOOKUP(Y39,Base!$X$8:$BG$8)=Y39,VLOOKUP(B39,Base!E:BG,Z39,0),0)</f>
        <v/>
      </c>
      <c r="AB39" s="330" t="n"/>
      <c r="AC39" s="327">
        <f>IFERROR(IF(VLOOKUP(B39,Detalle!$A:$AA,$AC$1,0)=0,"Sin datos",IFERROR(VLOOKUP(B39,Detalle!$A:$AA,$AC$1,0),"Sin datos")),"")</f>
        <v/>
      </c>
      <c r="AD39" s="93">
        <f>IFERROR(IF(VLOOKUP(B39,Detalle!$A:$AA,$AD$1,0)=0,"Sin datos",IFERROR(VLOOKUP(B39,Detalle!$A:$AA,$AD$1,0),"Sin datos")),"")</f>
        <v/>
      </c>
      <c r="AE39" s="327">
        <f>IFERROR(IF(VLOOKUP(B39,Detalle!$A:$AA,$AE$1,0)=0,"Sin datos",IFERROR(VLOOKUP(B39,Detalle!$A:$AA,$AE$1,0),"Sin datos")),"")</f>
        <v/>
      </c>
      <c r="AF39" s="93">
        <f>IFERROR(IF(VLOOKUP(B39,Detalle!$A:$AA,$AF$1,0)=0,"Sin datos",IFERROR(VLOOKUP(B39,Detalle!$A:$AA,$AF$1,0),"Sin datos")),"")</f>
        <v/>
      </c>
      <c r="AG39" s="327">
        <f>IFERROR(IF(VLOOKUP(B39,Detalle!$A:$AA,$AG$1,0)=0,"Sin datos",IFERROR(VLOOKUP(B39,Detalle!$A:$AA,$AG$1,0),"Sin datos")),"")</f>
        <v/>
      </c>
      <c r="AH39" s="93">
        <f>IFERROR(IF(VLOOKUP(B39,Detalle!$A:$AA,$AH$1,0)=0,"Sin datos",IFERROR(VLOOKUP(B39,Detalle!$A:$AA,$AH$1,0),"Sin datos")),"")</f>
        <v/>
      </c>
      <c r="AI39" s="98">
        <f>IF(AB39="",IF(MIN(AC39,AE39,AG39)&gt;E39,"Si","No"),IF(MIN(AC39,AG39,AG39)&gt;AB39,"Si","No"))</f>
        <v/>
      </c>
      <c r="AJ39" s="328">
        <f>MIN(AC39,AE39,AG39)</f>
        <v/>
      </c>
      <c r="AK39" s="328">
        <f>IFERROR(IF(MIN(AF39,AH39)=AD39,IF(AE39=AG39,"Escenario 5","Escenario 4"),IF(MIN(AF39,AH39)&lt;AD39,IF(AND(AD39-2&lt;=MIN(AF39,AH39),AE39&lt;&gt;AG39),"Escenario 1",IF(AND(AD39-2&lt;=MIN(AF39,AH39),AE39=AG39),"Escenario 2","Escenario 3")),IF(MIN(AF39,AH39)&gt;AD39,IF(AND(AD39+2&gt;=MIN(AF39,AH39),AE39=AG39),"Escenario 7",IF(AND(AD39+2&gt;=MIN(AF39,AH39),AE39&lt;&gt;AG39),"Escenario 6",IF(AD39+5&lt;=MIN(AF39,AH39),"Escenario 9","Escenario 8"))),"error"))),"Falta info")</f>
        <v/>
      </c>
      <c r="AL39" s="98">
        <f>IFERROR(VLOOKUP(AK39,Base!$BJ$37:$BL$45,3,0),0)</f>
        <v/>
      </c>
      <c r="AM39" s="330">
        <f>IF(LOOKUP(AK39,Base!$X$8:$BG$8)=AK39,VLOOKUP(B39,Base!E:BG,AL39,0),0)</f>
        <v/>
      </c>
      <c r="AN39" s="330" t="n">
        <v>11990</v>
      </c>
      <c r="AO39" s="331" t="n"/>
      <c r="AP39" s="331">
        <f>IF(AM39&lt;=AA39,"REVISAR!","ok")</f>
        <v/>
      </c>
      <c r="AQ39" s="331" t="n"/>
    </row>
    <row customHeight="1" ht="12.95" r="40" s="183" spans="1:43">
      <c r="B40" s="108" t="s">
        <v>117</v>
      </c>
      <c r="C40" s="89" t="s">
        <v>260</v>
      </c>
      <c r="D40" s="106">
        <f>VLOOKUP(B40,Base!E:G,3,0)</f>
        <v/>
      </c>
      <c r="E40" s="326">
        <f>IFERROR(IF(VLOOKUP(B40,Detalle!$A:$AA,$E$1,0)=0,"Sin datos",IFERROR(VLOOKUP(B40,Detalle!$A:$AA,$E$1,0),"Sin datos")),"")</f>
        <v/>
      </c>
      <c r="F40" s="91">
        <f>IFERROR(IF(VLOOKUP(B40,Detalle!$A:$AA,$F$1,0)=0,"Sin datos",IFERROR(VLOOKUP(B40,Detalle!$A:$AA,$F$1,0),"Sin datos")),"")</f>
        <v/>
      </c>
      <c r="G40" s="327">
        <f>IFERROR(IF(VLOOKUP(B40,Detalle!$A:$AA,$G$1,0)=0,"Sin datos",IFERROR(VLOOKUP(B40,Detalle!$A:$AA,$G$1,0),"Sin datos")),"")</f>
        <v/>
      </c>
      <c r="H40" s="93">
        <f>IFERROR(IF(VLOOKUP(B40,Detalle!$A:$AA,$H$1,0)=0,"Sin datos",IFERROR(VLOOKUP(B40,Detalle!$A:$AA,$H$1,0),"Sin datos")),"")</f>
        <v/>
      </c>
      <c r="I40" s="327">
        <f>IFERROR(IF(VLOOKUP(B40,Detalle!$A:$AA,$I$1,0)=0,"Sin datos",IFERROR(VLOOKUP(B40,Detalle!$A:$AA,$I$1,0),"Sin datos")),"")</f>
        <v/>
      </c>
      <c r="J40" s="93">
        <f>IFERROR(IF(VLOOKUP(B40,Detalle!$A:$AA,$J$1,0)=0,"Sin datos",IFERROR(VLOOKUP(B40,Detalle!$A:$AA,$J$1,0),"Sin datos")),"")</f>
        <v/>
      </c>
      <c r="K40" s="98" t="s">
        <v>293</v>
      </c>
      <c r="L40" s="328">
        <f>MIN(E40,G40,I40)</f>
        <v/>
      </c>
      <c r="M40" s="329">
        <f>IFERROR(IF(MIN(H40,J40)=F40,IF(G40=I40,"Escenario 5","Escenario 4"),IF(MIN(H40,J40)&lt;F40,IF(AND(F40-2&lt;=MIN(H40,J40),G40&lt;&gt;I40),"Escenario 1",IF(AND(F40-2&lt;=MIN(H40,J40),G40=I40),"Escenario 2","Escenario 3")),IF(MIN(H40,J40)&gt;F40,IF(AND(F40+2&gt;=MIN(H40,J40),G40=I40),"Escenario 7",IF(AND(F40+2&gt;=MIN(H40,J40),G40&lt;&gt;I40),"Escenario 6",IF(F40+5&lt;=MIN(H40,J40),"Escenario 9","Escenario 8"))),"error"))),"Falta info")</f>
        <v/>
      </c>
      <c r="N40" s="98">
        <f>IFERROR(VLOOKUP(M40,Base!$BJ$28:$BL$36,3,0),0)</f>
        <v/>
      </c>
      <c r="O40" s="330">
        <f>IF(LOOKUP(M40,Base!$X$8:$BG$8)=M40,VLOOKUP(B40,Base!E:BG,N40,0),0)</f>
        <v/>
      </c>
      <c r="P40" s="330" t="n"/>
      <c r="Q40" s="327">
        <f>IFERROR(IF(VLOOKUP(B40,Detalle!$A:$AA,$Q$1,0)=0,"Sin datos",IFERROR(VLOOKUP(B40,Detalle!$A:$AA,$Q$1,0),"Sin datos")),"")</f>
        <v/>
      </c>
      <c r="R40" s="93">
        <f>IFERROR(IF(VLOOKUP(B40,Detalle!$A:$AA,$R$1,0)=0,"Sin datos",IFERROR(VLOOKUP(B40,Detalle!$A:$AA,$R$1,0),"Sin datos")),"")</f>
        <v/>
      </c>
      <c r="S40" s="327">
        <f>IFERROR(IF(VLOOKUP(B40,Detalle!$A:$AA,$S$1,0)=0,"Sin datos",IFERROR(VLOOKUP(B40,Detalle!$A:$AA,$S$1,0),"Sin datos")),"")</f>
        <v/>
      </c>
      <c r="T40" s="93">
        <f>IFERROR(IF(VLOOKUP(B40,Detalle!$A:$AA,$T$1,0)=0,"Sin datos",IFERROR(VLOOKUP(B40,Detalle!$A:$AA,$T$1,0),"Sin datos")),"")</f>
        <v/>
      </c>
      <c r="U40" s="327">
        <f>IFERROR(IF(VLOOKUP(B40,Detalle!$A:$AA,$U$1,0)=0,"Sin datos",IFERROR(VLOOKUP(B40,Detalle!$A:$AA,$U$1,0),"Sin datos")),"")</f>
        <v/>
      </c>
      <c r="V40" s="93">
        <f>IFERROR(IF(VLOOKUP(B40,Detalle!$A:$AA,$V$1,0)=0,"Sin datos",IFERROR(VLOOKUP(B40,Detalle!$A:$AA,$V$1,0),"Sin datos")),"")</f>
        <v/>
      </c>
      <c r="W40" s="98">
        <f>IF(P40="",IF(MIN(Q40,S40,U40)&gt;E40,"Si","No"),IF(MIN(Q40,S40,U40)&gt;P40,"Si","No"))</f>
        <v/>
      </c>
      <c r="X40" s="328">
        <f>MIN(Q40,S40,U40)</f>
        <v/>
      </c>
      <c r="Y40" s="328">
        <f>IFERROR(IF(MIN(T40,V40)=R40,IF(S40=U40,"Escenario 5","Escenario 4"),IF(MIN(T40,V40)&lt;R40,IF(AND(R40-2&lt;=MIN(T40,V40),S40&lt;&gt;U40),"Escenario 1",IF(AND(R40-2&lt;=MIN(T40,V40),S40=U40),"Escenario 2","Escenario 3")),IF(MIN(T40,V40)&gt;R40,IF(AND(R40+2&gt;=MIN(T40,V40),S40=U40),"Escenario 7",IF(AND(R40+2&gt;=MIN(T40,V40),S40&lt;&gt;U40),"Escenario 6",IF(R40+5&lt;=MIN(T40,V40),"Escenario 9","Escenario 8"))),"error"))),"Falta info")</f>
        <v/>
      </c>
      <c r="Z40" s="98">
        <f>IFERROR(VLOOKUP(Y40,Base!$BJ$19:$BL$27,3,0),0)</f>
        <v/>
      </c>
      <c r="AA40" s="330">
        <f>IF(LOOKUP(Y40,Base!$X$8:$BG$8)=Y40,VLOOKUP(B40,Base!E:BG,Z40,0),0)</f>
        <v/>
      </c>
      <c r="AB40" s="330" t="n"/>
      <c r="AC40" s="327">
        <f>IFERROR(IF(VLOOKUP(B40,Detalle!$A:$AA,$AC$1,0)=0,"Sin datos",IFERROR(VLOOKUP(B40,Detalle!$A:$AA,$AC$1,0),"Sin datos")),"")</f>
        <v/>
      </c>
      <c r="AD40" s="93">
        <f>IFERROR(IF(VLOOKUP(B40,Detalle!$A:$AA,$AD$1,0)=0,"Sin datos",IFERROR(VLOOKUP(B40,Detalle!$A:$AA,$AD$1,0),"Sin datos")),"")</f>
        <v/>
      </c>
      <c r="AE40" s="327">
        <f>IFERROR(IF(VLOOKUP(B40,Detalle!$A:$AA,$AE$1,0)=0,"Sin datos",IFERROR(VLOOKUP(B40,Detalle!$A:$AA,$AE$1,0),"Sin datos")),"")</f>
        <v/>
      </c>
      <c r="AF40" s="93">
        <f>IFERROR(IF(VLOOKUP(B40,Detalle!$A:$AA,$AF$1,0)=0,"Sin datos",IFERROR(VLOOKUP(B40,Detalle!$A:$AA,$AF$1,0),"Sin datos")),"")</f>
        <v/>
      </c>
      <c r="AG40" s="327">
        <f>IFERROR(IF(VLOOKUP(B40,Detalle!$A:$AA,$AG$1,0)=0,"Sin datos",IFERROR(VLOOKUP(B40,Detalle!$A:$AA,$AG$1,0),"Sin datos")),"")</f>
        <v/>
      </c>
      <c r="AH40" s="93">
        <f>IFERROR(IF(VLOOKUP(B40,Detalle!$A:$AA,$AH$1,0)=0,"Sin datos",IFERROR(VLOOKUP(B40,Detalle!$A:$AA,$AH$1,0),"Sin datos")),"")</f>
        <v/>
      </c>
      <c r="AI40" s="98">
        <f>IF(AB40="",IF(MIN(AC40,AE40,AG40)&gt;E40,"Si","No"),IF(MIN(AC40,AG40,AG40)&gt;AB40,"Si","No"))</f>
        <v/>
      </c>
      <c r="AJ40" s="328">
        <f>MIN(AC40,AE40,AG40)</f>
        <v/>
      </c>
      <c r="AK40" s="328">
        <f>IFERROR(IF(MIN(AF40,AH40)=AD40,IF(AE40=AG40,"Escenario 5","Escenario 4"),IF(MIN(AF40,AH40)&lt;AD40,IF(AND(AD40-2&lt;=MIN(AF40,AH40),AE40&lt;&gt;AG40),"Escenario 1",IF(AND(AD40-2&lt;=MIN(AF40,AH40),AE40=AG40),"Escenario 2","Escenario 3")),IF(MIN(AF40,AH40)&gt;AD40,IF(AND(AD40+2&gt;=MIN(AF40,AH40),AE40=AG40),"Escenario 7",IF(AND(AD40+2&gt;=MIN(AF40,AH40),AE40&lt;&gt;AG40),"Escenario 6",IF(AD40+5&lt;=MIN(AF40,AH40),"Escenario 9","Escenario 8"))),"error"))),"Falta info")</f>
        <v/>
      </c>
      <c r="AL40" s="98">
        <f>IFERROR(VLOOKUP(AK40,Base!$BJ$37:$BL$45,3,0),0)</f>
        <v/>
      </c>
      <c r="AM40" s="330">
        <f>IF(LOOKUP(AK40,Base!$X$8:$BG$8)=AK40,VLOOKUP(B40,Base!E:BG,AL40,0),0)</f>
        <v/>
      </c>
      <c r="AN40" s="330" t="n"/>
      <c r="AO40" s="331" t="n"/>
      <c r="AP40" s="331">
        <f>IF(AM40&lt;=AA40,"REVISAR!","ok")</f>
        <v/>
      </c>
      <c r="AQ40" s="331" t="n"/>
    </row>
    <row customHeight="1" ht="12.95" r="41" s="183" spans="1:43">
      <c r="B41" s="108" t="s">
        <v>107</v>
      </c>
      <c r="C41" s="89" t="s">
        <v>260</v>
      </c>
      <c r="D41" s="106">
        <f>VLOOKUP(B41,Base!E:G,3,0)</f>
        <v/>
      </c>
      <c r="E41" s="326">
        <f>IFERROR(IF(VLOOKUP(B41,Detalle!$A:$AA,$E$1,0)=0,"Sin datos",IFERROR(VLOOKUP(B41,Detalle!$A:$AA,$E$1,0),"Sin datos")),"")</f>
        <v/>
      </c>
      <c r="F41" s="91">
        <f>IFERROR(IF(VLOOKUP(B41,Detalle!$A:$AA,$F$1,0)=0,"Sin datos",IFERROR(VLOOKUP(B41,Detalle!$A:$AA,$F$1,0),"Sin datos")),"")</f>
        <v/>
      </c>
      <c r="G41" s="327">
        <f>IFERROR(IF(VLOOKUP(B41,Detalle!$A:$AA,$G$1,0)=0,"Sin datos",IFERROR(VLOOKUP(B41,Detalle!$A:$AA,$G$1,0),"Sin datos")),"")</f>
        <v/>
      </c>
      <c r="H41" s="93">
        <f>IFERROR(IF(VLOOKUP(B41,Detalle!$A:$AA,$H$1,0)=0,"Sin datos",IFERROR(VLOOKUP(B41,Detalle!$A:$AA,$H$1,0),"Sin datos")),"")</f>
        <v/>
      </c>
      <c r="I41" s="327">
        <f>IFERROR(IF(VLOOKUP(B41,Detalle!$A:$AA,$I$1,0)=0,"Sin datos",IFERROR(VLOOKUP(B41,Detalle!$A:$AA,$I$1,0),"Sin datos")),"")</f>
        <v/>
      </c>
      <c r="J41" s="93">
        <f>IFERROR(IF(VLOOKUP(B41,Detalle!$A:$AA,$J$1,0)=0,"Sin datos",IFERROR(VLOOKUP(B41,Detalle!$A:$AA,$J$1,0),"Sin datos")),"")</f>
        <v/>
      </c>
      <c r="K41" s="98" t="s">
        <v>293</v>
      </c>
      <c r="L41" s="328">
        <f>MIN(E41,G41,I41)</f>
        <v/>
      </c>
      <c r="M41" s="329">
        <f>IFERROR(IF(MIN(H41,J41)=F41,IF(G41=I41,"Escenario 5","Escenario 4"),IF(MIN(H41,J41)&lt;F41,IF(AND(F41-2&lt;=MIN(H41,J41),G41&lt;&gt;I41),"Escenario 1",IF(AND(F41-2&lt;=MIN(H41,J41),G41=I41),"Escenario 2","Escenario 3")),IF(MIN(H41,J41)&gt;F41,IF(AND(F41+2&gt;=MIN(H41,J41),G41=I41),"Escenario 7",IF(AND(F41+2&gt;=MIN(H41,J41),G41&lt;&gt;I41),"Escenario 6",IF(F41+5&lt;=MIN(H41,J41),"Escenario 9","Escenario 8"))),"error"))),"Falta info")</f>
        <v/>
      </c>
      <c r="N41" s="98">
        <f>IFERROR(VLOOKUP(M41,Base!$BJ$28:$BL$36,3,0),0)</f>
        <v/>
      </c>
      <c r="O41" s="330">
        <f>IF(LOOKUP(M41,Base!$X$8:$BG$8)=M41,VLOOKUP(B41,Base!E:BG,N41,0),0)</f>
        <v/>
      </c>
      <c r="P41" s="330" t="n"/>
      <c r="Q41" s="327">
        <f>IFERROR(IF(VLOOKUP(B41,Detalle!$A:$AA,$Q$1,0)=0,"Sin datos",IFERROR(VLOOKUP(B41,Detalle!$A:$AA,$Q$1,0),"Sin datos")),"")</f>
        <v/>
      </c>
      <c r="R41" s="93">
        <f>IFERROR(IF(VLOOKUP(B41,Detalle!$A:$AA,$R$1,0)=0,"Sin datos",IFERROR(VLOOKUP(B41,Detalle!$A:$AA,$R$1,0),"Sin datos")),"")</f>
        <v/>
      </c>
      <c r="S41" s="327">
        <f>IFERROR(IF(VLOOKUP(B41,Detalle!$A:$AA,$S$1,0)=0,"Sin datos",IFERROR(VLOOKUP(B41,Detalle!$A:$AA,$S$1,0),"Sin datos")),"")</f>
        <v/>
      </c>
      <c r="T41" s="93">
        <f>IFERROR(IF(VLOOKUP(B41,Detalle!$A:$AA,$T$1,0)=0,"Sin datos",IFERROR(VLOOKUP(B41,Detalle!$A:$AA,$T$1,0),"Sin datos")),"")</f>
        <v/>
      </c>
      <c r="U41" s="327">
        <f>IFERROR(IF(VLOOKUP(B41,Detalle!$A:$AA,$U$1,0)=0,"Sin datos",IFERROR(VLOOKUP(B41,Detalle!$A:$AA,$U$1,0),"Sin datos")),"")</f>
        <v/>
      </c>
      <c r="V41" s="93">
        <f>IFERROR(IF(VLOOKUP(B41,Detalle!$A:$AA,$V$1,0)=0,"Sin datos",IFERROR(VLOOKUP(B41,Detalle!$A:$AA,$V$1,0),"Sin datos")),"")</f>
        <v/>
      </c>
      <c r="W41" s="98">
        <f>IF(P41="",IF(MIN(Q41,S41,U41)&gt;E41,"Si","No"),IF(MIN(Q41,S41,U41)&gt;P41,"Si","No"))</f>
        <v/>
      </c>
      <c r="X41" s="328">
        <f>MIN(Q41,S41,U41)</f>
        <v/>
      </c>
      <c r="Y41" s="328">
        <f>IFERROR(IF(MIN(T41,V41)=R41,IF(S41=U41,"Escenario 5","Escenario 4"),IF(MIN(T41,V41)&lt;R41,IF(AND(R41-2&lt;=MIN(T41,V41),S41&lt;&gt;U41),"Escenario 1",IF(AND(R41-2&lt;=MIN(T41,V41),S41=U41),"Escenario 2","Escenario 3")),IF(MIN(T41,V41)&gt;R41,IF(AND(R41+2&gt;=MIN(T41,V41),S41=U41),"Escenario 7",IF(AND(R41+2&gt;=MIN(T41,V41),S41&lt;&gt;U41),"Escenario 6",IF(R41+5&lt;=MIN(T41,V41),"Escenario 9","Escenario 8"))),"error"))),"Falta info")</f>
        <v/>
      </c>
      <c r="Z41" s="98">
        <f>IFERROR(VLOOKUP(Y41,Base!$BJ$19:$BL$27,3,0),0)</f>
        <v/>
      </c>
      <c r="AA41" s="330">
        <f>IF(LOOKUP(Y41,Base!$X$8:$BG$8)=Y41,VLOOKUP(B41,Base!E:BG,Z41,0),0)</f>
        <v/>
      </c>
      <c r="AB41" s="330" t="n"/>
      <c r="AC41" s="327">
        <f>IFERROR(IF(VLOOKUP(B41,Detalle!$A:$AA,$AC$1,0)=0,"Sin datos",IFERROR(VLOOKUP(B41,Detalle!$A:$AA,$AC$1,0),"Sin datos")),"")</f>
        <v/>
      </c>
      <c r="AD41" s="93">
        <f>IFERROR(IF(VLOOKUP(B41,Detalle!$A:$AA,$AD$1,0)=0,"Sin datos",IFERROR(VLOOKUP(B41,Detalle!$A:$AA,$AD$1,0),"Sin datos")),"")</f>
        <v/>
      </c>
      <c r="AE41" s="327">
        <f>IFERROR(IF(VLOOKUP(B41,Detalle!$A:$AA,$AE$1,0)=0,"Sin datos",IFERROR(VLOOKUP(B41,Detalle!$A:$AA,$AE$1,0),"Sin datos")),"")</f>
        <v/>
      </c>
      <c r="AF41" s="93">
        <f>IFERROR(IF(VLOOKUP(B41,Detalle!$A:$AA,$AF$1,0)=0,"Sin datos",IFERROR(VLOOKUP(B41,Detalle!$A:$AA,$AF$1,0),"Sin datos")),"")</f>
        <v/>
      </c>
      <c r="AG41" s="327">
        <f>IFERROR(IF(VLOOKUP(B41,Detalle!$A:$AA,$AG$1,0)=0,"Sin datos",IFERROR(VLOOKUP(B41,Detalle!$A:$AA,$AG$1,0),"Sin datos")),"")</f>
        <v/>
      </c>
      <c r="AH41" s="93">
        <f>IFERROR(IF(VLOOKUP(B41,Detalle!$A:$AA,$AH$1,0)=0,"Sin datos",IFERROR(VLOOKUP(B41,Detalle!$A:$AA,$AH$1,0),"Sin datos")),"")</f>
        <v/>
      </c>
      <c r="AI41" s="98">
        <f>IF(AB41="",IF(MIN(AC41,AE41,AG41)&gt;E41,"Si","No"),IF(MIN(AC41,AG41,AG41)&gt;AB41,"Si","No"))</f>
        <v/>
      </c>
      <c r="AJ41" s="328">
        <f>MIN(AC41,AE41,AG41)</f>
        <v/>
      </c>
      <c r="AK41" s="328">
        <f>IFERROR(IF(MIN(AF41,AH41)=AD41,IF(AE41=AG41,"Escenario 5","Escenario 4"),IF(MIN(AF41,AH41)&lt;AD41,IF(AND(AD41-2&lt;=MIN(AF41,AH41),AE41&lt;&gt;AG41),"Escenario 1",IF(AND(AD41-2&lt;=MIN(AF41,AH41),AE41=AG41),"Escenario 2","Escenario 3")),IF(MIN(AF41,AH41)&gt;AD41,IF(AND(AD41+2&gt;=MIN(AF41,AH41),AE41=AG41),"Escenario 7",IF(AND(AD41+2&gt;=MIN(AF41,AH41),AE41&lt;&gt;AG41),"Escenario 6",IF(AD41+5&lt;=MIN(AF41,AH41),"Escenario 9","Escenario 8"))),"error"))),"Falta info")</f>
        <v/>
      </c>
      <c r="AL41" s="98">
        <f>IFERROR(VLOOKUP(AK41,Base!$BJ$37:$BL$45,3,0),0)</f>
        <v/>
      </c>
      <c r="AM41" s="330">
        <f>IF(LOOKUP(AK41,Base!$X$8:$BG$8)=AK41,VLOOKUP(B41,Base!E:BG,AL41,0),0)</f>
        <v/>
      </c>
      <c r="AN41" s="330" t="n"/>
      <c r="AO41" s="331" t="n"/>
      <c r="AP41" s="331">
        <f>IF(AM41&lt;=AA41,"REVISAR!","ok")</f>
        <v/>
      </c>
      <c r="AQ41" s="331" t="n"/>
    </row>
    <row customHeight="1" ht="12.95" r="42" s="183" spans="1:43">
      <c r="B42" s="108" t="s">
        <v>142</v>
      </c>
      <c r="C42" s="89" t="s">
        <v>260</v>
      </c>
      <c r="D42" s="106">
        <f>VLOOKUP(B42,Base!E:G,3,0)</f>
        <v/>
      </c>
      <c r="E42" s="326">
        <f>IFERROR(IF(VLOOKUP(B42,Detalle!$A:$AA,$E$1,0)=0,"Sin datos",IFERROR(VLOOKUP(B42,Detalle!$A:$AA,$E$1,0),"Sin datos")),"")</f>
        <v/>
      </c>
      <c r="F42" s="91">
        <f>IFERROR(IF(VLOOKUP(B42,Detalle!$A:$AA,$F$1,0)=0,"Sin datos",IFERROR(VLOOKUP(B42,Detalle!$A:$AA,$F$1,0),"Sin datos")),"")</f>
        <v/>
      </c>
      <c r="G42" s="327">
        <f>IFERROR(IF(VLOOKUP(B42,Detalle!$A:$AA,$G$1,0)=0,"Sin datos",IFERROR(VLOOKUP(B42,Detalle!$A:$AA,$G$1,0),"Sin datos")),"")</f>
        <v/>
      </c>
      <c r="H42" s="93">
        <f>IFERROR(IF(VLOOKUP(B42,Detalle!$A:$AA,$H$1,0)=0,"Sin datos",IFERROR(VLOOKUP(B42,Detalle!$A:$AA,$H$1,0),"Sin datos")),"")</f>
        <v/>
      </c>
      <c r="I42" s="327">
        <f>IFERROR(IF(VLOOKUP(B42,Detalle!$A:$AA,$I$1,0)=0,"Sin datos",IFERROR(VLOOKUP(B42,Detalle!$A:$AA,$I$1,0),"Sin datos")),"")</f>
        <v/>
      </c>
      <c r="J42" s="93">
        <f>IFERROR(IF(VLOOKUP(B42,Detalle!$A:$AA,$J$1,0)=0,"Sin datos",IFERROR(VLOOKUP(B42,Detalle!$A:$AA,$J$1,0),"Sin datos")),"")</f>
        <v/>
      </c>
      <c r="K42" s="98" t="s">
        <v>293</v>
      </c>
      <c r="L42" s="328">
        <f>MIN(E42,G42,I42)</f>
        <v/>
      </c>
      <c r="M42" s="329">
        <f>IFERROR(IF(MIN(H42,J42)=F42,IF(G42=I42,"Escenario 5","Escenario 4"),IF(MIN(H42,J42)&lt;F42,IF(AND(F42-2&lt;=MIN(H42,J42),G42&lt;&gt;I42),"Escenario 1",IF(AND(F42-2&lt;=MIN(H42,J42),G42=I42),"Escenario 2","Escenario 3")),IF(MIN(H42,J42)&gt;F42,IF(AND(F42+2&gt;=MIN(H42,J42),G42=I42),"Escenario 7",IF(AND(F42+2&gt;=MIN(H42,J42),G42&lt;&gt;I42),"Escenario 6",IF(F42+5&lt;=MIN(H42,J42),"Escenario 9","Escenario 8"))),"error"))),"Falta info")</f>
        <v/>
      </c>
      <c r="N42" s="98">
        <f>IFERROR(VLOOKUP(M42,Base!$BJ$28:$BL$36,3,0),0)</f>
        <v/>
      </c>
      <c r="O42" s="330">
        <f>IF(LOOKUP(M42,Base!$X$8:$BG$8)=M42,VLOOKUP(B42,Base!E:BG,N42,0),0)</f>
        <v/>
      </c>
      <c r="P42" s="330" t="n"/>
      <c r="Q42" s="327">
        <f>IFERROR(IF(VLOOKUP(B42,Detalle!$A:$AA,$Q$1,0)=0,"Sin datos",IFERROR(VLOOKUP(B42,Detalle!$A:$AA,$Q$1,0),"Sin datos")),"")</f>
        <v/>
      </c>
      <c r="R42" s="93">
        <f>IFERROR(IF(VLOOKUP(B42,Detalle!$A:$AA,$R$1,0)=0,"Sin datos",IFERROR(VLOOKUP(B42,Detalle!$A:$AA,$R$1,0),"Sin datos")),"")</f>
        <v/>
      </c>
      <c r="S42" s="327">
        <f>IFERROR(IF(VLOOKUP(B42,Detalle!$A:$AA,$S$1,0)=0,"Sin datos",IFERROR(VLOOKUP(B42,Detalle!$A:$AA,$S$1,0),"Sin datos")),"")</f>
        <v/>
      </c>
      <c r="T42" s="93">
        <f>IFERROR(IF(VLOOKUP(B42,Detalle!$A:$AA,$T$1,0)=0,"Sin datos",IFERROR(VLOOKUP(B42,Detalle!$A:$AA,$T$1,0),"Sin datos")),"")</f>
        <v/>
      </c>
      <c r="U42" s="327">
        <f>IFERROR(IF(VLOOKUP(B42,Detalle!$A:$AA,$U$1,0)=0,"Sin datos",IFERROR(VLOOKUP(B42,Detalle!$A:$AA,$U$1,0),"Sin datos")),"")</f>
        <v/>
      </c>
      <c r="V42" s="93">
        <f>IFERROR(IF(VLOOKUP(B42,Detalle!$A:$AA,$V$1,0)=0,"Sin datos",IFERROR(VLOOKUP(B42,Detalle!$A:$AA,$V$1,0),"Sin datos")),"")</f>
        <v/>
      </c>
      <c r="W42" s="98">
        <f>IF(P42="",IF(MIN(Q42,S42,U42)&gt;E42,"Si","No"),IF(MIN(Q42,S42,U42)&gt;P42,"Si","No"))</f>
        <v/>
      </c>
      <c r="X42" s="328">
        <f>MIN(Q42,S42,U42)</f>
        <v/>
      </c>
      <c r="Y42" s="328">
        <f>IFERROR(IF(MIN(T42,V42)=R42,IF(S42=U42,"Escenario 5","Escenario 4"),IF(MIN(T42,V42)&lt;R42,IF(AND(R42-2&lt;=MIN(T42,V42),S42&lt;&gt;U42),"Escenario 1",IF(AND(R42-2&lt;=MIN(T42,V42),S42=U42),"Escenario 2","Escenario 3")),IF(MIN(T42,V42)&gt;R42,IF(AND(R42+2&gt;=MIN(T42,V42),S42=U42),"Escenario 7",IF(AND(R42+2&gt;=MIN(T42,V42),S42&lt;&gt;U42),"Escenario 6",IF(R42+5&lt;=MIN(T42,V42),"Escenario 9","Escenario 8"))),"error"))),"Falta info")</f>
        <v/>
      </c>
      <c r="Z42" s="98">
        <f>IFERROR(VLOOKUP(Y42,Base!$BJ$19:$BL$27,3,0),0)</f>
        <v/>
      </c>
      <c r="AA42" s="330">
        <f>IF(LOOKUP(Y42,Base!$X$8:$BG$8)=Y42,VLOOKUP(B42,Base!E:BG,Z42,0),0)</f>
        <v/>
      </c>
      <c r="AB42" s="330" t="n"/>
      <c r="AC42" s="327">
        <f>IFERROR(IF(VLOOKUP(B42,Detalle!$A:$AA,$AC$1,0)=0,"Sin datos",IFERROR(VLOOKUP(B42,Detalle!$A:$AA,$AC$1,0),"Sin datos")),"")</f>
        <v/>
      </c>
      <c r="AD42" s="93">
        <f>IFERROR(IF(VLOOKUP(B42,Detalle!$A:$AA,$AD$1,0)=0,"Sin datos",IFERROR(VLOOKUP(B42,Detalle!$A:$AA,$AD$1,0),"Sin datos")),"")</f>
        <v/>
      </c>
      <c r="AE42" s="327">
        <f>IFERROR(IF(VLOOKUP(B42,Detalle!$A:$AA,$AE$1,0)=0,"Sin datos",IFERROR(VLOOKUP(B42,Detalle!$A:$AA,$AE$1,0),"Sin datos")),"")</f>
        <v/>
      </c>
      <c r="AF42" s="93">
        <f>IFERROR(IF(VLOOKUP(B42,Detalle!$A:$AA,$AF$1,0)=0,"Sin datos",IFERROR(VLOOKUP(B42,Detalle!$A:$AA,$AF$1,0),"Sin datos")),"")</f>
        <v/>
      </c>
      <c r="AG42" s="327">
        <f>IFERROR(IF(VLOOKUP(B42,Detalle!$A:$AA,$AG$1,0)=0,"Sin datos",IFERROR(VLOOKUP(B42,Detalle!$A:$AA,$AG$1,0),"Sin datos")),"")</f>
        <v/>
      </c>
      <c r="AH42" s="93">
        <f>IFERROR(IF(VLOOKUP(B42,Detalle!$A:$AA,$AH$1,0)=0,"Sin datos",IFERROR(VLOOKUP(B42,Detalle!$A:$AA,$AH$1,0),"Sin datos")),"")</f>
        <v/>
      </c>
      <c r="AI42" s="98">
        <f>IF(AB42="",IF(MIN(AC42,AE42,AG42)&gt;E42,"Si","No"),IF(MIN(AC42,AG42,AG42)&gt;AB42,"Si","No"))</f>
        <v/>
      </c>
      <c r="AJ42" s="328">
        <f>MIN(AC42,AE42,AG42)</f>
        <v/>
      </c>
      <c r="AK42" s="328">
        <f>IFERROR(IF(MIN(AF42,AH42)=AD42,IF(AE42=AG42,"Escenario 5","Escenario 4"),IF(MIN(AF42,AH42)&lt;AD42,IF(AND(AD42-2&lt;=MIN(AF42,AH42),AE42&lt;&gt;AG42),"Escenario 1",IF(AND(AD42-2&lt;=MIN(AF42,AH42),AE42=AG42),"Escenario 2","Escenario 3")),IF(MIN(AF42,AH42)&gt;AD42,IF(AND(AD42+2&gt;=MIN(AF42,AH42),AE42=AG42),"Escenario 7",IF(AND(AD42+2&gt;=MIN(AF42,AH42),AE42&lt;&gt;AG42),"Escenario 6",IF(AD42+5&lt;=MIN(AF42,AH42),"Escenario 9","Escenario 8"))),"error"))),"Falta info")</f>
        <v/>
      </c>
      <c r="AL42" s="98">
        <f>IFERROR(VLOOKUP(AK42,Base!$BJ$37:$BL$45,3,0),0)</f>
        <v/>
      </c>
      <c r="AM42" s="330">
        <f>IF(LOOKUP(AK42,Base!$X$8:$BG$8)=AK42,VLOOKUP(B42,Base!E:BG,AL42,0),0)</f>
        <v/>
      </c>
      <c r="AN42" s="330" t="n"/>
      <c r="AO42" s="331" t="n"/>
      <c r="AP42" s="331">
        <f>IF(AM42&lt;=AA42,"REVISAR!","ok")</f>
        <v/>
      </c>
      <c r="AQ42" s="331" t="n"/>
    </row>
    <row customHeight="1" ht="12.95" r="43" s="183" spans="1:43">
      <c r="B43" s="108" t="s">
        <v>131</v>
      </c>
      <c r="C43" s="89" t="s">
        <v>260</v>
      </c>
      <c r="D43" s="106">
        <f>VLOOKUP(B43,Base!E:G,3,0)</f>
        <v/>
      </c>
      <c r="E43" s="326">
        <f>IFERROR(IF(VLOOKUP(B43,Detalle!$A:$AA,$E$1,0)=0,"Sin datos",IFERROR(VLOOKUP(B43,Detalle!$A:$AA,$E$1,0),"Sin datos")),"")</f>
        <v/>
      </c>
      <c r="F43" s="91">
        <f>IFERROR(IF(VLOOKUP(B43,Detalle!$A:$AA,$F$1,0)=0,"Sin datos",IFERROR(VLOOKUP(B43,Detalle!$A:$AA,$F$1,0),"Sin datos")),"")</f>
        <v/>
      </c>
      <c r="G43" s="327">
        <f>IFERROR(IF(VLOOKUP(B43,Detalle!$A:$AA,$G$1,0)=0,"Sin datos",IFERROR(VLOOKUP(B43,Detalle!$A:$AA,$G$1,0),"Sin datos")),"")</f>
        <v/>
      </c>
      <c r="H43" s="93">
        <f>IFERROR(IF(VLOOKUP(B43,Detalle!$A:$AA,$H$1,0)=0,"Sin datos",IFERROR(VLOOKUP(B43,Detalle!$A:$AA,$H$1,0),"Sin datos")),"")</f>
        <v/>
      </c>
      <c r="I43" s="327">
        <f>IFERROR(IF(VLOOKUP(B43,Detalle!$A:$AA,$I$1,0)=0,"Sin datos",IFERROR(VLOOKUP(B43,Detalle!$A:$AA,$I$1,0),"Sin datos")),"")</f>
        <v/>
      </c>
      <c r="J43" s="93">
        <f>IFERROR(IF(VLOOKUP(B43,Detalle!$A:$AA,$J$1,0)=0,"Sin datos",IFERROR(VLOOKUP(B43,Detalle!$A:$AA,$J$1,0),"Sin datos")),"")</f>
        <v/>
      </c>
      <c r="K43" s="98" t="s">
        <v>293</v>
      </c>
      <c r="L43" s="328">
        <f>MIN(E43,G43,I43)</f>
        <v/>
      </c>
      <c r="M43" s="329">
        <f>IFERROR(IF(MIN(H43,J43)=F43,IF(G43=I43,"Escenario 5","Escenario 4"),IF(MIN(H43,J43)&lt;F43,IF(AND(F43-2&lt;=MIN(H43,J43),G43&lt;&gt;I43),"Escenario 1",IF(AND(F43-2&lt;=MIN(H43,J43),G43=I43),"Escenario 2","Escenario 3")),IF(MIN(H43,J43)&gt;F43,IF(AND(F43+2&gt;=MIN(H43,J43),G43=I43),"Escenario 7",IF(AND(F43+2&gt;=MIN(H43,J43),G43&lt;&gt;I43),"Escenario 6",IF(F43+5&lt;=MIN(H43,J43),"Escenario 9","Escenario 8"))),"error"))),"Falta info")</f>
        <v/>
      </c>
      <c r="N43" s="98">
        <f>IFERROR(VLOOKUP(M43,Base!$BJ$28:$BL$36,3,0),0)</f>
        <v/>
      </c>
      <c r="O43" s="330">
        <f>IF(LOOKUP(M43,Base!$X$8:$BG$8)=M43,VLOOKUP(B43,Base!E:BG,N43,0),0)</f>
        <v/>
      </c>
      <c r="P43" s="330" t="n"/>
      <c r="Q43" s="327">
        <f>IFERROR(IF(VLOOKUP(B43,Detalle!$A:$AA,$Q$1,0)=0,"Sin datos",IFERROR(VLOOKUP(B43,Detalle!$A:$AA,$Q$1,0),"Sin datos")),"")</f>
        <v/>
      </c>
      <c r="R43" s="93">
        <f>IFERROR(IF(VLOOKUP(B43,Detalle!$A:$AA,$R$1,0)=0,"Sin datos",IFERROR(VLOOKUP(B43,Detalle!$A:$AA,$R$1,0),"Sin datos")),"")</f>
        <v/>
      </c>
      <c r="S43" s="327">
        <f>IFERROR(IF(VLOOKUP(B43,Detalle!$A:$AA,$S$1,0)=0,"Sin datos",IFERROR(VLOOKUP(B43,Detalle!$A:$AA,$S$1,0),"Sin datos")),"")</f>
        <v/>
      </c>
      <c r="T43" s="93">
        <f>IFERROR(IF(VLOOKUP(B43,Detalle!$A:$AA,$T$1,0)=0,"Sin datos",IFERROR(VLOOKUP(B43,Detalle!$A:$AA,$T$1,0),"Sin datos")),"")</f>
        <v/>
      </c>
      <c r="U43" s="327">
        <f>IFERROR(IF(VLOOKUP(B43,Detalle!$A:$AA,$U$1,0)=0,"Sin datos",IFERROR(VLOOKUP(B43,Detalle!$A:$AA,$U$1,0),"Sin datos")),"")</f>
        <v/>
      </c>
      <c r="V43" s="93">
        <f>IFERROR(IF(VLOOKUP(B43,Detalle!$A:$AA,$V$1,0)=0,"Sin datos",IFERROR(VLOOKUP(B43,Detalle!$A:$AA,$V$1,0),"Sin datos")),"")</f>
        <v/>
      </c>
      <c r="W43" s="98">
        <f>IF(P43="",IF(MIN(Q43,S43,U43)&gt;E43,"Si","No"),IF(MIN(Q43,S43,U43)&gt;P43,"Si","No"))</f>
        <v/>
      </c>
      <c r="X43" s="328">
        <f>MIN(Q43,S43,U43)</f>
        <v/>
      </c>
      <c r="Y43" s="328">
        <f>IFERROR(IF(MIN(T43,V43)=R43,IF(S43=U43,"Escenario 5","Escenario 4"),IF(MIN(T43,V43)&lt;R43,IF(AND(R43-2&lt;=MIN(T43,V43),S43&lt;&gt;U43),"Escenario 1",IF(AND(R43-2&lt;=MIN(T43,V43),S43=U43),"Escenario 2","Escenario 3")),IF(MIN(T43,V43)&gt;R43,IF(AND(R43+2&gt;=MIN(T43,V43),S43=U43),"Escenario 7",IF(AND(R43+2&gt;=MIN(T43,V43),S43&lt;&gt;U43),"Escenario 6",IF(R43+5&lt;=MIN(T43,V43),"Escenario 9","Escenario 8"))),"error"))),"Falta info")</f>
        <v/>
      </c>
      <c r="Z43" s="98">
        <f>IFERROR(VLOOKUP(Y43,Base!$BJ$19:$BL$27,3,0),0)</f>
        <v/>
      </c>
      <c r="AA43" s="330">
        <f>IF(LOOKUP(Y43,Base!$X$8:$BG$8)=Y43,VLOOKUP(B43,Base!E:BG,Z43,0),0)</f>
        <v/>
      </c>
      <c r="AB43" s="330" t="n"/>
      <c r="AC43" s="327">
        <f>IFERROR(IF(VLOOKUP(B43,Detalle!$A:$AA,$AC$1,0)=0,"Sin datos",IFERROR(VLOOKUP(B43,Detalle!$A:$AA,$AC$1,0),"Sin datos")),"")</f>
        <v/>
      </c>
      <c r="AD43" s="93">
        <f>IFERROR(IF(VLOOKUP(B43,Detalle!$A:$AA,$AD$1,0)=0,"Sin datos",IFERROR(VLOOKUP(B43,Detalle!$A:$AA,$AD$1,0),"Sin datos")),"")</f>
        <v/>
      </c>
      <c r="AE43" s="327">
        <f>IFERROR(IF(VLOOKUP(B43,Detalle!$A:$AA,$AE$1,0)=0,"Sin datos",IFERROR(VLOOKUP(B43,Detalle!$A:$AA,$AE$1,0),"Sin datos")),"")</f>
        <v/>
      </c>
      <c r="AF43" s="93">
        <f>IFERROR(IF(VLOOKUP(B43,Detalle!$A:$AA,$AF$1,0)=0,"Sin datos",IFERROR(VLOOKUP(B43,Detalle!$A:$AA,$AF$1,0),"Sin datos")),"")</f>
        <v/>
      </c>
      <c r="AG43" s="327">
        <f>IFERROR(IF(VLOOKUP(B43,Detalle!$A:$AA,$AG$1,0)=0,"Sin datos",IFERROR(VLOOKUP(B43,Detalle!$A:$AA,$AG$1,0),"Sin datos")),"")</f>
        <v/>
      </c>
      <c r="AH43" s="93">
        <f>IFERROR(IF(VLOOKUP(B43,Detalle!$A:$AA,$AH$1,0)=0,"Sin datos",IFERROR(VLOOKUP(B43,Detalle!$A:$AA,$AH$1,0),"Sin datos")),"")</f>
        <v/>
      </c>
      <c r="AI43" s="98">
        <f>IF(AB43="",IF(MIN(AC43,AE43,AG43)&gt;E43,"Si","No"),IF(MIN(AC43,AG43,AG43)&gt;AB43,"Si","No"))</f>
        <v/>
      </c>
      <c r="AJ43" s="328">
        <f>MIN(AC43,AE43,AG43)</f>
        <v/>
      </c>
      <c r="AK43" s="328">
        <f>IFERROR(IF(MIN(AF43,AH43)=AD43,IF(AE43=AG43,"Escenario 5","Escenario 4"),IF(MIN(AF43,AH43)&lt;AD43,IF(AND(AD43-2&lt;=MIN(AF43,AH43),AE43&lt;&gt;AG43),"Escenario 1",IF(AND(AD43-2&lt;=MIN(AF43,AH43),AE43=AG43),"Escenario 2","Escenario 3")),IF(MIN(AF43,AH43)&gt;AD43,IF(AND(AD43+2&gt;=MIN(AF43,AH43),AE43=AG43),"Escenario 7",IF(AND(AD43+2&gt;=MIN(AF43,AH43),AE43&lt;&gt;AG43),"Escenario 6",IF(AD43+5&lt;=MIN(AF43,AH43),"Escenario 9","Escenario 8"))),"error"))),"Falta info")</f>
        <v/>
      </c>
      <c r="AL43" s="98">
        <f>IFERROR(VLOOKUP(AK43,Base!$BJ$37:$BL$45,3,0),0)</f>
        <v/>
      </c>
      <c r="AM43" s="330">
        <f>IF(LOOKUP(AK43,Base!$X$8:$BG$8)=AK43,VLOOKUP(B43,Base!E:BG,AL43,0),0)</f>
        <v/>
      </c>
      <c r="AN43" s="330" t="n"/>
      <c r="AO43" s="331" t="n"/>
      <c r="AP43" s="331">
        <f>IF(AM43&lt;=AA43,"REVISAR!","ok")</f>
        <v/>
      </c>
      <c r="AQ43" s="331" t="n"/>
    </row>
    <row customHeight="1" ht="12.95" r="44" s="183" spans="1:43">
      <c r="B44" s="108" t="s">
        <v>144</v>
      </c>
      <c r="C44" s="89" t="s">
        <v>260</v>
      </c>
      <c r="D44" s="106">
        <f>VLOOKUP(B44,Base!E:G,3,0)</f>
        <v/>
      </c>
      <c r="E44" s="326">
        <f>IFERROR(IF(VLOOKUP(B44,Detalle!$A:$AA,$E$1,0)=0,"Sin datos",IFERROR(VLOOKUP(B44,Detalle!$A:$AA,$E$1,0),"Sin datos")),"")</f>
        <v/>
      </c>
      <c r="F44" s="91">
        <f>IFERROR(IF(VLOOKUP(B44,Detalle!$A:$AA,$F$1,0)=0,"Sin datos",IFERROR(VLOOKUP(B44,Detalle!$A:$AA,$F$1,0),"Sin datos")),"")</f>
        <v/>
      </c>
      <c r="G44" s="327">
        <f>IFERROR(IF(VLOOKUP(B44,Detalle!$A:$AA,$G$1,0)=0,"Sin datos",IFERROR(VLOOKUP(B44,Detalle!$A:$AA,$G$1,0),"Sin datos")),"")</f>
        <v/>
      </c>
      <c r="H44" s="93">
        <f>IFERROR(IF(VLOOKUP(B44,Detalle!$A:$AA,$H$1,0)=0,"Sin datos",IFERROR(VLOOKUP(B44,Detalle!$A:$AA,$H$1,0),"Sin datos")),"")</f>
        <v/>
      </c>
      <c r="I44" s="327">
        <f>IFERROR(IF(VLOOKUP(B44,Detalle!$A:$AA,$I$1,0)=0,"Sin datos",IFERROR(VLOOKUP(B44,Detalle!$A:$AA,$I$1,0),"Sin datos")),"")</f>
        <v/>
      </c>
      <c r="J44" s="93">
        <f>IFERROR(IF(VLOOKUP(B44,Detalle!$A:$AA,$J$1,0)=0,"Sin datos",IFERROR(VLOOKUP(B44,Detalle!$A:$AA,$J$1,0),"Sin datos")),"")</f>
        <v/>
      </c>
      <c r="K44" s="98" t="s">
        <v>293</v>
      </c>
      <c r="L44" s="328">
        <f>MIN(E44,G44,I44)</f>
        <v/>
      </c>
      <c r="M44" s="329">
        <f>IFERROR(IF(MIN(H44,J44)=F44,IF(G44=I44,"Escenario 5","Escenario 4"),IF(MIN(H44,J44)&lt;F44,IF(AND(F44-2&lt;=MIN(H44,J44),G44&lt;&gt;I44),"Escenario 1",IF(AND(F44-2&lt;=MIN(H44,J44),G44=I44),"Escenario 2","Escenario 3")),IF(MIN(H44,J44)&gt;F44,IF(AND(F44+2&gt;=MIN(H44,J44),G44=I44),"Escenario 7",IF(AND(F44+2&gt;=MIN(H44,J44),G44&lt;&gt;I44),"Escenario 6",IF(F44+5&lt;=MIN(H44,J44),"Escenario 9","Escenario 8"))),"error"))),"Falta info")</f>
        <v/>
      </c>
      <c r="N44" s="98">
        <f>IFERROR(VLOOKUP(M44,Base!$BJ$28:$BL$36,3,0),0)</f>
        <v/>
      </c>
      <c r="O44" s="330">
        <f>IF(LOOKUP(M44,Base!$X$8:$BG$8)=M44,VLOOKUP(B44,Base!E:BG,N44,0),0)</f>
        <v/>
      </c>
      <c r="P44" s="330" t="n"/>
      <c r="Q44" s="327">
        <f>IFERROR(IF(VLOOKUP(B44,Detalle!$A:$AA,$Q$1,0)=0,"Sin datos",IFERROR(VLOOKUP(B44,Detalle!$A:$AA,$Q$1,0),"Sin datos")),"")</f>
        <v/>
      </c>
      <c r="R44" s="93">
        <f>IFERROR(IF(VLOOKUP(B44,Detalle!$A:$AA,$R$1,0)=0,"Sin datos",IFERROR(VLOOKUP(B44,Detalle!$A:$AA,$R$1,0),"Sin datos")),"")</f>
        <v/>
      </c>
      <c r="S44" s="327">
        <f>IFERROR(IF(VLOOKUP(B44,Detalle!$A:$AA,$S$1,0)=0,"Sin datos",IFERROR(VLOOKUP(B44,Detalle!$A:$AA,$S$1,0),"Sin datos")),"")</f>
        <v/>
      </c>
      <c r="T44" s="93">
        <f>IFERROR(IF(VLOOKUP(B44,Detalle!$A:$AA,$T$1,0)=0,"Sin datos",IFERROR(VLOOKUP(B44,Detalle!$A:$AA,$T$1,0),"Sin datos")),"")</f>
        <v/>
      </c>
      <c r="U44" s="327">
        <f>IFERROR(IF(VLOOKUP(B44,Detalle!$A:$AA,$U$1,0)=0,"Sin datos",IFERROR(VLOOKUP(B44,Detalle!$A:$AA,$U$1,0),"Sin datos")),"")</f>
        <v/>
      </c>
      <c r="V44" s="93">
        <f>IFERROR(IF(VLOOKUP(B44,Detalle!$A:$AA,$V$1,0)=0,"Sin datos",IFERROR(VLOOKUP(B44,Detalle!$A:$AA,$V$1,0),"Sin datos")),"")</f>
        <v/>
      </c>
      <c r="W44" s="98">
        <f>IF(P44="",IF(MIN(Q44,S44,U44)&gt;E44,"Si","No"),IF(MIN(Q44,S44,U44)&gt;P44,"Si","No"))</f>
        <v/>
      </c>
      <c r="X44" s="328">
        <f>MIN(Q44,S44,U44)</f>
        <v/>
      </c>
      <c r="Y44" s="328">
        <f>IFERROR(IF(MIN(T44,V44)=R44,IF(S44=U44,"Escenario 5","Escenario 4"),IF(MIN(T44,V44)&lt;R44,IF(AND(R44-2&lt;=MIN(T44,V44),S44&lt;&gt;U44),"Escenario 1",IF(AND(R44-2&lt;=MIN(T44,V44),S44=U44),"Escenario 2","Escenario 3")),IF(MIN(T44,V44)&gt;R44,IF(AND(R44+2&gt;=MIN(T44,V44),S44=U44),"Escenario 7",IF(AND(R44+2&gt;=MIN(T44,V44),S44&lt;&gt;U44),"Escenario 6",IF(R44+5&lt;=MIN(T44,V44),"Escenario 9","Escenario 8"))),"error"))),"Falta info")</f>
        <v/>
      </c>
      <c r="Z44" s="98">
        <f>IFERROR(VLOOKUP(Y44,Base!$BJ$19:$BL$27,3,0),0)</f>
        <v/>
      </c>
      <c r="AA44" s="330">
        <f>IF(LOOKUP(Y44,Base!$X$8:$BG$8)=Y44,VLOOKUP(B44,Base!E:BG,Z44,0),0)</f>
        <v/>
      </c>
      <c r="AB44" s="330" t="n"/>
      <c r="AC44" s="327">
        <f>IFERROR(IF(VLOOKUP(B44,Detalle!$A:$AA,$AC$1,0)=0,"Sin datos",IFERROR(VLOOKUP(B44,Detalle!$A:$AA,$AC$1,0),"Sin datos")),"")</f>
        <v/>
      </c>
      <c r="AD44" s="93">
        <f>IFERROR(IF(VLOOKUP(B44,Detalle!$A:$AA,$AD$1,0)=0,"Sin datos",IFERROR(VLOOKUP(B44,Detalle!$A:$AA,$AD$1,0),"Sin datos")),"")</f>
        <v/>
      </c>
      <c r="AE44" s="327">
        <f>IFERROR(IF(VLOOKUP(B44,Detalle!$A:$AA,$AE$1,0)=0,"Sin datos",IFERROR(VLOOKUP(B44,Detalle!$A:$AA,$AE$1,0),"Sin datos")),"")</f>
        <v/>
      </c>
      <c r="AF44" s="93">
        <f>IFERROR(IF(VLOOKUP(B44,Detalle!$A:$AA,$AF$1,0)=0,"Sin datos",IFERROR(VLOOKUP(B44,Detalle!$A:$AA,$AF$1,0),"Sin datos")),"")</f>
        <v/>
      </c>
      <c r="AG44" s="327">
        <f>IFERROR(IF(VLOOKUP(B44,Detalle!$A:$AA,$AG$1,0)=0,"Sin datos",IFERROR(VLOOKUP(B44,Detalle!$A:$AA,$AG$1,0),"Sin datos")),"")</f>
        <v/>
      </c>
      <c r="AH44" s="93">
        <f>IFERROR(IF(VLOOKUP(B44,Detalle!$A:$AA,$AH$1,0)=0,"Sin datos",IFERROR(VLOOKUP(B44,Detalle!$A:$AA,$AH$1,0),"Sin datos")),"")</f>
        <v/>
      </c>
      <c r="AI44" s="98">
        <f>IF(AB44="",IF(MIN(AC44,AE44,AG44)&gt;E44,"Si","No"),IF(MIN(AC44,AG44,AG44)&gt;AB44,"Si","No"))</f>
        <v/>
      </c>
      <c r="AJ44" s="328">
        <f>MIN(AC44,AE44,AG44)</f>
        <v/>
      </c>
      <c r="AK44" s="328">
        <f>IFERROR(IF(MIN(AF44,AH44)=AD44,IF(AE44=AG44,"Escenario 5","Escenario 4"),IF(MIN(AF44,AH44)&lt;AD44,IF(AND(AD44-2&lt;=MIN(AF44,AH44),AE44&lt;&gt;AG44),"Escenario 1",IF(AND(AD44-2&lt;=MIN(AF44,AH44),AE44=AG44),"Escenario 2","Escenario 3")),IF(MIN(AF44,AH44)&gt;AD44,IF(AND(AD44+2&gt;=MIN(AF44,AH44),AE44=AG44),"Escenario 7",IF(AND(AD44+2&gt;=MIN(AF44,AH44),AE44&lt;&gt;AG44),"Escenario 6",IF(AD44+5&lt;=MIN(AF44,AH44),"Escenario 9","Escenario 8"))),"error"))),"Falta info")</f>
        <v/>
      </c>
      <c r="AL44" s="98">
        <f>IFERROR(VLOOKUP(AK44,Base!$BJ$37:$BL$45,3,0),0)</f>
        <v/>
      </c>
      <c r="AM44" s="330">
        <f>IF(LOOKUP(AK44,Base!$X$8:$BG$8)=AK44,VLOOKUP(B44,Base!E:BG,AL44,0),0)</f>
        <v/>
      </c>
      <c r="AN44" s="330" t="n"/>
      <c r="AO44" s="331" t="n"/>
      <c r="AP44" s="331">
        <f>IF(AM44&lt;=AA44,"REVISAR!","ok")</f>
        <v/>
      </c>
      <c r="AQ44" s="331" t="n"/>
    </row>
    <row customHeight="1" ht="12.95" r="45" s="183" spans="1:43">
      <c r="B45" s="108" t="s">
        <v>123</v>
      </c>
      <c r="C45" s="89" t="s">
        <v>258</v>
      </c>
      <c r="D45" s="106">
        <f>VLOOKUP(B45,Base!E:G,3,0)</f>
        <v/>
      </c>
      <c r="E45" s="326">
        <f>IFERROR(IF(VLOOKUP(B45,Detalle!$A:$AA,$E$1,0)=0,"Sin datos",IFERROR(VLOOKUP(B45,Detalle!$A:$AA,$E$1,0),"Sin datos")),"")</f>
        <v/>
      </c>
      <c r="F45" s="91">
        <f>IFERROR(IF(VLOOKUP(B45,Detalle!$A:$AA,$F$1,0)=0,"Sin datos",IFERROR(VLOOKUP(B45,Detalle!$A:$AA,$F$1,0),"Sin datos")),"")</f>
        <v/>
      </c>
      <c r="G45" s="327">
        <f>IFERROR(IF(VLOOKUP(B45,Detalle!$A:$AA,$G$1,0)=0,"Sin datos",IFERROR(VLOOKUP(B45,Detalle!$A:$AA,$G$1,0),"Sin datos")),"")</f>
        <v/>
      </c>
      <c r="H45" s="93">
        <f>IFERROR(IF(VLOOKUP(B45,Detalle!$A:$AA,$H$1,0)=0,"Sin datos",IFERROR(VLOOKUP(B45,Detalle!$A:$AA,$H$1,0),"Sin datos")),"")</f>
        <v/>
      </c>
      <c r="I45" s="327">
        <f>IFERROR(IF(VLOOKUP(B45,Detalle!$A:$AA,$I$1,0)=0,"Sin datos",IFERROR(VLOOKUP(B45,Detalle!$A:$AA,$I$1,0),"Sin datos")),"")</f>
        <v/>
      </c>
      <c r="J45" s="93">
        <f>IFERROR(IF(VLOOKUP(B45,Detalle!$A:$AA,$J$1,0)=0,"Sin datos",IFERROR(VLOOKUP(B45,Detalle!$A:$AA,$J$1,0),"Sin datos")),"")</f>
        <v/>
      </c>
      <c r="K45" s="98" t="s">
        <v>293</v>
      </c>
      <c r="L45" s="328">
        <f>MIN(E45,G45,I45)</f>
        <v/>
      </c>
      <c r="M45" s="329">
        <f>IFERROR(IF(MIN(H45,J45)=F45,IF(G45=I45,"Escenario 5","Escenario 4"),IF(MIN(H45,J45)&lt;F45,IF(AND(F45-2&lt;=MIN(H45,J45),G45&lt;&gt;I45),"Escenario 1",IF(AND(F45-2&lt;=MIN(H45,J45),G45=I45),"Escenario 2","Escenario 3")),IF(MIN(H45,J45)&gt;F45,IF(AND(F45+2&gt;=MIN(H45,J45),G45=I45),"Escenario 7",IF(AND(F45+2&gt;=MIN(H45,J45),G45&lt;&gt;I45),"Escenario 6",IF(F45+5&lt;=MIN(H45,J45),"Escenario 9","Escenario 8"))),"error"))),"Falta info")</f>
        <v/>
      </c>
      <c r="N45" s="98">
        <f>IFERROR(VLOOKUP(M45,Base!$BJ$28:$BL$36,3,0),0)</f>
        <v/>
      </c>
      <c r="O45" s="330">
        <f>IF(LOOKUP(M45,Base!$X$8:$BG$8)=M45,VLOOKUP(B45,Base!E:BG,N45,0),0)</f>
        <v/>
      </c>
      <c r="P45" s="330" t="n"/>
      <c r="Q45" s="327">
        <f>IFERROR(IF(VLOOKUP(B45,Detalle!$A:$AA,$Q$1,0)=0,"Sin datos",IFERROR(VLOOKUP(B45,Detalle!$A:$AA,$Q$1,0),"Sin datos")),"")</f>
        <v/>
      </c>
      <c r="R45" s="93">
        <f>IFERROR(IF(VLOOKUP(B45,Detalle!$A:$AA,$R$1,0)=0,"Sin datos",IFERROR(VLOOKUP(B45,Detalle!$A:$AA,$R$1,0),"Sin datos")),"")</f>
        <v/>
      </c>
      <c r="S45" s="327">
        <f>IFERROR(IF(VLOOKUP(B45,Detalle!$A:$AA,$S$1,0)=0,"Sin datos",IFERROR(VLOOKUP(B45,Detalle!$A:$AA,$S$1,0),"Sin datos")),"")</f>
        <v/>
      </c>
      <c r="T45" s="93">
        <f>IFERROR(IF(VLOOKUP(B45,Detalle!$A:$AA,$T$1,0)=0,"Sin datos",IFERROR(VLOOKUP(B45,Detalle!$A:$AA,$T$1,0),"Sin datos")),"")</f>
        <v/>
      </c>
      <c r="U45" s="327">
        <f>IFERROR(IF(VLOOKUP(B45,Detalle!$A:$AA,$U$1,0)=0,"Sin datos",IFERROR(VLOOKUP(B45,Detalle!$A:$AA,$U$1,0),"Sin datos")),"")</f>
        <v/>
      </c>
      <c r="V45" s="93">
        <f>IFERROR(IF(VLOOKUP(B45,Detalle!$A:$AA,$V$1,0)=0,"Sin datos",IFERROR(VLOOKUP(B45,Detalle!$A:$AA,$V$1,0),"Sin datos")),"")</f>
        <v/>
      </c>
      <c r="W45" s="98">
        <f>IF(P45="",IF(MIN(Q45,S45,U45)&gt;E45,"Si","No"),IF(MIN(Q45,S45,U45)&gt;P45,"Si","No"))</f>
        <v/>
      </c>
      <c r="X45" s="328">
        <f>MIN(Q45,S45,U45)</f>
        <v/>
      </c>
      <c r="Y45" s="328">
        <f>IFERROR(IF(MIN(T45,V45)=R45,IF(S45=U45,"Escenario 5","Escenario 4"),IF(MIN(T45,V45)&lt;R45,IF(AND(R45-2&lt;=MIN(T45,V45),S45&lt;&gt;U45),"Escenario 1",IF(AND(R45-2&lt;=MIN(T45,V45),S45=U45),"Escenario 2","Escenario 3")),IF(MIN(T45,V45)&gt;R45,IF(AND(R45+2&gt;=MIN(T45,V45),S45=U45),"Escenario 7",IF(AND(R45+2&gt;=MIN(T45,V45),S45&lt;&gt;U45),"Escenario 6",IF(R45+5&lt;=MIN(T45,V45),"Escenario 9","Escenario 8"))),"error"))),"Falta info")</f>
        <v/>
      </c>
      <c r="Z45" s="98">
        <f>IFERROR(VLOOKUP(Y45,Base!$BJ$19:$BL$27,3,0),0)</f>
        <v/>
      </c>
      <c r="AA45" s="330">
        <f>IF(LOOKUP(Y45,Base!$X$8:$BG$8)=Y45,VLOOKUP(B45,Base!E:BG,Z45,0),0)</f>
        <v/>
      </c>
      <c r="AB45" s="330" t="n"/>
      <c r="AC45" s="327">
        <f>IFERROR(IF(VLOOKUP(B45,Detalle!$A:$AA,$AC$1,0)=0,"Sin datos",IFERROR(VLOOKUP(B45,Detalle!$A:$AA,$AC$1,0),"Sin datos")),"")</f>
        <v/>
      </c>
      <c r="AD45" s="93">
        <f>IFERROR(IF(VLOOKUP(B45,Detalle!$A:$AA,$AD$1,0)=0,"Sin datos",IFERROR(VLOOKUP(B45,Detalle!$A:$AA,$AD$1,0),"Sin datos")),"")</f>
        <v/>
      </c>
      <c r="AE45" s="327">
        <f>IFERROR(IF(VLOOKUP(B45,Detalle!$A:$AA,$AE$1,0)=0,"Sin datos",IFERROR(VLOOKUP(B45,Detalle!$A:$AA,$AE$1,0),"Sin datos")),"")</f>
        <v/>
      </c>
      <c r="AF45" s="93">
        <f>IFERROR(IF(VLOOKUP(B45,Detalle!$A:$AA,$AF$1,0)=0,"Sin datos",IFERROR(VLOOKUP(B45,Detalle!$A:$AA,$AF$1,0),"Sin datos")),"")</f>
        <v/>
      </c>
      <c r="AG45" s="327">
        <f>IFERROR(IF(VLOOKUP(B45,Detalle!$A:$AA,$AG$1,0)=0,"Sin datos",IFERROR(VLOOKUP(B45,Detalle!$A:$AA,$AG$1,0),"Sin datos")),"")</f>
        <v/>
      </c>
      <c r="AH45" s="93">
        <f>IFERROR(IF(VLOOKUP(B45,Detalle!$A:$AA,$AH$1,0)=0,"Sin datos",IFERROR(VLOOKUP(B45,Detalle!$A:$AA,$AH$1,0),"Sin datos")),"")</f>
        <v/>
      </c>
      <c r="AI45" s="98">
        <f>IF(AB45="",IF(MIN(AC45,AE45,AG45)&gt;E45,"Si","No"),IF(MIN(AC45,AG45,AG45)&gt;AB45,"Si","No"))</f>
        <v/>
      </c>
      <c r="AJ45" s="328">
        <f>MIN(AC45,AE45,AG45)</f>
        <v/>
      </c>
      <c r="AK45" s="328">
        <f>IFERROR(IF(MIN(AF45,AH45)=AD45,IF(AE45=AG45,"Escenario 5","Escenario 4"),IF(MIN(AF45,AH45)&lt;AD45,IF(AND(AD45-2&lt;=MIN(AF45,AH45),AE45&lt;&gt;AG45),"Escenario 1",IF(AND(AD45-2&lt;=MIN(AF45,AH45),AE45=AG45),"Escenario 2","Escenario 3")),IF(MIN(AF45,AH45)&gt;AD45,IF(AND(AD45+2&gt;=MIN(AF45,AH45),AE45=AG45),"Escenario 7",IF(AND(AD45+2&gt;=MIN(AF45,AH45),AE45&lt;&gt;AG45),"Escenario 6",IF(AD45+5&lt;=MIN(AF45,AH45),"Escenario 9","Escenario 8"))),"error"))),"Falta info")</f>
        <v/>
      </c>
      <c r="AL45" s="98">
        <f>IFERROR(VLOOKUP(AK45,Base!$BJ$37:$BL$45,3,0),0)</f>
        <v/>
      </c>
      <c r="AM45" s="330">
        <f>IF(LOOKUP(AK45,Base!$X$8:$BG$8)=AK45,VLOOKUP(B45,Base!E:BG,AL45,0),0)</f>
        <v/>
      </c>
      <c r="AN45" s="330" t="n"/>
      <c r="AO45" s="331" t="n"/>
      <c r="AP45" s="331">
        <f>IF(AM45&lt;=AA45,"REVISAR!","ok")</f>
        <v/>
      </c>
      <c r="AQ45" s="331" t="n"/>
    </row>
    <row customHeight="1" ht="12.95" r="46" s="183" spans="1:43">
      <c r="B46" s="108" t="s">
        <v>129</v>
      </c>
      <c r="C46" s="89" t="s">
        <v>258</v>
      </c>
      <c r="D46" s="106">
        <f>VLOOKUP(B46,Base!E:G,3,0)</f>
        <v/>
      </c>
      <c r="E46" s="326">
        <f>IFERROR(IF(VLOOKUP(B46,Detalle!$A:$AA,$E$1,0)=0,"Sin datos",IFERROR(VLOOKUP(B46,Detalle!$A:$AA,$E$1,0),"Sin datos")),"")</f>
        <v/>
      </c>
      <c r="F46" s="91">
        <f>IFERROR(IF(VLOOKUP(B46,Detalle!$A:$AA,$F$1,0)=0,"Sin datos",IFERROR(VLOOKUP(B46,Detalle!$A:$AA,$F$1,0),"Sin datos")),"")</f>
        <v/>
      </c>
      <c r="G46" s="327">
        <f>IFERROR(IF(VLOOKUP(B46,Detalle!$A:$AA,$G$1,0)=0,"Sin datos",IFERROR(VLOOKUP(B46,Detalle!$A:$AA,$G$1,0),"Sin datos")),"")</f>
        <v/>
      </c>
      <c r="H46" s="93">
        <f>IFERROR(IF(VLOOKUP(B46,Detalle!$A:$AA,$H$1,0)=0,"Sin datos",IFERROR(VLOOKUP(B46,Detalle!$A:$AA,$H$1,0),"Sin datos")),"")</f>
        <v/>
      </c>
      <c r="I46" s="327">
        <f>IFERROR(IF(VLOOKUP(B46,Detalle!$A:$AA,$I$1,0)=0,"Sin datos",IFERROR(VLOOKUP(B46,Detalle!$A:$AA,$I$1,0),"Sin datos")),"")</f>
        <v/>
      </c>
      <c r="J46" s="93">
        <f>IFERROR(IF(VLOOKUP(B46,Detalle!$A:$AA,$J$1,0)=0,"Sin datos",IFERROR(VLOOKUP(B46,Detalle!$A:$AA,$J$1,0),"Sin datos")),"")</f>
        <v/>
      </c>
      <c r="K46" s="98" t="s">
        <v>293</v>
      </c>
      <c r="L46" s="328">
        <f>MIN(E46,G46,I46)</f>
        <v/>
      </c>
      <c r="M46" s="329">
        <f>IFERROR(IF(MIN(H46,J46)=F46,IF(G46=I46,"Escenario 5","Escenario 4"),IF(MIN(H46,J46)&lt;F46,IF(AND(F46-2&lt;=MIN(H46,J46),G46&lt;&gt;I46),"Escenario 1",IF(AND(F46-2&lt;=MIN(H46,J46),G46=I46),"Escenario 2","Escenario 3")),IF(MIN(H46,J46)&gt;F46,IF(AND(F46+2&gt;=MIN(H46,J46),G46=I46),"Escenario 7",IF(AND(F46+2&gt;=MIN(H46,J46),G46&lt;&gt;I46),"Escenario 6",IF(F46+5&lt;=MIN(H46,J46),"Escenario 9","Escenario 8"))),"error"))),"Falta info")</f>
        <v/>
      </c>
      <c r="N46" s="98">
        <f>IFERROR(VLOOKUP(M46,Base!$BJ$28:$BL$36,3,0),0)</f>
        <v/>
      </c>
      <c r="O46" s="330">
        <f>IF(LOOKUP(M46,Base!$X$8:$BG$8)=M46,VLOOKUP(B46,Base!E:BG,N46,0),0)</f>
        <v/>
      </c>
      <c r="P46" s="330" t="n">
        <v>3990</v>
      </c>
      <c r="Q46" s="327">
        <f>IFERROR(IF(VLOOKUP(B46,Detalle!$A:$AA,$Q$1,0)=0,"Sin datos",IFERROR(VLOOKUP(B46,Detalle!$A:$AA,$Q$1,0),"Sin datos")),"")</f>
        <v/>
      </c>
      <c r="R46" s="93">
        <f>IFERROR(IF(VLOOKUP(B46,Detalle!$A:$AA,$R$1,0)=0,"Sin datos",IFERROR(VLOOKUP(B46,Detalle!$A:$AA,$R$1,0),"Sin datos")),"")</f>
        <v/>
      </c>
      <c r="S46" s="327">
        <f>IFERROR(IF(VLOOKUP(B46,Detalle!$A:$AA,$S$1,0)=0,"Sin datos",IFERROR(VLOOKUP(B46,Detalle!$A:$AA,$S$1,0),"Sin datos")),"")</f>
        <v/>
      </c>
      <c r="T46" s="93">
        <f>IFERROR(IF(VLOOKUP(B46,Detalle!$A:$AA,$T$1,0)=0,"Sin datos",IFERROR(VLOOKUP(B46,Detalle!$A:$AA,$T$1,0),"Sin datos")),"")</f>
        <v/>
      </c>
      <c r="U46" s="327">
        <f>IFERROR(IF(VLOOKUP(B46,Detalle!$A:$AA,$U$1,0)=0,"Sin datos",IFERROR(VLOOKUP(B46,Detalle!$A:$AA,$U$1,0),"Sin datos")),"")</f>
        <v/>
      </c>
      <c r="V46" s="93">
        <f>IFERROR(IF(VLOOKUP(B46,Detalle!$A:$AA,$V$1,0)=0,"Sin datos",IFERROR(VLOOKUP(B46,Detalle!$A:$AA,$V$1,0),"Sin datos")),"")</f>
        <v/>
      </c>
      <c r="W46" s="98">
        <f>IF(P46="",IF(MIN(Q46,S46,U46)&gt;E46,"Si","No"),IF(MIN(Q46,S46,U46)&gt;P46,"Si","No"))</f>
        <v/>
      </c>
      <c r="X46" s="328">
        <f>MIN(Q46,S46,U46)</f>
        <v/>
      </c>
      <c r="Y46" s="328">
        <f>IFERROR(IF(MIN(T46,V46)=R46,IF(S46=U46,"Escenario 5","Escenario 4"),IF(MIN(T46,V46)&lt;R46,IF(AND(R46-2&lt;=MIN(T46,V46),S46&lt;&gt;U46),"Escenario 1",IF(AND(R46-2&lt;=MIN(T46,V46),S46=U46),"Escenario 2","Escenario 3")),IF(MIN(T46,V46)&gt;R46,IF(AND(R46+2&gt;=MIN(T46,V46),S46=U46),"Escenario 7",IF(AND(R46+2&gt;=MIN(T46,V46),S46&lt;&gt;U46),"Escenario 6",IF(R46+5&lt;=MIN(T46,V46),"Escenario 9","Escenario 8"))),"error"))),"Falta info")</f>
        <v/>
      </c>
      <c r="Z46" s="98">
        <f>IFERROR(VLOOKUP(Y46,Base!$BJ$19:$BL$27,3,0),0)</f>
        <v/>
      </c>
      <c r="AA46" s="330">
        <f>IF(LOOKUP(Y46,Base!$X$8:$BG$8)=Y46,VLOOKUP(B46,Base!E:BG,Z46,0),0)</f>
        <v/>
      </c>
      <c r="AB46" s="330" t="n">
        <v>8990</v>
      </c>
      <c r="AC46" s="327">
        <f>IFERROR(IF(VLOOKUP(B46,Detalle!$A:$AA,$AC$1,0)=0,"Sin datos",IFERROR(VLOOKUP(B46,Detalle!$A:$AA,$AC$1,0),"Sin datos")),"")</f>
        <v/>
      </c>
      <c r="AD46" s="93">
        <f>IFERROR(IF(VLOOKUP(B46,Detalle!$A:$AA,$AD$1,0)=0,"Sin datos",IFERROR(VLOOKUP(B46,Detalle!$A:$AA,$AD$1,0),"Sin datos")),"")</f>
        <v/>
      </c>
      <c r="AE46" s="327">
        <f>IFERROR(IF(VLOOKUP(B46,Detalle!$A:$AA,$AE$1,0)=0,"Sin datos",IFERROR(VLOOKUP(B46,Detalle!$A:$AA,$AE$1,0),"Sin datos")),"")</f>
        <v/>
      </c>
      <c r="AF46" s="93">
        <f>IFERROR(IF(VLOOKUP(B46,Detalle!$A:$AA,$AF$1,0)=0,"Sin datos",IFERROR(VLOOKUP(B46,Detalle!$A:$AA,$AF$1,0),"Sin datos")),"")</f>
        <v/>
      </c>
      <c r="AG46" s="327">
        <f>IFERROR(IF(VLOOKUP(B46,Detalle!$A:$AA,$AG$1,0)=0,"Sin datos",IFERROR(VLOOKUP(B46,Detalle!$A:$AA,$AG$1,0),"Sin datos")),"")</f>
        <v/>
      </c>
      <c r="AH46" s="93">
        <f>IFERROR(IF(VLOOKUP(B46,Detalle!$A:$AA,$AH$1,0)=0,"Sin datos",IFERROR(VLOOKUP(B46,Detalle!$A:$AA,$AH$1,0),"Sin datos")),"")</f>
        <v/>
      </c>
      <c r="AI46" s="98">
        <f>IF(AB46="",IF(MIN(AC46,AE46,AG46)&gt;E46,"Si","No"),IF(MIN(AC46,AG46,AG46)&gt;AB46,"Si","No"))</f>
        <v/>
      </c>
      <c r="AJ46" s="328">
        <f>MIN(AC46,AE46,AG46)</f>
        <v/>
      </c>
      <c r="AK46" s="328">
        <f>IFERROR(IF(MIN(AF46,AH46)=AD46,IF(AE46=AG46,"Escenario 5","Escenario 4"),IF(MIN(AF46,AH46)&lt;AD46,IF(AND(AD46-2&lt;=MIN(AF46,AH46),AE46&lt;&gt;AG46),"Escenario 1",IF(AND(AD46-2&lt;=MIN(AF46,AH46),AE46=AG46),"Escenario 2","Escenario 3")),IF(MIN(AF46,AH46)&gt;AD46,IF(AND(AD46+2&gt;=MIN(AF46,AH46),AE46=AG46),"Escenario 7",IF(AND(AD46+2&gt;=MIN(AF46,AH46),AE46&lt;&gt;AG46),"Escenario 6",IF(AD46+5&lt;=MIN(AF46,AH46),"Escenario 9","Escenario 8"))),"error"))),"Falta info")</f>
        <v/>
      </c>
      <c r="AL46" s="98">
        <f>IFERROR(VLOOKUP(AK46,Base!$BJ$37:$BL$45,3,0),0)</f>
        <v/>
      </c>
      <c r="AM46" s="330">
        <f>IF(LOOKUP(AK46,Base!$X$8:$BG$8)=AK46,VLOOKUP(B46,Base!E:BG,AL46,0),0)</f>
        <v/>
      </c>
      <c r="AN46" s="330" t="n"/>
      <c r="AO46" s="331" t="n"/>
      <c r="AP46" s="331" t="n"/>
      <c r="AQ46" s="331" t="n"/>
    </row>
    <row customHeight="1" ht="12.95" r="47" s="183" spans="1:43">
      <c r="B47" s="108" t="s">
        <v>85</v>
      </c>
      <c r="C47" s="89" t="s">
        <v>294</v>
      </c>
      <c r="D47" s="106">
        <f>VLOOKUP(B47,Base!E:G,3,0)</f>
        <v/>
      </c>
      <c r="E47" s="326">
        <f>IFERROR(IF(VLOOKUP(B47,Detalle!$A:$AA,$E$1,0)=0,"Sin datos",IFERROR(VLOOKUP(B47,Detalle!$A:$AA,$E$1,0),"Sin datos")),"")</f>
        <v/>
      </c>
      <c r="F47" s="91">
        <f>IFERROR(IF(VLOOKUP(B47,Detalle!$A:$AA,$F$1,0)=0,"Sin datos",IFERROR(VLOOKUP(B47,Detalle!$A:$AA,$F$1,0),"Sin datos")),"")</f>
        <v/>
      </c>
      <c r="G47" s="327">
        <f>IFERROR(IF(VLOOKUP(B47,Detalle!$A:$AA,$G$1,0)=0,"Sin datos",IFERROR(VLOOKUP(B47,Detalle!$A:$AA,$G$1,0),"Sin datos")),"")</f>
        <v/>
      </c>
      <c r="H47" s="93">
        <f>IFERROR(IF(VLOOKUP(B47,Detalle!$A:$AA,$H$1,0)=0,"Sin datos",IFERROR(VLOOKUP(B47,Detalle!$A:$AA,$H$1,0),"Sin datos")),"")</f>
        <v/>
      </c>
      <c r="I47" s="327">
        <f>IFERROR(IF(VLOOKUP(B47,Detalle!$A:$AA,$I$1,0)=0,"Sin datos",IFERROR(VLOOKUP(B47,Detalle!$A:$AA,$I$1,0),"Sin datos")),"")</f>
        <v/>
      </c>
      <c r="J47" s="93">
        <f>IFERROR(IF(VLOOKUP(B47,Detalle!$A:$AA,$J$1,0)=0,"Sin datos",IFERROR(VLOOKUP(B47,Detalle!$A:$AA,$J$1,0),"Sin datos")),"")</f>
        <v/>
      </c>
      <c r="K47" s="98" t="s">
        <v>293</v>
      </c>
      <c r="L47" s="328">
        <f>MIN(E47,G47,I47)</f>
        <v/>
      </c>
      <c r="M47" s="329">
        <f>IFERROR(IF(MIN(H47,J47)=F47,IF(G47=I47,"Escenario 5","Escenario 4"),IF(MIN(H47,J47)&lt;F47,IF(AND(F47-2&lt;=MIN(H47,J47),G47&lt;&gt;I47),"Escenario 1",IF(AND(F47-2&lt;=MIN(H47,J47),G47=I47),"Escenario 2","Escenario 3")),IF(MIN(H47,J47)&gt;F47,IF(AND(F47+2&gt;=MIN(H47,J47),G47=I47),"Escenario 7",IF(AND(F47+2&gt;=MIN(H47,J47),G47&lt;&gt;I47),"Escenario 6",IF(F47+5&lt;=MIN(H47,J47),"Escenario 9","Escenario 8"))),"error"))),"Falta info")</f>
        <v/>
      </c>
      <c r="N47" s="98">
        <f>IFERROR(VLOOKUP(M47,Base!$BJ$28:$BL$36,3,0),0)</f>
        <v/>
      </c>
      <c r="O47" s="330">
        <f>IF(LOOKUP(M47,Base!$X$8:$BG$8)=M47,VLOOKUP(B47,Base!E:BG,N47,0),0)</f>
        <v/>
      </c>
      <c r="P47" s="330" t="n"/>
      <c r="Q47" s="327">
        <f>IFERROR(IF(VLOOKUP(B47,Detalle!$A:$AA,$Q$1,0)=0,"Sin datos",IFERROR(VLOOKUP(B47,Detalle!$A:$AA,$Q$1,0),"Sin datos")),"")</f>
        <v/>
      </c>
      <c r="R47" s="93">
        <f>IFERROR(IF(VLOOKUP(B47,Detalle!$A:$AA,$R$1,0)=0,"Sin datos",IFERROR(VLOOKUP(B47,Detalle!$A:$AA,$R$1,0),"Sin datos")),"")</f>
        <v/>
      </c>
      <c r="S47" s="327">
        <f>IFERROR(IF(VLOOKUP(B47,Detalle!$A:$AA,$S$1,0)=0,"Sin datos",IFERROR(VLOOKUP(B47,Detalle!$A:$AA,$S$1,0),"Sin datos")),"")</f>
        <v/>
      </c>
      <c r="T47" s="93">
        <f>IFERROR(IF(VLOOKUP(B47,Detalle!$A:$AA,$T$1,0)=0,"Sin datos",IFERROR(VLOOKUP(B47,Detalle!$A:$AA,$T$1,0),"Sin datos")),"")</f>
        <v/>
      </c>
      <c r="U47" s="327">
        <f>IFERROR(IF(VLOOKUP(B47,Detalle!$A:$AA,$U$1,0)=0,"Sin datos",IFERROR(VLOOKUP(B47,Detalle!$A:$AA,$U$1,0),"Sin datos")),"")</f>
        <v/>
      </c>
      <c r="V47" s="93">
        <f>IFERROR(IF(VLOOKUP(B47,Detalle!$A:$AA,$V$1,0)=0,"Sin datos",IFERROR(VLOOKUP(B47,Detalle!$A:$AA,$V$1,0),"Sin datos")),"")</f>
        <v/>
      </c>
      <c r="W47" s="98">
        <f>IF(P47="",IF(MIN(Q47,S47,U47)&gt;E47,"Si","No"),IF(MIN(Q47,S47,U47)&gt;P47,"Si","No"))</f>
        <v/>
      </c>
      <c r="X47" s="328">
        <f>MIN(Q47,S47,U47)</f>
        <v/>
      </c>
      <c r="Y47" s="328">
        <f>IFERROR(IF(MIN(T47,V47)=R47,IF(S47=U47,"Escenario 5","Escenario 4"),IF(MIN(T47,V47)&lt;R47,IF(AND(R47-2&lt;=MIN(T47,V47),S47&lt;&gt;U47),"Escenario 1",IF(AND(R47-2&lt;=MIN(T47,V47),S47=U47),"Escenario 2","Escenario 3")),IF(MIN(T47,V47)&gt;R47,IF(AND(R47+2&gt;=MIN(T47,V47),S47=U47),"Escenario 7",IF(AND(R47+2&gt;=MIN(T47,V47),S47&lt;&gt;U47),"Escenario 6",IF(R47+5&lt;=MIN(T47,V47),"Escenario 9","Escenario 8"))),"error"))),"Falta info")</f>
        <v/>
      </c>
      <c r="Z47" s="98">
        <f>IFERROR(VLOOKUP(Y47,Base!$BJ$19:$BL$27,3,0),0)</f>
        <v/>
      </c>
      <c r="AA47" s="330">
        <f>IF(LOOKUP(Y47,Base!$X$8:$BG$8)=Y47,VLOOKUP(B47,Base!E:BG,Z47,0),0)</f>
        <v/>
      </c>
      <c r="AB47" s="330" t="n"/>
      <c r="AC47" s="327">
        <f>IFERROR(IF(VLOOKUP(B47,Detalle!$A:$AA,$AC$1,0)=0,"Sin datos",IFERROR(VLOOKUP(B47,Detalle!$A:$AA,$AC$1,0),"Sin datos")),"")</f>
        <v/>
      </c>
      <c r="AD47" s="93">
        <f>IFERROR(IF(VLOOKUP(B47,Detalle!$A:$AA,$AD$1,0)=0,"Sin datos",IFERROR(VLOOKUP(B47,Detalle!$A:$AA,$AD$1,0),"Sin datos")),"")</f>
        <v/>
      </c>
      <c r="AE47" s="327">
        <f>IFERROR(IF(VLOOKUP(B47,Detalle!$A:$AA,$AE$1,0)=0,"Sin datos",IFERROR(VLOOKUP(B47,Detalle!$A:$AA,$AE$1,0),"Sin datos")),"")</f>
        <v/>
      </c>
      <c r="AF47" s="93">
        <f>IFERROR(IF(VLOOKUP(B47,Detalle!$A:$AA,$AF$1,0)=0,"Sin datos",IFERROR(VLOOKUP(B47,Detalle!$A:$AA,$AF$1,0),"Sin datos")),"")</f>
        <v/>
      </c>
      <c r="AG47" s="327">
        <f>IFERROR(IF(VLOOKUP(B47,Detalle!$A:$AA,$AG$1,0)=0,"Sin datos",IFERROR(VLOOKUP(B47,Detalle!$A:$AA,$AG$1,0),"Sin datos")),"")</f>
        <v/>
      </c>
      <c r="AH47" s="93">
        <f>IFERROR(IF(VLOOKUP(B47,Detalle!$A:$AA,$AH$1,0)=0,"Sin datos",IFERROR(VLOOKUP(B47,Detalle!$A:$AA,$AH$1,0),"Sin datos")),"")</f>
        <v/>
      </c>
      <c r="AI47" s="98">
        <f>IF(AB47="",IF(MIN(AC47,AE47,AG47)&gt;E47,"Si","No"),IF(MIN(AC47,AG47,AG47)&gt;AB47,"Si","No"))</f>
        <v/>
      </c>
      <c r="AJ47" s="328">
        <f>MIN(AC47,AE47,AG47)</f>
        <v/>
      </c>
      <c r="AK47" s="328">
        <f>IFERROR(IF(MIN(AF47,AH47)=AD47,IF(AE47=AG47,"Escenario 5","Escenario 4"),IF(MIN(AF47,AH47)&lt;AD47,IF(AND(AD47-2&lt;=MIN(AF47,AH47),AE47&lt;&gt;AG47),"Escenario 1",IF(AND(AD47-2&lt;=MIN(AF47,AH47),AE47=AG47),"Escenario 2","Escenario 3")),IF(MIN(AF47,AH47)&gt;AD47,IF(AND(AD47+2&gt;=MIN(AF47,AH47),AE47=AG47),"Escenario 7",IF(AND(AD47+2&gt;=MIN(AF47,AH47),AE47&lt;&gt;AG47),"Escenario 6",IF(AD47+5&lt;=MIN(AF47,AH47),"Escenario 9","Escenario 8"))),"error"))),"Falta info")</f>
        <v/>
      </c>
      <c r="AL47" s="98">
        <f>IFERROR(VLOOKUP(AK47,Base!$BJ$37:$BL$45,3,0),0)</f>
        <v/>
      </c>
      <c r="AM47" s="330">
        <f>IF(LOOKUP(AK47,Base!$X$8:$BG$8)=AK47,VLOOKUP(B47,Base!E:BG,AL47,0),0)</f>
        <v/>
      </c>
      <c r="AN47" s="330" t="n"/>
      <c r="AP47" s="331">
        <f>IF(AM47&lt;=AA47,"REVISAR!","ok")</f>
        <v/>
      </c>
    </row>
    <row customHeight="1" ht="12.95" r="48" s="183" spans="1:43">
      <c r="B48" s="108" t="s">
        <v>37</v>
      </c>
      <c r="C48" s="89" t="s">
        <v>294</v>
      </c>
      <c r="D48" s="106">
        <f>VLOOKUP(B48,Base!E:G,3,0)</f>
        <v/>
      </c>
      <c r="E48" s="326">
        <f>IFERROR(IF(VLOOKUP(B48,Detalle!$A:$AA,$E$1,0)=0,"Sin datos",IFERROR(VLOOKUP(B48,Detalle!$A:$AA,$E$1,0),"Sin datos")),"")</f>
        <v/>
      </c>
      <c r="F48" s="91">
        <f>IFERROR(IF(VLOOKUP(B48,Detalle!$A:$AA,$F$1,0)=0,"Sin datos",IFERROR(VLOOKUP(B48,Detalle!$A:$AA,$F$1,0),"Sin datos")),"")</f>
        <v/>
      </c>
      <c r="G48" s="327">
        <f>IFERROR(IF(VLOOKUP(B48,Detalle!$A:$AA,$G$1,0)=0,"Sin datos",IFERROR(VLOOKUP(B48,Detalle!$A:$AA,$G$1,0),"Sin datos")),"")</f>
        <v/>
      </c>
      <c r="H48" s="93">
        <f>IFERROR(IF(VLOOKUP(B48,Detalle!$A:$AA,$H$1,0)=0,"Sin datos",IFERROR(VLOOKUP(B48,Detalle!$A:$AA,$H$1,0),"Sin datos")),"")</f>
        <v/>
      </c>
      <c r="I48" s="327">
        <f>IFERROR(IF(VLOOKUP(B48,Detalle!$A:$AA,$I$1,0)=0,"Sin datos",IFERROR(VLOOKUP(B48,Detalle!$A:$AA,$I$1,0),"Sin datos")),"")</f>
        <v/>
      </c>
      <c r="J48" s="93">
        <f>IFERROR(IF(VLOOKUP(B48,Detalle!$A:$AA,$J$1,0)=0,"Sin datos",IFERROR(VLOOKUP(B48,Detalle!$A:$AA,$J$1,0),"Sin datos")),"")</f>
        <v/>
      </c>
      <c r="K48" s="98" t="s">
        <v>293</v>
      </c>
      <c r="L48" s="328">
        <f>MIN(E48,G48,I48)</f>
        <v/>
      </c>
      <c r="M48" s="329">
        <f>IFERROR(IF(MIN(H48,J48)=F48,IF(G48=I48,"Escenario 5","Escenario 4"),IF(MIN(H48,J48)&lt;F48,IF(AND(F48-2&lt;=MIN(H48,J48),G48&lt;&gt;I48),"Escenario 1",IF(AND(F48-2&lt;=MIN(H48,J48),G48=I48),"Escenario 2","Escenario 3")),IF(MIN(H48,J48)&gt;F48,IF(AND(F48+2&gt;=MIN(H48,J48),G48=I48),"Escenario 7",IF(AND(F48+2&gt;=MIN(H48,J48),G48&lt;&gt;I48),"Escenario 6",IF(F48+5&lt;=MIN(H48,J48),"Escenario 9","Escenario 8"))),"error"))),"Falta info")</f>
        <v/>
      </c>
      <c r="N48" s="98">
        <f>IFERROR(VLOOKUP(M48,Base!$BJ$28:$BL$36,3,0),0)</f>
        <v/>
      </c>
      <c r="O48" s="330">
        <f>IF(LOOKUP(M48,Base!$X$8:$BG$8)=M48,VLOOKUP(B48,Base!E:BG,N48,0),0)</f>
        <v/>
      </c>
      <c r="P48" s="330" t="n"/>
      <c r="Q48" s="327">
        <f>IFERROR(IF(VLOOKUP(B48,Detalle!$A:$AA,$Q$1,0)=0,"Sin datos",IFERROR(VLOOKUP(B48,Detalle!$A:$AA,$Q$1,0),"Sin datos")),"")</f>
        <v/>
      </c>
      <c r="R48" s="93">
        <f>IFERROR(IF(VLOOKUP(B48,Detalle!$A:$AA,$R$1,0)=0,"Sin datos",IFERROR(VLOOKUP(B48,Detalle!$A:$AA,$R$1,0),"Sin datos")),"")</f>
        <v/>
      </c>
      <c r="S48" s="327">
        <f>IFERROR(IF(VLOOKUP(B48,Detalle!$A:$AA,$S$1,0)=0,"Sin datos",IFERROR(VLOOKUP(B48,Detalle!$A:$AA,$S$1,0),"Sin datos")),"")</f>
        <v/>
      </c>
      <c r="T48" s="93">
        <f>IFERROR(IF(VLOOKUP(B48,Detalle!$A:$AA,$T$1,0)=0,"Sin datos",IFERROR(VLOOKUP(B48,Detalle!$A:$AA,$T$1,0),"Sin datos")),"")</f>
        <v/>
      </c>
      <c r="U48" s="327">
        <f>IFERROR(IF(VLOOKUP(B48,Detalle!$A:$AA,$U$1,0)=0,"Sin datos",IFERROR(VLOOKUP(B48,Detalle!$A:$AA,$U$1,0),"Sin datos")),"")</f>
        <v/>
      </c>
      <c r="V48" s="93">
        <f>IFERROR(IF(VLOOKUP(B48,Detalle!$A:$AA,$V$1,0)=0,"Sin datos",IFERROR(VLOOKUP(B48,Detalle!$A:$AA,$V$1,0),"Sin datos")),"")</f>
        <v/>
      </c>
      <c r="W48" s="98">
        <f>IF(P48="",IF(MIN(Q48,S48,U48)&gt;E48,"Si","No"),IF(MIN(Q48,S48,U48)&gt;P48,"Si","No"))</f>
        <v/>
      </c>
      <c r="X48" s="328">
        <f>MIN(Q48,S48,U48)</f>
        <v/>
      </c>
      <c r="Y48" s="328">
        <f>IFERROR(IF(MIN(T48,V48)=R48,IF(S48=U48,"Escenario 5","Escenario 4"),IF(MIN(T48,V48)&lt;R48,IF(AND(R48-2&lt;=MIN(T48,V48),S48&lt;&gt;U48),"Escenario 1",IF(AND(R48-2&lt;=MIN(T48,V48),S48=U48),"Escenario 2","Escenario 3")),IF(MIN(T48,V48)&gt;R48,IF(AND(R48+2&gt;=MIN(T48,V48),S48=U48),"Escenario 7",IF(AND(R48+2&gt;=MIN(T48,V48),S48&lt;&gt;U48),"Escenario 6",IF(R48+5&lt;=MIN(T48,V48),"Escenario 9","Escenario 8"))),"error"))),"Falta info")</f>
        <v/>
      </c>
      <c r="Z48" s="98">
        <f>IFERROR(VLOOKUP(Y48,Base!$BJ$19:$BL$27,3,0),0)</f>
        <v/>
      </c>
      <c r="AA48" s="332">
        <f>IF(LOOKUP(Y48,Base!$X$8:$BG$8)=Y48,VLOOKUP(B48,Base!E:BG,Z48,0),0)</f>
        <v/>
      </c>
      <c r="AB48" s="332" t="n">
        <v>21990</v>
      </c>
      <c r="AC48" s="327">
        <f>IFERROR(IF(VLOOKUP(B48,Detalle!$A:$AA,$AC$1,0)=0,"Sin datos",IFERROR(VLOOKUP(B48,Detalle!$A:$AA,$AC$1,0),"Sin datos")),"")</f>
        <v/>
      </c>
      <c r="AD48" s="93">
        <f>IFERROR(IF(VLOOKUP(B48,Detalle!$A:$AA,$AD$1,0)=0,"Sin datos",IFERROR(VLOOKUP(B48,Detalle!$A:$AA,$AD$1,0),"Sin datos")),"")</f>
        <v/>
      </c>
      <c r="AE48" s="327">
        <f>IFERROR(IF(VLOOKUP(B48,Detalle!$A:$AA,$AE$1,0)=0,"Sin datos",IFERROR(VLOOKUP(B48,Detalle!$A:$AA,$AE$1,0),"Sin datos")),"")</f>
        <v/>
      </c>
      <c r="AF48" s="93">
        <f>IFERROR(IF(VLOOKUP(B48,Detalle!$A:$AA,$AF$1,0)=0,"Sin datos",IFERROR(VLOOKUP(B48,Detalle!$A:$AA,$AF$1,0),"Sin datos")),"")</f>
        <v/>
      </c>
      <c r="AG48" s="327">
        <f>IFERROR(IF(VLOOKUP(B48,Detalle!$A:$AA,$AG$1,0)=0,"Sin datos",IFERROR(VLOOKUP(B48,Detalle!$A:$AA,$AG$1,0),"Sin datos")),"")</f>
        <v/>
      </c>
      <c r="AH48" s="93">
        <f>IFERROR(IF(VLOOKUP(B48,Detalle!$A:$AA,$AH$1,0)=0,"Sin datos",IFERROR(VLOOKUP(B48,Detalle!$A:$AA,$AH$1,0),"Sin datos")),"")</f>
        <v/>
      </c>
      <c r="AI48" s="98">
        <f>IF(AB48="",IF(MIN(AC48,AE48,AG48)&gt;E48,"Si","No"),IF(MIN(AC48,AG48,AG48)&gt;AB48,"Si","No"))</f>
        <v/>
      </c>
      <c r="AJ48" s="328">
        <f>MIN(AC48,AE48,AG48)</f>
        <v/>
      </c>
      <c r="AK48" s="328">
        <f>IFERROR(IF(MIN(AF48,AH48)=AD48,IF(AE48=AG48,"Escenario 5","Escenario 4"),IF(MIN(AF48,AH48)&lt;AD48,IF(AND(AD48-2&lt;=MIN(AF48,AH48),AE48&lt;&gt;AG48),"Escenario 1",IF(AND(AD48-2&lt;=MIN(AF48,AH48),AE48=AG48),"Escenario 2","Escenario 3")),IF(MIN(AF48,AH48)&gt;AD48,IF(AND(AD48+2&gt;=MIN(AF48,AH48),AE48=AG48),"Escenario 7",IF(AND(AD48+2&gt;=MIN(AF48,AH48),AE48&lt;&gt;AG48),"Escenario 6",IF(AD48+5&lt;=MIN(AF48,AH48),"Escenario 9","Escenario 8"))),"error"))),"Falta info")</f>
        <v/>
      </c>
      <c r="AL48" s="98">
        <f>IFERROR(VLOOKUP(AK48,Base!$BJ$37:$BL$45,3,0),0)</f>
        <v/>
      </c>
      <c r="AM48" s="332">
        <f>IF(LOOKUP(AK48,Base!$X$8:$BG$8)=AK48,VLOOKUP(B48,Base!E:BG,AL48,0),0)</f>
        <v/>
      </c>
      <c r="AN48" s="332" t="n">
        <v>29990</v>
      </c>
      <c r="AP48" s="331">
        <f>IF(AM48&lt;=AA48,"REVISAR!","ok")</f>
        <v/>
      </c>
    </row>
    <row customHeight="1" ht="12.95" r="49" s="183" spans="1:43">
      <c r="B49" s="108" t="s">
        <v>222</v>
      </c>
      <c r="C49" s="89" t="s">
        <v>294</v>
      </c>
      <c r="D49" s="106">
        <f>VLOOKUP(B49,Base!E:G,3,0)</f>
        <v/>
      </c>
      <c r="E49" s="326">
        <f>IFERROR(IF(VLOOKUP(B49,Detalle!$A:$AA,$E$1,0)=0,"Sin datos",IFERROR(VLOOKUP(B49,Detalle!$A:$AA,$E$1,0),"Sin datos")),"")</f>
        <v/>
      </c>
      <c r="F49" s="91">
        <f>IFERROR(IF(VLOOKUP(B49,Detalle!$A:$AA,$F$1,0)=0,"Sin datos",IFERROR(VLOOKUP(B49,Detalle!$A:$AA,$F$1,0),"Sin datos")),"")</f>
        <v/>
      </c>
      <c r="G49" s="327">
        <f>IFERROR(IF(VLOOKUP(B49,Detalle!$A:$AA,$G$1,0)=0,"Sin datos",IFERROR(VLOOKUP(B49,Detalle!$A:$AA,$G$1,0),"Sin datos")),"")</f>
        <v/>
      </c>
      <c r="H49" s="93">
        <f>IFERROR(IF(VLOOKUP(B49,Detalle!$A:$AA,$H$1,0)=0,"Sin datos",IFERROR(VLOOKUP(B49,Detalle!$A:$AA,$H$1,0),"Sin datos")),"")</f>
        <v/>
      </c>
      <c r="I49" s="327">
        <f>IFERROR(IF(VLOOKUP(B49,Detalle!$A:$AA,$I$1,0)=0,"Sin datos",IFERROR(VLOOKUP(B49,Detalle!$A:$AA,$I$1,0),"Sin datos")),"")</f>
        <v/>
      </c>
      <c r="J49" s="93">
        <f>IFERROR(IF(VLOOKUP(B49,Detalle!$A:$AA,$J$1,0)=0,"Sin datos",IFERROR(VLOOKUP(B49,Detalle!$A:$AA,$J$1,0),"Sin datos")),"")</f>
        <v/>
      </c>
      <c r="K49" s="98" t="s">
        <v>293</v>
      </c>
      <c r="L49" s="328">
        <f>MIN(E49,G49,I49)</f>
        <v/>
      </c>
      <c r="M49" s="329">
        <f>IFERROR(IF(MIN(H49,J49)=F49,IF(G49=I49,"Escenario 5","Escenario 4"),IF(MIN(H49,J49)&lt;F49,IF(AND(F49-2&lt;=MIN(H49,J49),G49&lt;&gt;I49),"Escenario 1",IF(AND(F49-2&lt;=MIN(H49,J49),G49=I49),"Escenario 2","Escenario 3")),IF(MIN(H49,J49)&gt;F49,IF(AND(F49+2&gt;=MIN(H49,J49),G49=I49),"Escenario 7",IF(AND(F49+2&gt;=MIN(H49,J49),G49&lt;&gt;I49),"Escenario 6",IF(F49+5&lt;=MIN(H49,J49),"Escenario 9","Escenario 8"))),"error"))),"Falta info")</f>
        <v/>
      </c>
      <c r="N49" s="98">
        <f>IFERROR(VLOOKUP(M49,Base!$BJ$28:$BL$36,3,0),0)</f>
        <v/>
      </c>
      <c r="O49" s="330">
        <f>IF(LOOKUP(M49,Base!$X$8:$BG$8)=M49,VLOOKUP(B49,Base!E:BG,N49,0),0)</f>
        <v/>
      </c>
      <c r="P49" s="330" t="n"/>
      <c r="Q49" s="327">
        <f>IFERROR(IF(VLOOKUP(B49,Detalle!$A:$AA,$Q$1,0)=0,"Sin datos",IFERROR(VLOOKUP(B49,Detalle!$A:$AA,$Q$1,0),"Sin datos")),"")</f>
        <v/>
      </c>
      <c r="R49" s="93">
        <f>IFERROR(IF(VLOOKUP(B49,Detalle!$A:$AA,$R$1,0)=0,"Sin datos",IFERROR(VLOOKUP(B49,Detalle!$A:$AA,$R$1,0),"Sin datos")),"")</f>
        <v/>
      </c>
      <c r="S49" s="327">
        <f>IFERROR(IF(VLOOKUP(B49,Detalle!$A:$AA,$S$1,0)=0,"Sin datos",IFERROR(VLOOKUP(B49,Detalle!$A:$AA,$S$1,0),"Sin datos")),"")</f>
        <v/>
      </c>
      <c r="T49" s="93">
        <f>IFERROR(IF(VLOOKUP(B49,Detalle!$A:$AA,$T$1,0)=0,"Sin datos",IFERROR(VLOOKUP(B49,Detalle!$A:$AA,$T$1,0),"Sin datos")),"")</f>
        <v/>
      </c>
      <c r="U49" s="327">
        <f>IFERROR(IF(VLOOKUP(B49,Detalle!$A:$AA,$U$1,0)=0,"Sin datos",IFERROR(VLOOKUP(B49,Detalle!$A:$AA,$U$1,0),"Sin datos")),"")</f>
        <v/>
      </c>
      <c r="V49" s="93">
        <f>IFERROR(IF(VLOOKUP(B49,Detalle!$A:$AA,$V$1,0)=0,"Sin datos",IFERROR(VLOOKUP(B49,Detalle!$A:$AA,$V$1,0),"Sin datos")),"")</f>
        <v/>
      </c>
      <c r="W49" s="98">
        <f>IF(P49="",IF(MIN(Q49,S49,U49)&gt;E49,"Si","No"),IF(MIN(Q49,S49,U49)&gt;P49,"Si","No"))</f>
        <v/>
      </c>
      <c r="X49" s="328">
        <f>MIN(Q49,S49,U49)</f>
        <v/>
      </c>
      <c r="Y49" s="328">
        <f>IFERROR(IF(MIN(T49,V49)=R49,IF(S49=U49,"Escenario 5","Escenario 4"),IF(MIN(T49,V49)&lt;R49,IF(AND(R49-2&lt;=MIN(T49,V49),S49&lt;&gt;U49),"Escenario 1",IF(AND(R49-2&lt;=MIN(T49,V49),S49=U49),"Escenario 2","Escenario 3")),IF(MIN(T49,V49)&gt;R49,IF(AND(R49+2&gt;=MIN(T49,V49),S49=U49),"Escenario 7",IF(AND(R49+2&gt;=MIN(T49,V49),S49&lt;&gt;U49),"Escenario 6",IF(R49+5&lt;=MIN(T49,V49),"Escenario 9","Escenario 8"))),"error"))),"Falta info")</f>
        <v/>
      </c>
      <c r="Z49" s="98">
        <f>IFERROR(VLOOKUP(Y49,Base!$BJ$19:$BL$27,3,0),0)</f>
        <v/>
      </c>
      <c r="AA49" s="330">
        <f>IF(LOOKUP(Y49,Base!$X$8:$BG$8)=Y49,VLOOKUP(B49,Base!E:BG,Z49,0),0)</f>
        <v/>
      </c>
      <c r="AB49" s="330" t="n"/>
      <c r="AC49" s="327">
        <f>IFERROR(IF(VLOOKUP(B49,Detalle!$A:$AA,$AC$1,0)=0,"Sin datos",IFERROR(VLOOKUP(B49,Detalle!$A:$AA,$AC$1,0),"Sin datos")),"")</f>
        <v/>
      </c>
      <c r="AD49" s="93">
        <f>IFERROR(IF(VLOOKUP(B49,Detalle!$A:$AA,$AD$1,0)=0,"Sin datos",IFERROR(VLOOKUP(B49,Detalle!$A:$AA,$AD$1,0),"Sin datos")),"")</f>
        <v/>
      </c>
      <c r="AE49" s="327">
        <f>IFERROR(IF(VLOOKUP(B49,Detalle!$A:$AA,$AE$1,0)=0,"Sin datos",IFERROR(VLOOKUP(B49,Detalle!$A:$AA,$AE$1,0),"Sin datos")),"")</f>
        <v/>
      </c>
      <c r="AF49" s="93">
        <f>IFERROR(IF(VLOOKUP(B49,Detalle!$A:$AA,$AF$1,0)=0,"Sin datos",IFERROR(VLOOKUP(B49,Detalle!$A:$AA,$AF$1,0),"Sin datos")),"")</f>
        <v/>
      </c>
      <c r="AG49" s="327">
        <f>IFERROR(IF(VLOOKUP(B49,Detalle!$A:$AA,$AG$1,0)=0,"Sin datos",IFERROR(VLOOKUP(B49,Detalle!$A:$AA,$AG$1,0),"Sin datos")),"")</f>
        <v/>
      </c>
      <c r="AH49" s="93">
        <f>IFERROR(IF(VLOOKUP(B49,Detalle!$A:$AA,$AH$1,0)=0,"Sin datos",IFERROR(VLOOKUP(B49,Detalle!$A:$AA,$AH$1,0),"Sin datos")),"")</f>
        <v/>
      </c>
      <c r="AI49" s="98">
        <f>IF(AB49="",IF(MIN(AC49,AE49,AG49)&gt;E49,"Si","No"),IF(MIN(AC49,AG49,AG49)&gt;AB49,"Si","No"))</f>
        <v/>
      </c>
      <c r="AJ49" s="328">
        <f>MIN(AC49,AE49,AG49)</f>
        <v/>
      </c>
      <c r="AK49" s="328">
        <f>IFERROR(IF(MIN(AF49,AH49)=AD49,IF(AE49=AG49,"Escenario 5","Escenario 4"),IF(MIN(AF49,AH49)&lt;AD49,IF(AND(AD49-2&lt;=MIN(AF49,AH49),AE49&lt;&gt;AG49),"Escenario 1",IF(AND(AD49-2&lt;=MIN(AF49,AH49),AE49=AG49),"Escenario 2","Escenario 3")),IF(MIN(AF49,AH49)&gt;AD49,IF(AND(AD49+2&gt;=MIN(AF49,AH49),AE49=AG49),"Escenario 7",IF(AND(AD49+2&gt;=MIN(AF49,AH49),AE49&lt;&gt;AG49),"Escenario 6",IF(AD49+5&lt;=MIN(AF49,AH49),"Escenario 9","Escenario 8"))),"error"))),"Falta info")</f>
        <v/>
      </c>
      <c r="AL49" s="98">
        <f>IFERROR(VLOOKUP(AK49,Base!$BJ$37:$BL$45,3,0),0)</f>
        <v/>
      </c>
      <c r="AM49" s="330">
        <f>IF(LOOKUP(AK49,Base!$X$8:$BG$8)=AK49,VLOOKUP(B49,Base!E:BG,AL49,0),0)</f>
        <v/>
      </c>
      <c r="AN49" s="330" t="n"/>
      <c r="AP49" s="331">
        <f>IF(AM49&lt;=AA49,"REVISAR!","ok")</f>
        <v/>
      </c>
    </row>
    <row customHeight="1" ht="12.95" r="50" s="183" spans="1:43">
      <c r="B50" s="108" t="s">
        <v>83</v>
      </c>
      <c r="C50" s="89" t="s">
        <v>294</v>
      </c>
      <c r="D50" s="106">
        <f>VLOOKUP(B50,Base!E:G,3,0)</f>
        <v/>
      </c>
      <c r="E50" s="326">
        <f>IFERROR(IF(VLOOKUP(B50,Detalle!$A:$AA,$E$1,0)=0,"Sin datos",IFERROR(VLOOKUP(B50,Detalle!$A:$AA,$E$1,0),"Sin datos")),"")</f>
        <v/>
      </c>
      <c r="F50" s="91">
        <f>IFERROR(IF(VLOOKUP(B50,Detalle!$A:$AA,$F$1,0)=0,"Sin datos",IFERROR(VLOOKUP(B50,Detalle!$A:$AA,$F$1,0),"Sin datos")),"")</f>
        <v/>
      </c>
      <c r="G50" s="327">
        <f>IFERROR(IF(VLOOKUP(B50,Detalle!$A:$AA,$G$1,0)=0,"Sin datos",IFERROR(VLOOKUP(B50,Detalle!$A:$AA,$G$1,0),"Sin datos")),"")</f>
        <v/>
      </c>
      <c r="H50" s="93">
        <f>IFERROR(IF(VLOOKUP(B50,Detalle!$A:$AA,$H$1,0)=0,"Sin datos",IFERROR(VLOOKUP(B50,Detalle!$A:$AA,$H$1,0),"Sin datos")),"")</f>
        <v/>
      </c>
      <c r="I50" s="327">
        <f>IFERROR(IF(VLOOKUP(B50,Detalle!$A:$AA,$I$1,0)=0,"Sin datos",IFERROR(VLOOKUP(B50,Detalle!$A:$AA,$I$1,0),"Sin datos")),"")</f>
        <v/>
      </c>
      <c r="J50" s="93">
        <f>IFERROR(IF(VLOOKUP(B50,Detalle!$A:$AA,$J$1,0)=0,"Sin datos",IFERROR(VLOOKUP(B50,Detalle!$A:$AA,$J$1,0),"Sin datos")),"")</f>
        <v/>
      </c>
      <c r="K50" s="98" t="s">
        <v>293</v>
      </c>
      <c r="L50" s="328">
        <f>MIN(E50,G50,I50)</f>
        <v/>
      </c>
      <c r="M50" s="329">
        <f>IFERROR(IF(MIN(H50,J50)=F50,IF(G50=I50,"Escenario 5","Escenario 4"),IF(MIN(H50,J50)&lt;F50,IF(AND(F50-2&lt;=MIN(H50,J50),G50&lt;&gt;I50),"Escenario 1",IF(AND(F50-2&lt;=MIN(H50,J50),G50=I50),"Escenario 2","Escenario 3")),IF(MIN(H50,J50)&gt;F50,IF(AND(F50+2&gt;=MIN(H50,J50),G50=I50),"Escenario 7",IF(AND(F50+2&gt;=MIN(H50,J50),G50&lt;&gt;I50),"Escenario 6",IF(F50+5&lt;=MIN(H50,J50),"Escenario 9","Escenario 8"))),"error"))),"Falta info")</f>
        <v/>
      </c>
      <c r="N50" s="98">
        <f>IFERROR(VLOOKUP(M50,Base!$BJ$28:$BL$36,3,0),0)</f>
        <v/>
      </c>
      <c r="O50" s="330">
        <f>IF(LOOKUP(M50,Base!$X$8:$BG$8)=M50,VLOOKUP(B50,Base!E:BG,N50,0),0)</f>
        <v/>
      </c>
      <c r="P50" s="330" t="n"/>
      <c r="Q50" s="327">
        <f>IFERROR(IF(VLOOKUP(B50,Detalle!$A:$AA,$Q$1,0)=0,"Sin datos",IFERROR(VLOOKUP(B50,Detalle!$A:$AA,$Q$1,0),"Sin datos")),"")</f>
        <v/>
      </c>
      <c r="R50" s="93">
        <f>IFERROR(IF(VLOOKUP(B50,Detalle!$A:$AA,$R$1,0)=0,"Sin datos",IFERROR(VLOOKUP(B50,Detalle!$A:$AA,$R$1,0),"Sin datos")),"")</f>
        <v/>
      </c>
      <c r="S50" s="327">
        <f>IFERROR(IF(VLOOKUP(B50,Detalle!$A:$AA,$S$1,0)=0,"Sin datos",IFERROR(VLOOKUP(B50,Detalle!$A:$AA,$S$1,0),"Sin datos")),"")</f>
        <v/>
      </c>
      <c r="T50" s="93">
        <f>IFERROR(IF(VLOOKUP(B50,Detalle!$A:$AA,$T$1,0)=0,"Sin datos",IFERROR(VLOOKUP(B50,Detalle!$A:$AA,$T$1,0),"Sin datos")),"")</f>
        <v/>
      </c>
      <c r="U50" s="327">
        <f>IFERROR(IF(VLOOKUP(B50,Detalle!$A:$AA,$U$1,0)=0,"Sin datos",IFERROR(VLOOKUP(B50,Detalle!$A:$AA,$U$1,0),"Sin datos")),"")</f>
        <v/>
      </c>
      <c r="V50" s="93">
        <f>IFERROR(IF(VLOOKUP(B50,Detalle!$A:$AA,$V$1,0)=0,"Sin datos",IFERROR(VLOOKUP(B50,Detalle!$A:$AA,$V$1,0),"Sin datos")),"")</f>
        <v/>
      </c>
      <c r="W50" s="98">
        <f>IF(P50="",IF(MIN(Q50,S50,U50)&gt;E50,"Si","No"),IF(MIN(Q50,S50,U50)&gt;P50,"Si","No"))</f>
        <v/>
      </c>
      <c r="X50" s="328">
        <f>MIN(Q50,S50,U50)</f>
        <v/>
      </c>
      <c r="Y50" s="328">
        <f>IFERROR(IF(MIN(T50,V50)=R50,IF(S50=U50,"Escenario 5","Escenario 4"),IF(MIN(T50,V50)&lt;R50,IF(AND(R50-2&lt;=MIN(T50,V50),S50&lt;&gt;U50),"Escenario 1",IF(AND(R50-2&lt;=MIN(T50,V50),S50=U50),"Escenario 2","Escenario 3")),IF(MIN(T50,V50)&gt;R50,IF(AND(R50+2&gt;=MIN(T50,V50),S50=U50),"Escenario 7",IF(AND(R50+2&gt;=MIN(T50,V50),S50&lt;&gt;U50),"Escenario 6",IF(R50+5&lt;=MIN(T50,V50),"Escenario 9","Escenario 8"))),"error"))),"Falta info")</f>
        <v/>
      </c>
      <c r="Z50" s="98">
        <f>IFERROR(VLOOKUP(Y50,Base!$BJ$19:$BL$27,3,0),0)</f>
        <v/>
      </c>
      <c r="AA50" s="330">
        <f>IF(LOOKUP(Y50,Base!$X$8:$BG$8)=Y50,VLOOKUP(B50,Base!E:BG,Z50,0),0)</f>
        <v/>
      </c>
      <c r="AB50" s="330" t="n"/>
      <c r="AC50" s="327">
        <f>IFERROR(IF(VLOOKUP(B50,Detalle!$A:$AA,$AC$1,0)=0,"Sin datos",IFERROR(VLOOKUP(B50,Detalle!$A:$AA,$AC$1,0),"Sin datos")),"")</f>
        <v/>
      </c>
      <c r="AD50" s="93">
        <f>IFERROR(IF(VLOOKUP(B50,Detalle!$A:$AA,$AD$1,0)=0,"Sin datos",IFERROR(VLOOKUP(B50,Detalle!$A:$AA,$AD$1,0),"Sin datos")),"")</f>
        <v/>
      </c>
      <c r="AE50" s="327">
        <f>IFERROR(IF(VLOOKUP(B50,Detalle!$A:$AA,$AE$1,0)=0,"Sin datos",IFERROR(VLOOKUP(B50,Detalle!$A:$AA,$AE$1,0),"Sin datos")),"")</f>
        <v/>
      </c>
      <c r="AF50" s="93">
        <f>IFERROR(IF(VLOOKUP(B50,Detalle!$A:$AA,$AF$1,0)=0,"Sin datos",IFERROR(VLOOKUP(B50,Detalle!$A:$AA,$AF$1,0),"Sin datos")),"")</f>
        <v/>
      </c>
      <c r="AG50" s="327">
        <f>IFERROR(IF(VLOOKUP(B50,Detalle!$A:$AA,$AG$1,0)=0,"Sin datos",IFERROR(VLOOKUP(B50,Detalle!$A:$AA,$AG$1,0),"Sin datos")),"")</f>
        <v/>
      </c>
      <c r="AH50" s="93">
        <f>IFERROR(IF(VLOOKUP(B50,Detalle!$A:$AA,$AH$1,0)=0,"Sin datos",IFERROR(VLOOKUP(B50,Detalle!$A:$AA,$AH$1,0),"Sin datos")),"")</f>
        <v/>
      </c>
      <c r="AI50" s="98">
        <f>IF(AB50="",IF(MIN(AC50,AE50,AG50)&gt;E50,"Si","No"),IF(MIN(AC50,AG50,AG50)&gt;AB50,"Si","No"))</f>
        <v/>
      </c>
      <c r="AJ50" s="328">
        <f>MIN(AC50,AE50,AG50)</f>
        <v/>
      </c>
      <c r="AK50" s="328">
        <f>IFERROR(IF(MIN(AF50,AH50)=AD50,IF(AE50=AG50,"Escenario 5","Escenario 4"),IF(MIN(AF50,AH50)&lt;AD50,IF(AND(AD50-2&lt;=MIN(AF50,AH50),AE50&lt;&gt;AG50),"Escenario 1",IF(AND(AD50-2&lt;=MIN(AF50,AH50),AE50=AG50),"Escenario 2","Escenario 3")),IF(MIN(AF50,AH50)&gt;AD50,IF(AND(AD50+2&gt;=MIN(AF50,AH50),AE50=AG50),"Escenario 7",IF(AND(AD50+2&gt;=MIN(AF50,AH50),AE50&lt;&gt;AG50),"Escenario 6",IF(AD50+5&lt;=MIN(AF50,AH50),"Escenario 9","Escenario 8"))),"error"))),"Falta info")</f>
        <v/>
      </c>
      <c r="AL50" s="98">
        <f>IFERROR(VLOOKUP(AK50,Base!$BJ$37:$BL$45,3,0),0)</f>
        <v/>
      </c>
      <c r="AM50" s="330">
        <f>IF(LOOKUP(AK50,Base!$X$8:$BG$8)=AK50,VLOOKUP(B50,Base!E:BG,AL50,0),0)</f>
        <v/>
      </c>
      <c r="AN50" s="330" t="n"/>
      <c r="AP50" s="331">
        <f>IF(AM50&lt;=AA50,"REVISAR!","ok")</f>
        <v/>
      </c>
    </row>
    <row customHeight="1" ht="12.95" r="51" s="183" spans="1:43">
      <c r="B51" s="108" t="s">
        <v>98</v>
      </c>
      <c r="C51" s="89" t="s">
        <v>294</v>
      </c>
      <c r="D51" s="106">
        <f>VLOOKUP(B51,Base!E:G,3,0)</f>
        <v/>
      </c>
      <c r="E51" s="326">
        <f>IFERROR(IF(VLOOKUP(B51,Detalle!$A:$AA,$E$1,0)=0,"Sin datos",IFERROR(VLOOKUP(B51,Detalle!$A:$AA,$E$1,0),"Sin datos")),"")</f>
        <v/>
      </c>
      <c r="F51" s="91">
        <f>IFERROR(IF(VLOOKUP(B51,Detalle!$A:$AA,$F$1,0)=0,"Sin datos",IFERROR(VLOOKUP(B51,Detalle!$A:$AA,$F$1,0),"Sin datos")),"")</f>
        <v/>
      </c>
      <c r="G51" s="327">
        <f>IFERROR(IF(VLOOKUP(B51,Detalle!$A:$AA,$G$1,0)=0,"Sin datos",IFERROR(VLOOKUP(B51,Detalle!$A:$AA,$G$1,0),"Sin datos")),"")</f>
        <v/>
      </c>
      <c r="H51" s="93">
        <f>IFERROR(IF(VLOOKUP(B51,Detalle!$A:$AA,$H$1,0)=0,"Sin datos",IFERROR(VLOOKUP(B51,Detalle!$A:$AA,$H$1,0),"Sin datos")),"")</f>
        <v/>
      </c>
      <c r="I51" s="327">
        <f>IFERROR(IF(VLOOKUP(B51,Detalle!$A:$AA,$I$1,0)=0,"Sin datos",IFERROR(VLOOKUP(B51,Detalle!$A:$AA,$I$1,0),"Sin datos")),"")</f>
        <v/>
      </c>
      <c r="J51" s="93">
        <f>IFERROR(IF(VLOOKUP(B51,Detalle!$A:$AA,$J$1,0)=0,"Sin datos",IFERROR(VLOOKUP(B51,Detalle!$A:$AA,$J$1,0),"Sin datos")),"")</f>
        <v/>
      </c>
      <c r="K51" s="98" t="s">
        <v>293</v>
      </c>
      <c r="L51" s="328">
        <f>MIN(E51,G51,I51)</f>
        <v/>
      </c>
      <c r="M51" s="329">
        <f>IFERROR(IF(MIN(H51,J51)=F51,IF(G51=I51,"Escenario 5","Escenario 4"),IF(MIN(H51,J51)&lt;F51,IF(AND(F51-2&lt;=MIN(H51,J51),G51&lt;&gt;I51),"Escenario 1",IF(AND(F51-2&lt;=MIN(H51,J51),G51=I51),"Escenario 2","Escenario 3")),IF(MIN(H51,J51)&gt;F51,IF(AND(F51+2&gt;=MIN(H51,J51),G51=I51),"Escenario 7",IF(AND(F51+2&gt;=MIN(H51,J51),G51&lt;&gt;I51),"Escenario 6",IF(F51+5&lt;=MIN(H51,J51),"Escenario 9","Escenario 8"))),"error"))),"Falta info")</f>
        <v/>
      </c>
      <c r="N51" s="98">
        <f>IFERROR(VLOOKUP(M51,Base!$BJ$28:$BL$36,3,0),0)</f>
        <v/>
      </c>
      <c r="O51" s="330">
        <f>IF(LOOKUP(M51,Base!$X$8:$BG$8)=M51,VLOOKUP(B51,Base!E:BG,N51,0),0)</f>
        <v/>
      </c>
      <c r="P51" s="330" t="n"/>
      <c r="Q51" s="327">
        <f>IFERROR(IF(VLOOKUP(B51,Detalle!$A:$AA,$Q$1,0)=0,"Sin datos",IFERROR(VLOOKUP(B51,Detalle!$A:$AA,$Q$1,0),"Sin datos")),"")</f>
        <v/>
      </c>
      <c r="R51" s="93">
        <f>IFERROR(IF(VLOOKUP(B51,Detalle!$A:$AA,$R$1,0)=0,"Sin datos",IFERROR(VLOOKUP(B51,Detalle!$A:$AA,$R$1,0),"Sin datos")),"")</f>
        <v/>
      </c>
      <c r="S51" s="327">
        <f>IFERROR(IF(VLOOKUP(B51,Detalle!$A:$AA,$S$1,0)=0,"Sin datos",IFERROR(VLOOKUP(B51,Detalle!$A:$AA,$S$1,0),"Sin datos")),"")</f>
        <v/>
      </c>
      <c r="T51" s="93">
        <f>IFERROR(IF(VLOOKUP(B51,Detalle!$A:$AA,$T$1,0)=0,"Sin datos",IFERROR(VLOOKUP(B51,Detalle!$A:$AA,$T$1,0),"Sin datos")),"")</f>
        <v/>
      </c>
      <c r="U51" s="327">
        <f>IFERROR(IF(VLOOKUP(B51,Detalle!$A:$AA,$U$1,0)=0,"Sin datos",IFERROR(VLOOKUP(B51,Detalle!$A:$AA,$U$1,0),"Sin datos")),"")</f>
        <v/>
      </c>
      <c r="V51" s="93">
        <f>IFERROR(IF(VLOOKUP(B51,Detalle!$A:$AA,$V$1,0)=0,"Sin datos",IFERROR(VLOOKUP(B51,Detalle!$A:$AA,$V$1,0),"Sin datos")),"")</f>
        <v/>
      </c>
      <c r="W51" s="98">
        <f>IF(P51="",IF(MIN(Q51,S51,U51)&gt;E51,"Si","No"),IF(MIN(Q51,S51,U51)&gt;P51,"Si","No"))</f>
        <v/>
      </c>
      <c r="X51" s="328">
        <f>MIN(Q51,S51,U51)</f>
        <v/>
      </c>
      <c r="Y51" s="328">
        <f>IFERROR(IF(MIN(T51,V51)=R51,IF(S51=U51,"Escenario 5","Escenario 4"),IF(MIN(T51,V51)&lt;R51,IF(AND(R51-2&lt;=MIN(T51,V51),S51&lt;&gt;U51),"Escenario 1",IF(AND(R51-2&lt;=MIN(T51,V51),S51=U51),"Escenario 2","Escenario 3")),IF(MIN(T51,V51)&gt;R51,IF(AND(R51+2&gt;=MIN(T51,V51),S51=U51),"Escenario 7",IF(AND(R51+2&gt;=MIN(T51,V51),S51&lt;&gt;U51),"Escenario 6",IF(R51+5&lt;=MIN(T51,V51),"Escenario 9","Escenario 8"))),"error"))),"Falta info")</f>
        <v/>
      </c>
      <c r="Z51" s="98">
        <f>IFERROR(VLOOKUP(Y51,Base!$BJ$19:$BL$27,3,0),0)</f>
        <v/>
      </c>
      <c r="AA51" s="330">
        <f>IF(LOOKUP(Y51,Base!$X$8:$BG$8)=Y51,VLOOKUP(B51,Base!E:BG,Z51,0),0)</f>
        <v/>
      </c>
      <c r="AB51" s="330" t="n"/>
      <c r="AC51" s="327">
        <f>IFERROR(IF(VLOOKUP(B51,Detalle!$A:$AA,$AC$1,0)=0,"Sin datos",IFERROR(VLOOKUP(B51,Detalle!$A:$AA,$AC$1,0),"Sin datos")),"")</f>
        <v/>
      </c>
      <c r="AD51" s="93">
        <f>IFERROR(IF(VLOOKUP(B51,Detalle!$A:$AA,$AD$1,0)=0,"Sin datos",IFERROR(VLOOKUP(B51,Detalle!$A:$AA,$AD$1,0),"Sin datos")),"")</f>
        <v/>
      </c>
      <c r="AE51" s="327">
        <f>IFERROR(IF(VLOOKUP(B51,Detalle!$A:$AA,$AE$1,0)=0,"Sin datos",IFERROR(VLOOKUP(B51,Detalle!$A:$AA,$AE$1,0),"Sin datos")),"")</f>
        <v/>
      </c>
      <c r="AF51" s="93">
        <f>IFERROR(IF(VLOOKUP(B51,Detalle!$A:$AA,$AF$1,0)=0,"Sin datos",IFERROR(VLOOKUP(B51,Detalle!$A:$AA,$AF$1,0),"Sin datos")),"")</f>
        <v/>
      </c>
      <c r="AG51" s="327">
        <f>IFERROR(IF(VLOOKUP(B51,Detalle!$A:$AA,$AG$1,0)=0,"Sin datos",IFERROR(VLOOKUP(B51,Detalle!$A:$AA,$AG$1,0),"Sin datos")),"")</f>
        <v/>
      </c>
      <c r="AH51" s="93">
        <f>IFERROR(IF(VLOOKUP(B51,Detalle!$A:$AA,$AH$1,0)=0,"Sin datos",IFERROR(VLOOKUP(B51,Detalle!$A:$AA,$AH$1,0),"Sin datos")),"")</f>
        <v/>
      </c>
      <c r="AI51" s="98">
        <f>IF(AB51="",IF(MIN(AC51,AE51,AG51)&gt;E51,"Si","No"),IF(MIN(AC51,AG51,AG51)&gt;AB51,"Si","No"))</f>
        <v/>
      </c>
      <c r="AJ51" s="328">
        <f>MIN(AC51,AE51,AG51)</f>
        <v/>
      </c>
      <c r="AK51" s="328">
        <f>IFERROR(IF(MIN(AF51,AH51)=AD51,IF(AE51=AG51,"Escenario 5","Escenario 4"),IF(MIN(AF51,AH51)&lt;AD51,IF(AND(AD51-2&lt;=MIN(AF51,AH51),AE51&lt;&gt;AG51),"Escenario 1",IF(AND(AD51-2&lt;=MIN(AF51,AH51),AE51=AG51),"Escenario 2","Escenario 3")),IF(MIN(AF51,AH51)&gt;AD51,IF(AND(AD51+2&gt;=MIN(AF51,AH51),AE51=AG51),"Escenario 7",IF(AND(AD51+2&gt;=MIN(AF51,AH51),AE51&lt;&gt;AG51),"Escenario 6",IF(AD51+5&lt;=MIN(AF51,AH51),"Escenario 9","Escenario 8"))),"error"))),"Falta info")</f>
        <v/>
      </c>
      <c r="AL51" s="98">
        <f>IFERROR(VLOOKUP(AK51,Base!$BJ$37:$BL$45,3,0),0)</f>
        <v/>
      </c>
      <c r="AM51" s="330">
        <f>IF(LOOKUP(AK51,Base!$X$8:$BG$8)=AK51,VLOOKUP(B51,Base!E:BG,AL51,0),0)</f>
        <v/>
      </c>
      <c r="AN51" s="330" t="n"/>
      <c r="AP51" s="331">
        <f>IF(AM51&lt;=AA51,"REVISAR!","ok")</f>
        <v/>
      </c>
    </row>
    <row customHeight="1" ht="12.95" r="52" s="183" spans="1:43">
      <c r="B52" s="108" t="s">
        <v>104</v>
      </c>
      <c r="C52" s="89" t="s">
        <v>294</v>
      </c>
      <c r="D52" s="106">
        <f>VLOOKUP(B52,Base!E:G,3,0)</f>
        <v/>
      </c>
      <c r="E52" s="326">
        <f>IFERROR(IF(VLOOKUP(B52,Detalle!$A:$AA,$E$1,0)=0,"Sin datos",IFERROR(VLOOKUP(B52,Detalle!$A:$AA,$E$1,0),"Sin datos")),"")</f>
        <v/>
      </c>
      <c r="F52" s="91">
        <f>IFERROR(IF(VLOOKUP(B52,Detalle!$A:$AA,$F$1,0)=0,"Sin datos",IFERROR(VLOOKUP(B52,Detalle!$A:$AA,$F$1,0),"Sin datos")),"")</f>
        <v/>
      </c>
      <c r="G52" s="327">
        <f>IFERROR(IF(VLOOKUP(B52,Detalle!$A:$AA,$G$1,0)=0,"Sin datos",IFERROR(VLOOKUP(B52,Detalle!$A:$AA,$G$1,0),"Sin datos")),"")</f>
        <v/>
      </c>
      <c r="H52" s="93">
        <f>IFERROR(IF(VLOOKUP(B52,Detalle!$A:$AA,$H$1,0)=0,"Sin datos",IFERROR(VLOOKUP(B52,Detalle!$A:$AA,$H$1,0),"Sin datos")),"")</f>
        <v/>
      </c>
      <c r="I52" s="327">
        <f>IFERROR(IF(VLOOKUP(B52,Detalle!$A:$AA,$I$1,0)=0,"Sin datos",IFERROR(VLOOKUP(B52,Detalle!$A:$AA,$I$1,0),"Sin datos")),"")</f>
        <v/>
      </c>
      <c r="J52" s="93">
        <f>IFERROR(IF(VLOOKUP(B52,Detalle!$A:$AA,$J$1,0)=0,"Sin datos",IFERROR(VLOOKUP(B52,Detalle!$A:$AA,$J$1,0),"Sin datos")),"")</f>
        <v/>
      </c>
      <c r="K52" s="98" t="s">
        <v>293</v>
      </c>
      <c r="L52" s="328">
        <f>MIN(E52,G52,I52)</f>
        <v/>
      </c>
      <c r="M52" s="329">
        <f>IFERROR(IF(MIN(H52,J52)=F52,IF(G52=I52,"Escenario 5","Escenario 4"),IF(MIN(H52,J52)&lt;F52,IF(AND(F52-2&lt;=MIN(H52,J52),G52&lt;&gt;I52),"Escenario 1",IF(AND(F52-2&lt;=MIN(H52,J52),G52=I52),"Escenario 2","Escenario 3")),IF(MIN(H52,J52)&gt;F52,IF(AND(F52+2&gt;=MIN(H52,J52),G52=I52),"Escenario 7",IF(AND(F52+2&gt;=MIN(H52,J52),G52&lt;&gt;I52),"Escenario 6",IF(F52+5&lt;=MIN(H52,J52),"Escenario 9","Escenario 8"))),"error"))),"Falta info")</f>
        <v/>
      </c>
      <c r="N52" s="98">
        <f>IFERROR(VLOOKUP(M52,Base!$BJ$28:$BL$36,3,0),0)</f>
        <v/>
      </c>
      <c r="O52" s="330">
        <f>IF(LOOKUP(M52,Base!$X$8:$BG$8)=M52,VLOOKUP(B52,Base!E:BG,N52,0),0)</f>
        <v/>
      </c>
      <c r="P52" s="330" t="n">
        <v>4990</v>
      </c>
      <c r="Q52" s="327">
        <f>IFERROR(IF(VLOOKUP(B52,Detalle!$A:$AA,$Q$1,0)=0,"Sin datos",IFERROR(VLOOKUP(B52,Detalle!$A:$AA,$Q$1,0),"Sin datos")),"")</f>
        <v/>
      </c>
      <c r="R52" s="93">
        <f>IFERROR(IF(VLOOKUP(B52,Detalle!$A:$AA,$R$1,0)=0,"Sin datos",IFERROR(VLOOKUP(B52,Detalle!$A:$AA,$R$1,0),"Sin datos")),"")</f>
        <v/>
      </c>
      <c r="S52" s="327">
        <f>IFERROR(IF(VLOOKUP(B52,Detalle!$A:$AA,$S$1,0)=0,"Sin datos",IFERROR(VLOOKUP(B52,Detalle!$A:$AA,$S$1,0),"Sin datos")),"")</f>
        <v/>
      </c>
      <c r="T52" s="93">
        <f>IFERROR(IF(VLOOKUP(B52,Detalle!$A:$AA,$T$1,0)=0,"Sin datos",IFERROR(VLOOKUP(B52,Detalle!$A:$AA,$T$1,0),"Sin datos")),"")</f>
        <v/>
      </c>
      <c r="U52" s="327">
        <f>IFERROR(IF(VLOOKUP(B52,Detalle!$A:$AA,$U$1,0)=0,"Sin datos",IFERROR(VLOOKUP(B52,Detalle!$A:$AA,$U$1,0),"Sin datos")),"")</f>
        <v/>
      </c>
      <c r="V52" s="93">
        <f>IFERROR(IF(VLOOKUP(B52,Detalle!$A:$AA,$V$1,0)=0,"Sin datos",IFERROR(VLOOKUP(B52,Detalle!$A:$AA,$V$1,0),"Sin datos")),"")</f>
        <v/>
      </c>
      <c r="W52" s="98">
        <f>IF(P52="",IF(MIN(Q52,S52,U52)&gt;E52,"Si","No"),IF(MIN(Q52,S52,U52)&gt;P52,"Si","No"))</f>
        <v/>
      </c>
      <c r="X52" s="328">
        <f>MIN(Q52,S52,U52)</f>
        <v/>
      </c>
      <c r="Y52" s="328">
        <f>IFERROR(IF(MIN(T52,V52)=R52,IF(S52=U52,"Escenario 5","Escenario 4"),IF(MIN(T52,V52)&lt;R52,IF(AND(R52-2&lt;=MIN(T52,V52),S52&lt;&gt;U52),"Escenario 1",IF(AND(R52-2&lt;=MIN(T52,V52),S52=U52),"Escenario 2","Escenario 3")),IF(MIN(T52,V52)&gt;R52,IF(AND(R52+2&gt;=MIN(T52,V52),S52=U52),"Escenario 7",IF(AND(R52+2&gt;=MIN(T52,V52),S52&lt;&gt;U52),"Escenario 6",IF(R52+5&lt;=MIN(T52,V52),"Escenario 9","Escenario 8"))),"error"))),"Falta info")</f>
        <v/>
      </c>
      <c r="Z52" s="98">
        <f>IFERROR(VLOOKUP(Y52,Base!$BJ$19:$BL$27,3,0),0)</f>
        <v/>
      </c>
      <c r="AA52" s="330">
        <f>IF(LOOKUP(Y52,Base!$X$8:$BG$8)=Y52,VLOOKUP(B52,Base!E:BG,Z52,0),0)</f>
        <v/>
      </c>
      <c r="AB52" s="330" t="n">
        <v>10990</v>
      </c>
      <c r="AC52" s="327">
        <f>IFERROR(IF(VLOOKUP(B52,Detalle!$A:$AA,$AC$1,0)=0,"Sin datos",IFERROR(VLOOKUP(B52,Detalle!$A:$AA,$AC$1,0),"Sin datos")),"")</f>
        <v/>
      </c>
      <c r="AD52" s="93">
        <f>IFERROR(IF(VLOOKUP(B52,Detalle!$A:$AA,$AD$1,0)=0,"Sin datos",IFERROR(VLOOKUP(B52,Detalle!$A:$AA,$AD$1,0),"Sin datos")),"")</f>
        <v/>
      </c>
      <c r="AE52" s="327">
        <f>IFERROR(IF(VLOOKUP(B52,Detalle!$A:$AA,$AE$1,0)=0,"Sin datos",IFERROR(VLOOKUP(B52,Detalle!$A:$AA,$AE$1,0),"Sin datos")),"")</f>
        <v/>
      </c>
      <c r="AF52" s="93">
        <f>IFERROR(IF(VLOOKUP(B52,Detalle!$A:$AA,$AF$1,0)=0,"Sin datos",IFERROR(VLOOKUP(B52,Detalle!$A:$AA,$AF$1,0),"Sin datos")),"")</f>
        <v/>
      </c>
      <c r="AG52" s="327">
        <f>IFERROR(IF(VLOOKUP(B52,Detalle!$A:$AA,$AG$1,0)=0,"Sin datos",IFERROR(VLOOKUP(B52,Detalle!$A:$AA,$AG$1,0),"Sin datos")),"")</f>
        <v/>
      </c>
      <c r="AH52" s="93">
        <f>IFERROR(IF(VLOOKUP(B52,Detalle!$A:$AA,$AH$1,0)=0,"Sin datos",IFERROR(VLOOKUP(B52,Detalle!$A:$AA,$AH$1,0),"Sin datos")),"")</f>
        <v/>
      </c>
      <c r="AI52" s="98">
        <f>IF(AB52="",IF(MIN(AC52,AE52,AG52)&gt;E52,"Si","No"),IF(MIN(AC52,AG52,AG52)&gt;AB52,"Si","No"))</f>
        <v/>
      </c>
      <c r="AJ52" s="328">
        <f>MIN(AC52,AE52,AG52)</f>
        <v/>
      </c>
      <c r="AK52" s="328">
        <f>IFERROR(IF(MIN(AF52,AH52)=AD52,IF(AE52=AG52,"Escenario 5","Escenario 4"),IF(MIN(AF52,AH52)&lt;AD52,IF(AND(AD52-2&lt;=MIN(AF52,AH52),AE52&lt;&gt;AG52),"Escenario 1",IF(AND(AD52-2&lt;=MIN(AF52,AH52),AE52=AG52),"Escenario 2","Escenario 3")),IF(MIN(AF52,AH52)&gt;AD52,IF(AND(AD52+2&gt;=MIN(AF52,AH52),AE52=AG52),"Escenario 7",IF(AND(AD52+2&gt;=MIN(AF52,AH52),AE52&lt;&gt;AG52),"Escenario 6",IF(AD52+5&lt;=MIN(AF52,AH52),"Escenario 9","Escenario 8"))),"error"))),"Falta info")</f>
        <v/>
      </c>
      <c r="AL52" s="98">
        <f>IFERROR(VLOOKUP(AK52,Base!$BJ$37:$BL$45,3,0),0)</f>
        <v/>
      </c>
      <c r="AM52" s="330">
        <f>IF(LOOKUP(AK52,Base!$X$8:$BG$8)=AK52,VLOOKUP(B52,Base!E:BG,AL52,0),0)</f>
        <v/>
      </c>
      <c r="AN52" s="330" t="n">
        <v>13990</v>
      </c>
      <c r="AP52" s="331" t="n"/>
    </row>
    <row customHeight="1" ht="12.95" r="53" s="183" spans="1:43">
      <c r="B53" s="108" t="s">
        <v>61</v>
      </c>
      <c r="C53" s="89" t="s">
        <v>294</v>
      </c>
      <c r="D53" s="106">
        <f>VLOOKUP(B53,Base!E:G,3,0)</f>
        <v/>
      </c>
      <c r="E53" s="326">
        <f>IFERROR(IF(VLOOKUP(B53,Detalle!$A:$AA,$E$1,0)=0,"Sin datos",IFERROR(VLOOKUP(B53,Detalle!$A:$AA,$E$1,0),"Sin datos")),"")</f>
        <v/>
      </c>
      <c r="F53" s="91">
        <f>IFERROR(IF(VLOOKUP(B53,Detalle!$A:$AA,$F$1,0)=0,"Sin datos",IFERROR(VLOOKUP(B53,Detalle!$A:$AA,$F$1,0),"Sin datos")),"")</f>
        <v/>
      </c>
      <c r="G53" s="327">
        <f>IFERROR(IF(VLOOKUP(B53,Detalle!$A:$AA,$G$1,0)=0,"Sin datos",IFERROR(VLOOKUP(B53,Detalle!$A:$AA,$G$1,0),"Sin datos")),"")</f>
        <v/>
      </c>
      <c r="H53" s="93">
        <f>IFERROR(IF(VLOOKUP(B53,Detalle!$A:$AA,$H$1,0)=0,"Sin datos",IFERROR(VLOOKUP(B53,Detalle!$A:$AA,$H$1,0),"Sin datos")),"")</f>
        <v/>
      </c>
      <c r="I53" s="327">
        <f>IFERROR(IF(VLOOKUP(B53,Detalle!$A:$AA,$I$1,0)=0,"Sin datos",IFERROR(VLOOKUP(B53,Detalle!$A:$AA,$I$1,0),"Sin datos")),"")</f>
        <v/>
      </c>
      <c r="J53" s="93">
        <f>IFERROR(IF(VLOOKUP(B53,Detalle!$A:$AA,$J$1,0)=0,"Sin datos",IFERROR(VLOOKUP(B53,Detalle!$A:$AA,$J$1,0),"Sin datos")),"")</f>
        <v/>
      </c>
      <c r="K53" s="98" t="s">
        <v>293</v>
      </c>
      <c r="L53" s="328">
        <f>MIN(E53,G53,I53)</f>
        <v/>
      </c>
      <c r="M53" s="329">
        <f>IFERROR(IF(MIN(H53,J53)=F53,IF(G53=I53,"Escenario 5","Escenario 4"),IF(MIN(H53,J53)&lt;F53,IF(AND(F53-2&lt;=MIN(H53,J53),G53&lt;&gt;I53),"Escenario 1",IF(AND(F53-2&lt;=MIN(H53,J53),G53=I53),"Escenario 2","Escenario 3")),IF(MIN(H53,J53)&gt;F53,IF(AND(F53+2&gt;=MIN(H53,J53),G53=I53),"Escenario 7",IF(AND(F53+2&gt;=MIN(H53,J53),G53&lt;&gt;I53),"Escenario 6",IF(F53+5&lt;=MIN(H53,J53),"Escenario 9","Escenario 8"))),"error"))),"Falta info")</f>
        <v/>
      </c>
      <c r="N53" s="98">
        <f>IFERROR(VLOOKUP(M53,Base!$BJ$28:$BL$36,3,0),0)</f>
        <v/>
      </c>
      <c r="O53" s="330">
        <f>IF(LOOKUP(M53,Base!$X$8:$BG$8)=M53,VLOOKUP(B53,Base!E:BG,N53,0),0)</f>
        <v/>
      </c>
      <c r="P53" s="330" t="n"/>
      <c r="Q53" s="327">
        <f>IFERROR(IF(VLOOKUP(B53,Detalle!$A:$AA,$Q$1,0)=0,"Sin datos",IFERROR(VLOOKUP(B53,Detalle!$A:$AA,$Q$1,0),"Sin datos")),"")</f>
        <v/>
      </c>
      <c r="R53" s="93">
        <f>IFERROR(IF(VLOOKUP(B53,Detalle!$A:$AA,$R$1,0)=0,"Sin datos",IFERROR(VLOOKUP(B53,Detalle!$A:$AA,$R$1,0),"Sin datos")),"")</f>
        <v/>
      </c>
      <c r="S53" s="327">
        <f>IFERROR(IF(VLOOKUP(B53,Detalle!$A:$AA,$S$1,0)=0,"Sin datos",IFERROR(VLOOKUP(B53,Detalle!$A:$AA,$S$1,0),"Sin datos")),"")</f>
        <v/>
      </c>
      <c r="T53" s="93">
        <f>IFERROR(IF(VLOOKUP(B53,Detalle!$A:$AA,$T$1,0)=0,"Sin datos",IFERROR(VLOOKUP(B53,Detalle!$A:$AA,$T$1,0),"Sin datos")),"")</f>
        <v/>
      </c>
      <c r="U53" s="327">
        <f>IFERROR(IF(VLOOKUP(B53,Detalle!$A:$AA,$U$1,0)=0,"Sin datos",IFERROR(VLOOKUP(B53,Detalle!$A:$AA,$U$1,0),"Sin datos")),"")</f>
        <v/>
      </c>
      <c r="V53" s="93">
        <f>IFERROR(IF(VLOOKUP(B53,Detalle!$A:$AA,$V$1,0)=0,"Sin datos",IFERROR(VLOOKUP(B53,Detalle!$A:$AA,$V$1,0),"Sin datos")),"")</f>
        <v/>
      </c>
      <c r="W53" s="98">
        <f>IF(P53="",IF(MIN(Q53,S53,U53)&gt;E53,"Si","No"),IF(MIN(Q53,S53,U53)&gt;P53,"Si","No"))</f>
        <v/>
      </c>
      <c r="X53" s="328">
        <f>MIN(Q53,S53,U53)</f>
        <v/>
      </c>
      <c r="Y53" s="328">
        <f>IFERROR(IF(MIN(T53,V53)=R53,IF(S53=U53,"Escenario 5","Escenario 4"),IF(MIN(T53,V53)&lt;R53,IF(AND(R53-2&lt;=MIN(T53,V53),S53&lt;&gt;U53),"Escenario 1",IF(AND(R53-2&lt;=MIN(T53,V53),S53=U53),"Escenario 2","Escenario 3")),IF(MIN(T53,V53)&gt;R53,IF(AND(R53+2&gt;=MIN(T53,V53),S53=U53),"Escenario 7",IF(AND(R53+2&gt;=MIN(T53,V53),S53&lt;&gt;U53),"Escenario 6",IF(R53+5&lt;=MIN(T53,V53),"Escenario 9","Escenario 8"))),"error"))),"Falta info")</f>
        <v/>
      </c>
      <c r="Z53" s="98">
        <f>IFERROR(VLOOKUP(Y53,Base!$BJ$19:$BL$27,3,0),0)</f>
        <v/>
      </c>
      <c r="AA53" s="330">
        <f>IF(LOOKUP(Y53,Base!$X$8:$BG$8)=Y53,VLOOKUP(B53,Base!E:BG,Z53,0),0)</f>
        <v/>
      </c>
      <c r="AB53" s="330" t="n"/>
      <c r="AC53" s="327">
        <f>IFERROR(IF(VLOOKUP(B53,Detalle!$A:$AA,$AC$1,0)=0,"Sin datos",IFERROR(VLOOKUP(B53,Detalle!$A:$AA,$AC$1,0),"Sin datos")),"")</f>
        <v/>
      </c>
      <c r="AD53" s="93">
        <f>IFERROR(IF(VLOOKUP(B53,Detalle!$A:$AA,$AD$1,0)=0,"Sin datos",IFERROR(VLOOKUP(B53,Detalle!$A:$AA,$AD$1,0),"Sin datos")),"")</f>
        <v/>
      </c>
      <c r="AE53" s="327">
        <f>IFERROR(IF(VLOOKUP(B53,Detalle!$A:$AA,$AE$1,0)=0,"Sin datos",IFERROR(VLOOKUP(B53,Detalle!$A:$AA,$AE$1,0),"Sin datos")),"")</f>
        <v/>
      </c>
      <c r="AF53" s="93">
        <f>IFERROR(IF(VLOOKUP(B53,Detalle!$A:$AA,$AF$1,0)=0,"Sin datos",IFERROR(VLOOKUP(B53,Detalle!$A:$AA,$AF$1,0),"Sin datos")),"")</f>
        <v/>
      </c>
      <c r="AG53" s="327">
        <f>IFERROR(IF(VLOOKUP(B53,Detalle!$A:$AA,$AG$1,0)=0,"Sin datos",IFERROR(VLOOKUP(B53,Detalle!$A:$AA,$AG$1,0),"Sin datos")),"")</f>
        <v/>
      </c>
      <c r="AH53" s="93">
        <f>IFERROR(IF(VLOOKUP(B53,Detalle!$A:$AA,$AH$1,0)=0,"Sin datos",IFERROR(VLOOKUP(B53,Detalle!$A:$AA,$AH$1,0),"Sin datos")),"")</f>
        <v/>
      </c>
      <c r="AI53" s="98">
        <f>IF(AB53="",IF(MIN(AC53,AE53,AG53)&gt;E53,"Si","No"),IF(MIN(AC53,AG53,AG53)&gt;AB53,"Si","No"))</f>
        <v/>
      </c>
      <c r="AJ53" s="328">
        <f>MIN(AC53,AE53,AG53)</f>
        <v/>
      </c>
      <c r="AK53" s="328">
        <f>IFERROR(IF(MIN(AF53,AH53)=AD53,IF(AE53=AG53,"Escenario 5","Escenario 4"),IF(MIN(AF53,AH53)&lt;AD53,IF(AND(AD53-2&lt;=MIN(AF53,AH53),AE53&lt;&gt;AG53),"Escenario 1",IF(AND(AD53-2&lt;=MIN(AF53,AH53),AE53=AG53),"Escenario 2","Escenario 3")),IF(MIN(AF53,AH53)&gt;AD53,IF(AND(AD53+2&gt;=MIN(AF53,AH53),AE53=AG53),"Escenario 7",IF(AND(AD53+2&gt;=MIN(AF53,AH53),AE53&lt;&gt;AG53),"Escenario 6",IF(AD53+5&lt;=MIN(AF53,AH53),"Escenario 9","Escenario 8"))),"error"))),"Falta info")</f>
        <v/>
      </c>
      <c r="AL53" s="98">
        <f>IFERROR(VLOOKUP(AK53,Base!$BJ$37:$BL$45,3,0),0)</f>
        <v/>
      </c>
      <c r="AM53" s="330">
        <f>IF(LOOKUP(AK53,Base!$X$8:$BG$8)=AK53,VLOOKUP(B53,Base!E:BG,AL53,0),0)</f>
        <v/>
      </c>
      <c r="AN53" s="330" t="n"/>
      <c r="AP53" s="331">
        <f>IF(AM53&lt;=AA53,"REVISAR!","ok")</f>
        <v/>
      </c>
    </row>
    <row customHeight="1" ht="12.95" r="54" s="183" spans="1:43">
      <c r="B54" s="108" t="s">
        <v>231</v>
      </c>
      <c r="C54" s="89" t="s">
        <v>294</v>
      </c>
      <c r="D54" s="106">
        <f>VLOOKUP(B54,Base!E:G,3,0)</f>
        <v/>
      </c>
      <c r="E54" s="326">
        <f>IFERROR(IF(VLOOKUP(B54,Detalle!$A:$AA,$E$1,0)=0,"Sin datos",IFERROR(VLOOKUP(B54,Detalle!$A:$AA,$E$1,0),"Sin datos")),"")</f>
        <v/>
      </c>
      <c r="F54" s="91">
        <f>IFERROR(IF(VLOOKUP(B54,Detalle!$A:$AA,$F$1,0)=0,"Sin datos",IFERROR(VLOOKUP(B54,Detalle!$A:$AA,$F$1,0),"Sin datos")),"")</f>
        <v/>
      </c>
      <c r="G54" s="327">
        <f>IFERROR(IF(VLOOKUP(B54,Detalle!$A:$AA,$G$1,0)=0,"Sin datos",IFERROR(VLOOKUP(B54,Detalle!$A:$AA,$G$1,0),"Sin datos")),"")</f>
        <v/>
      </c>
      <c r="H54" s="93">
        <f>IFERROR(IF(VLOOKUP(B54,Detalle!$A:$AA,$H$1,0)=0,"Sin datos",IFERROR(VLOOKUP(B54,Detalle!$A:$AA,$H$1,0),"Sin datos")),"")</f>
        <v/>
      </c>
      <c r="I54" s="327">
        <f>IFERROR(IF(VLOOKUP(B54,Detalle!$A:$AA,$I$1,0)=0,"Sin datos",IFERROR(VLOOKUP(B54,Detalle!$A:$AA,$I$1,0),"Sin datos")),"")</f>
        <v/>
      </c>
      <c r="J54" s="93">
        <f>IFERROR(IF(VLOOKUP(B54,Detalle!$A:$AA,$J$1,0)=0,"Sin datos",IFERROR(VLOOKUP(B54,Detalle!$A:$AA,$J$1,0),"Sin datos")),"")</f>
        <v/>
      </c>
      <c r="K54" s="98" t="s">
        <v>293</v>
      </c>
      <c r="L54" s="328">
        <f>MIN(E54,G54,I54)</f>
        <v/>
      </c>
      <c r="M54" s="329">
        <f>IFERROR(IF(MIN(H54,J54)=F54,IF(G54=I54,"Escenario 5","Escenario 4"),IF(MIN(H54,J54)&lt;F54,IF(AND(F54-2&lt;=MIN(H54,J54),G54&lt;&gt;I54),"Escenario 1",IF(AND(F54-2&lt;=MIN(H54,J54),G54=I54),"Escenario 2","Escenario 3")),IF(MIN(H54,J54)&gt;F54,IF(AND(F54+2&gt;=MIN(H54,J54),G54=I54),"Escenario 7",IF(AND(F54+2&gt;=MIN(H54,J54),G54&lt;&gt;I54),"Escenario 6",IF(F54+5&lt;=MIN(H54,J54),"Escenario 9","Escenario 8"))),"error"))),"Falta info")</f>
        <v/>
      </c>
      <c r="N54" s="98">
        <f>IFERROR(VLOOKUP(M54,Base!$BJ$28:$BL$36,3,0),0)</f>
        <v/>
      </c>
      <c r="O54" s="330">
        <f>IF(LOOKUP(M54,Base!$X$8:$BG$8)=M54,VLOOKUP(B54,Base!E:BG,N54,0),0)</f>
        <v/>
      </c>
      <c r="P54" s="330" t="n">
        <v>4990</v>
      </c>
      <c r="Q54" s="327">
        <f>IFERROR(IF(VLOOKUP(B54,Detalle!$A:$AA,$Q$1,0)=0,"Sin datos",IFERROR(VLOOKUP(B54,Detalle!$A:$AA,$Q$1,0),"Sin datos")),"")</f>
        <v/>
      </c>
      <c r="R54" s="93">
        <f>IFERROR(IF(VLOOKUP(B54,Detalle!$A:$AA,$R$1,0)=0,"Sin datos",IFERROR(VLOOKUP(B54,Detalle!$A:$AA,$R$1,0),"Sin datos")),"")</f>
        <v/>
      </c>
      <c r="S54" s="327">
        <f>IFERROR(IF(VLOOKUP(B54,Detalle!$A:$AA,$S$1,0)=0,"Sin datos",IFERROR(VLOOKUP(B54,Detalle!$A:$AA,$S$1,0),"Sin datos")),"")</f>
        <v/>
      </c>
      <c r="T54" s="93">
        <f>IFERROR(IF(VLOOKUP(B54,Detalle!$A:$AA,$T$1,0)=0,"Sin datos",IFERROR(VLOOKUP(B54,Detalle!$A:$AA,$T$1,0),"Sin datos")),"")</f>
        <v/>
      </c>
      <c r="U54" s="327">
        <f>IFERROR(IF(VLOOKUP(B54,Detalle!$A:$AA,$U$1,0)=0,"Sin datos",IFERROR(VLOOKUP(B54,Detalle!$A:$AA,$U$1,0),"Sin datos")),"")</f>
        <v/>
      </c>
      <c r="V54" s="93">
        <f>IFERROR(IF(VLOOKUP(B54,Detalle!$A:$AA,$V$1,0)=0,"Sin datos",IFERROR(VLOOKUP(B54,Detalle!$A:$AA,$V$1,0),"Sin datos")),"")</f>
        <v/>
      </c>
      <c r="W54" s="98">
        <f>IF(P54="",IF(MIN(Q54,S54,U54)&gt;E54,"Si","No"),IF(MIN(Q54,S54,U54)&gt;P54,"Si","No"))</f>
        <v/>
      </c>
      <c r="X54" s="328">
        <f>MIN(Q54,S54,U54)</f>
        <v/>
      </c>
      <c r="Y54" s="328">
        <f>IFERROR(IF(MIN(T54,V54)=R54,IF(S54=U54,"Escenario 5","Escenario 4"),IF(MIN(T54,V54)&lt;R54,IF(AND(R54-2&lt;=MIN(T54,V54),S54&lt;&gt;U54),"Escenario 1",IF(AND(R54-2&lt;=MIN(T54,V54),S54=U54),"Escenario 2","Escenario 3")),IF(MIN(T54,V54)&gt;R54,IF(AND(R54+2&gt;=MIN(T54,V54),S54=U54),"Escenario 7",IF(AND(R54+2&gt;=MIN(T54,V54),S54&lt;&gt;U54),"Escenario 6",IF(R54+5&lt;=MIN(T54,V54),"Escenario 9","Escenario 8"))),"error"))),"Falta info")</f>
        <v/>
      </c>
      <c r="Z54" s="98">
        <f>IFERROR(VLOOKUP(Y54,Base!$BJ$19:$BL$27,3,0),0)</f>
        <v/>
      </c>
      <c r="AA54" s="330">
        <f>IF(LOOKUP(Y54,Base!$X$8:$BG$8)=Y54,VLOOKUP(B54,Base!E:BG,Z54,0),0)</f>
        <v/>
      </c>
      <c r="AB54" s="330" t="n"/>
      <c r="AC54" s="327">
        <f>IFERROR(IF(VLOOKUP(B54,Detalle!$A:$AA,$AC$1,0)=0,"Sin datos",IFERROR(VLOOKUP(B54,Detalle!$A:$AA,$AC$1,0),"Sin datos")),"")</f>
        <v/>
      </c>
      <c r="AD54" s="93">
        <f>IFERROR(IF(VLOOKUP(B54,Detalle!$A:$AA,$AD$1,0)=0,"Sin datos",IFERROR(VLOOKUP(B54,Detalle!$A:$AA,$AD$1,0),"Sin datos")),"")</f>
        <v/>
      </c>
      <c r="AE54" s="327">
        <f>IFERROR(IF(VLOOKUP(B54,Detalle!$A:$AA,$AE$1,0)=0,"Sin datos",IFERROR(VLOOKUP(B54,Detalle!$A:$AA,$AE$1,0),"Sin datos")),"")</f>
        <v/>
      </c>
      <c r="AF54" s="93">
        <f>IFERROR(IF(VLOOKUP(B54,Detalle!$A:$AA,$AF$1,0)=0,"Sin datos",IFERROR(VLOOKUP(B54,Detalle!$A:$AA,$AF$1,0),"Sin datos")),"")</f>
        <v/>
      </c>
      <c r="AG54" s="327">
        <f>IFERROR(IF(VLOOKUP(B54,Detalle!$A:$AA,$AG$1,0)=0,"Sin datos",IFERROR(VLOOKUP(B54,Detalle!$A:$AA,$AG$1,0),"Sin datos")),"")</f>
        <v/>
      </c>
      <c r="AH54" s="93">
        <f>IFERROR(IF(VLOOKUP(B54,Detalle!$A:$AA,$AH$1,0)=0,"Sin datos",IFERROR(VLOOKUP(B54,Detalle!$A:$AA,$AH$1,0),"Sin datos")),"")</f>
        <v/>
      </c>
      <c r="AI54" s="98">
        <f>IF(AB54="",IF(MIN(AC54,AE54,AG54)&gt;E54,"Si","No"),IF(MIN(AC54,AG54,AG54)&gt;AB54,"Si","No"))</f>
        <v/>
      </c>
      <c r="AJ54" s="328">
        <f>MIN(AC54,AE54,AG54)</f>
        <v/>
      </c>
      <c r="AK54" s="328">
        <f>IFERROR(IF(MIN(AF54,AH54)=AD54,IF(AE54=AG54,"Escenario 5","Escenario 4"),IF(MIN(AF54,AH54)&lt;AD54,IF(AND(AD54-2&lt;=MIN(AF54,AH54),AE54&lt;&gt;AG54),"Escenario 1",IF(AND(AD54-2&lt;=MIN(AF54,AH54),AE54=AG54),"Escenario 2","Escenario 3")),IF(MIN(AF54,AH54)&gt;AD54,IF(AND(AD54+2&gt;=MIN(AF54,AH54),AE54=AG54),"Escenario 7",IF(AND(AD54+2&gt;=MIN(AF54,AH54),AE54&lt;&gt;AG54),"Escenario 6",IF(AD54+5&lt;=MIN(AF54,AH54),"Escenario 9","Escenario 8"))),"error"))),"Falta info")</f>
        <v/>
      </c>
      <c r="AL54" s="98">
        <f>IFERROR(VLOOKUP(AK54,Base!$BJ$37:$BL$45,3,0),0)</f>
        <v/>
      </c>
      <c r="AM54" s="330">
        <f>IF(LOOKUP(AK54,Base!$X$8:$BG$8)=AK54,VLOOKUP(B54,Base!E:BG,AL54,0),0)</f>
        <v/>
      </c>
      <c r="AN54" s="330" t="n"/>
      <c r="AP54" s="331">
        <f>IF(AM54&lt;=AA54,"REVISAR!","ok")</f>
        <v/>
      </c>
    </row>
    <row customHeight="1" ht="12.95" r="55" s="183" spans="1:43">
      <c r="B55" s="108" t="s">
        <v>54</v>
      </c>
      <c r="C55" s="89" t="s">
        <v>294</v>
      </c>
      <c r="D55" s="106">
        <f>VLOOKUP(B55,Base!E:G,3,0)</f>
        <v/>
      </c>
      <c r="E55" s="326">
        <f>IFERROR(IF(VLOOKUP(B55,Detalle!$A:$AA,$E$1,0)=0,"Sin datos",IFERROR(VLOOKUP(B55,Detalle!$A:$AA,$E$1,0),"Sin datos")),"")</f>
        <v/>
      </c>
      <c r="F55" s="91">
        <f>IFERROR(IF(VLOOKUP(B55,Detalle!$A:$AA,$F$1,0)=0,"Sin datos",IFERROR(VLOOKUP(B55,Detalle!$A:$AA,$F$1,0),"Sin datos")),"")</f>
        <v/>
      </c>
      <c r="G55" s="327">
        <f>IFERROR(IF(VLOOKUP(B55,Detalle!$A:$AA,$G$1,0)=0,"Sin datos",IFERROR(VLOOKUP(B55,Detalle!$A:$AA,$G$1,0),"Sin datos")),"")</f>
        <v/>
      </c>
      <c r="H55" s="93">
        <f>IFERROR(IF(VLOOKUP(B55,Detalle!$A:$AA,$H$1,0)=0,"Sin datos",IFERROR(VLOOKUP(B55,Detalle!$A:$AA,$H$1,0),"Sin datos")),"")</f>
        <v/>
      </c>
      <c r="I55" s="327">
        <f>IFERROR(IF(VLOOKUP(B55,Detalle!$A:$AA,$I$1,0)=0,"Sin datos",IFERROR(VLOOKUP(B55,Detalle!$A:$AA,$I$1,0),"Sin datos")),"")</f>
        <v/>
      </c>
      <c r="J55" s="93">
        <f>IFERROR(IF(VLOOKUP(B55,Detalle!$A:$AA,$J$1,0)=0,"Sin datos",IFERROR(VLOOKUP(B55,Detalle!$A:$AA,$J$1,0),"Sin datos")),"")</f>
        <v/>
      </c>
      <c r="K55" s="98" t="s">
        <v>293</v>
      </c>
      <c r="L55" s="328">
        <f>MIN(E55,G55,I55)</f>
        <v/>
      </c>
      <c r="M55" s="329">
        <f>IFERROR(IF(MIN(H55,J55)=F55,IF(G55=I55,"Escenario 5","Escenario 4"),IF(MIN(H55,J55)&lt;F55,IF(AND(F55-2&lt;=MIN(H55,J55),G55&lt;&gt;I55),"Escenario 1",IF(AND(F55-2&lt;=MIN(H55,J55),G55=I55),"Escenario 2","Escenario 3")),IF(MIN(H55,J55)&gt;F55,IF(AND(F55+2&gt;=MIN(H55,J55),G55=I55),"Escenario 7",IF(AND(F55+2&gt;=MIN(H55,J55),G55&lt;&gt;I55),"Escenario 6",IF(F55+5&lt;=MIN(H55,J55),"Escenario 9","Escenario 8"))),"error"))),"Falta info")</f>
        <v/>
      </c>
      <c r="N55" s="98">
        <f>IFERROR(VLOOKUP(M55,Base!$BJ$28:$BL$36,3,0),0)</f>
        <v/>
      </c>
      <c r="O55" s="330">
        <f>IF(LOOKUP(M55,Base!$X$8:$BG$8)=M55,VLOOKUP(B55,Base!E:BG,N55,0),0)</f>
        <v/>
      </c>
      <c r="P55" s="330" t="n"/>
      <c r="Q55" s="327">
        <f>IFERROR(IF(VLOOKUP(B55,Detalle!$A:$AA,$Q$1,0)=0,"Sin datos",IFERROR(VLOOKUP(B55,Detalle!$A:$AA,$Q$1,0),"Sin datos")),"")</f>
        <v/>
      </c>
      <c r="R55" s="93">
        <f>IFERROR(IF(VLOOKUP(B55,Detalle!$A:$AA,$R$1,0)=0,"Sin datos",IFERROR(VLOOKUP(B55,Detalle!$A:$AA,$R$1,0),"Sin datos")),"")</f>
        <v/>
      </c>
      <c r="S55" s="327">
        <f>IFERROR(IF(VLOOKUP(B55,Detalle!$A:$AA,$S$1,0)=0,"Sin datos",IFERROR(VLOOKUP(B55,Detalle!$A:$AA,$S$1,0),"Sin datos")),"")</f>
        <v/>
      </c>
      <c r="T55" s="93">
        <f>IFERROR(IF(VLOOKUP(B55,Detalle!$A:$AA,$T$1,0)=0,"Sin datos",IFERROR(VLOOKUP(B55,Detalle!$A:$AA,$T$1,0),"Sin datos")),"")</f>
        <v/>
      </c>
      <c r="U55" s="327">
        <f>IFERROR(IF(VLOOKUP(B55,Detalle!$A:$AA,$U$1,0)=0,"Sin datos",IFERROR(VLOOKUP(B55,Detalle!$A:$AA,$U$1,0),"Sin datos")),"")</f>
        <v/>
      </c>
      <c r="V55" s="93">
        <f>IFERROR(IF(VLOOKUP(B55,Detalle!$A:$AA,$V$1,0)=0,"Sin datos",IFERROR(VLOOKUP(B55,Detalle!$A:$AA,$V$1,0),"Sin datos")),"")</f>
        <v/>
      </c>
      <c r="W55" s="98">
        <f>IF(P55="",IF(MIN(Q55,S55,U55)&gt;E55,"Si","No"),IF(MIN(Q55,S55,U55)&gt;P55,"Si","No"))</f>
        <v/>
      </c>
      <c r="X55" s="328">
        <f>MIN(Q55,S55,U55)</f>
        <v/>
      </c>
      <c r="Y55" s="328">
        <f>IFERROR(IF(MIN(T55,V55)=R55,IF(S55=U55,"Escenario 5","Escenario 4"),IF(MIN(T55,V55)&lt;R55,IF(AND(R55-2&lt;=MIN(T55,V55),S55&lt;&gt;U55),"Escenario 1",IF(AND(R55-2&lt;=MIN(T55,V55),S55=U55),"Escenario 2","Escenario 3")),IF(MIN(T55,V55)&gt;R55,IF(AND(R55+2&gt;=MIN(T55,V55),S55=U55),"Escenario 7",IF(AND(R55+2&gt;=MIN(T55,V55),S55&lt;&gt;U55),"Escenario 6",IF(R55+5&lt;=MIN(T55,V55),"Escenario 9","Escenario 8"))),"error"))),"Falta info")</f>
        <v/>
      </c>
      <c r="Z55" s="98">
        <f>IFERROR(VLOOKUP(Y55,Base!$BJ$19:$BL$27,3,0),0)</f>
        <v/>
      </c>
      <c r="AA55" s="330">
        <f>IF(LOOKUP(Y55,Base!$X$8:$BG$8)=Y55,VLOOKUP(B55,Base!E:BG,Z55,0),0)</f>
        <v/>
      </c>
      <c r="AB55" s="330" t="n"/>
      <c r="AC55" s="327">
        <f>IFERROR(IF(VLOOKUP(B55,Detalle!$A:$AA,$AC$1,0)=0,"Sin datos",IFERROR(VLOOKUP(B55,Detalle!$A:$AA,$AC$1,0),"Sin datos")),"")</f>
        <v/>
      </c>
      <c r="AD55" s="93">
        <f>IFERROR(IF(VLOOKUP(B55,Detalle!$A:$AA,$AD$1,0)=0,"Sin datos",IFERROR(VLOOKUP(B55,Detalle!$A:$AA,$AD$1,0),"Sin datos")),"")</f>
        <v/>
      </c>
      <c r="AE55" s="327">
        <f>IFERROR(IF(VLOOKUP(B55,Detalle!$A:$AA,$AE$1,0)=0,"Sin datos",IFERROR(VLOOKUP(B55,Detalle!$A:$AA,$AE$1,0),"Sin datos")),"")</f>
        <v/>
      </c>
      <c r="AF55" s="93">
        <f>IFERROR(IF(VLOOKUP(B55,Detalle!$A:$AA,$AF$1,0)=0,"Sin datos",IFERROR(VLOOKUP(B55,Detalle!$A:$AA,$AF$1,0),"Sin datos")),"")</f>
        <v/>
      </c>
      <c r="AG55" s="327">
        <f>IFERROR(IF(VLOOKUP(B55,Detalle!$A:$AA,$AG$1,0)=0,"Sin datos",IFERROR(VLOOKUP(B55,Detalle!$A:$AA,$AG$1,0),"Sin datos")),"")</f>
        <v/>
      </c>
      <c r="AH55" s="93">
        <f>IFERROR(IF(VLOOKUP(B55,Detalle!$A:$AA,$AH$1,0)=0,"Sin datos",IFERROR(VLOOKUP(B55,Detalle!$A:$AA,$AH$1,0),"Sin datos")),"")</f>
        <v/>
      </c>
      <c r="AI55" s="98">
        <f>IF(AB55="",IF(MIN(AC55,AE55,AG55)&gt;E55,"Si","No"),IF(MIN(AC55,AG55,AG55)&gt;AB55,"Si","No"))</f>
        <v/>
      </c>
      <c r="AJ55" s="328">
        <f>MIN(AC55,AE55,AG55)</f>
        <v/>
      </c>
      <c r="AK55" s="328">
        <f>IFERROR(IF(MIN(AF55,AH55)=AD55,IF(AE55=AG55,"Escenario 5","Escenario 4"),IF(MIN(AF55,AH55)&lt;AD55,IF(AND(AD55-2&lt;=MIN(AF55,AH55),AE55&lt;&gt;AG55),"Escenario 1",IF(AND(AD55-2&lt;=MIN(AF55,AH55),AE55=AG55),"Escenario 2","Escenario 3")),IF(MIN(AF55,AH55)&gt;AD55,IF(AND(AD55+2&gt;=MIN(AF55,AH55),AE55=AG55),"Escenario 7",IF(AND(AD55+2&gt;=MIN(AF55,AH55),AE55&lt;&gt;AG55),"Escenario 6",IF(AD55+5&lt;=MIN(AF55,AH55),"Escenario 9","Escenario 8"))),"error"))),"Falta info")</f>
        <v/>
      </c>
      <c r="AL55" s="98">
        <f>IFERROR(VLOOKUP(AK55,Base!$BJ$37:$BL$45,3,0),0)</f>
        <v/>
      </c>
      <c r="AM55" s="330">
        <f>IF(LOOKUP(AK55,Base!$X$8:$BG$8)=AK55,VLOOKUP(B55,Base!E:BG,AL55,0),0)</f>
        <v/>
      </c>
      <c r="AN55" s="330" t="n"/>
      <c r="AP55" s="331">
        <f>IF(AM55&lt;=AA55,"REVISAR!","ok")</f>
        <v/>
      </c>
    </row>
    <row customHeight="1" ht="12.95" r="56" s="183" spans="1:43">
      <c r="B56" s="108" t="s">
        <v>70</v>
      </c>
      <c r="C56" s="89" t="s">
        <v>294</v>
      </c>
      <c r="D56" s="106">
        <f>VLOOKUP(B56,Base!E:G,3,0)</f>
        <v/>
      </c>
      <c r="E56" s="326">
        <f>IFERROR(IF(VLOOKUP(B56,Detalle!$A:$AA,$E$1,0)=0,"Sin datos",IFERROR(VLOOKUP(B56,Detalle!$A:$AA,$E$1,0),"Sin datos")),"")</f>
        <v/>
      </c>
      <c r="F56" s="91">
        <f>IFERROR(IF(VLOOKUP(B56,Detalle!$A:$AA,$F$1,0)=0,"Sin datos",IFERROR(VLOOKUP(B56,Detalle!$A:$AA,$F$1,0),"Sin datos")),"")</f>
        <v/>
      </c>
      <c r="G56" s="327">
        <f>IFERROR(IF(VLOOKUP(B56,Detalle!$A:$AA,$G$1,0)=0,"Sin datos",IFERROR(VLOOKUP(B56,Detalle!$A:$AA,$G$1,0),"Sin datos")),"")</f>
        <v/>
      </c>
      <c r="H56" s="93">
        <f>IFERROR(IF(VLOOKUP(B56,Detalle!$A:$AA,$H$1,0)=0,"Sin datos",IFERROR(VLOOKUP(B56,Detalle!$A:$AA,$H$1,0),"Sin datos")),"")</f>
        <v/>
      </c>
      <c r="I56" s="327">
        <f>IFERROR(IF(VLOOKUP(B56,Detalle!$A:$AA,$I$1,0)=0,"Sin datos",IFERROR(VLOOKUP(B56,Detalle!$A:$AA,$I$1,0),"Sin datos")),"")</f>
        <v/>
      </c>
      <c r="J56" s="93">
        <f>IFERROR(IF(VLOOKUP(B56,Detalle!$A:$AA,$J$1,0)=0,"Sin datos",IFERROR(VLOOKUP(B56,Detalle!$A:$AA,$J$1,0),"Sin datos")),"")</f>
        <v/>
      </c>
      <c r="K56" s="98" t="s">
        <v>293</v>
      </c>
      <c r="L56" s="328">
        <f>MIN(E56,G56,I56)</f>
        <v/>
      </c>
      <c r="M56" s="329">
        <f>IFERROR(IF(MIN(H56,J56)=F56,IF(G56=I56,"Escenario 5","Escenario 4"),IF(MIN(H56,J56)&lt;F56,IF(AND(F56-2&lt;=MIN(H56,J56),G56&lt;&gt;I56),"Escenario 1",IF(AND(F56-2&lt;=MIN(H56,J56),G56=I56),"Escenario 2","Escenario 3")),IF(MIN(H56,J56)&gt;F56,IF(AND(F56+2&gt;=MIN(H56,J56),G56=I56),"Escenario 7",IF(AND(F56+2&gt;=MIN(H56,J56),G56&lt;&gt;I56),"Escenario 6",IF(F56+5&lt;=MIN(H56,J56),"Escenario 9","Escenario 8"))),"error"))),"Falta info")</f>
        <v/>
      </c>
      <c r="N56" s="98">
        <f>IFERROR(VLOOKUP(M56,Base!$BJ$28:$BL$36,3,0),0)</f>
        <v/>
      </c>
      <c r="O56" s="330">
        <f>IF(LOOKUP(M56,Base!$X$8:$BG$8)=M56,VLOOKUP(B56,Base!E:BG,N56,0),0)</f>
        <v/>
      </c>
      <c r="P56" s="330" t="n"/>
      <c r="Q56" s="327">
        <f>IFERROR(IF(VLOOKUP(B56,Detalle!$A:$AA,$Q$1,0)=0,"Sin datos",IFERROR(VLOOKUP(B56,Detalle!$A:$AA,$Q$1,0),"Sin datos")),"")</f>
        <v/>
      </c>
      <c r="R56" s="93">
        <f>IFERROR(IF(VLOOKUP(B56,Detalle!$A:$AA,$R$1,0)=0,"Sin datos",IFERROR(VLOOKUP(B56,Detalle!$A:$AA,$R$1,0),"Sin datos")),"")</f>
        <v/>
      </c>
      <c r="S56" s="327">
        <f>IFERROR(IF(VLOOKUP(B56,Detalle!$A:$AA,$S$1,0)=0,"Sin datos",IFERROR(VLOOKUP(B56,Detalle!$A:$AA,$S$1,0),"Sin datos")),"")</f>
        <v/>
      </c>
      <c r="T56" s="93">
        <f>IFERROR(IF(VLOOKUP(B56,Detalle!$A:$AA,$T$1,0)=0,"Sin datos",IFERROR(VLOOKUP(B56,Detalle!$A:$AA,$T$1,0),"Sin datos")),"")</f>
        <v/>
      </c>
      <c r="U56" s="327">
        <f>IFERROR(IF(VLOOKUP(B56,Detalle!$A:$AA,$U$1,0)=0,"Sin datos",IFERROR(VLOOKUP(B56,Detalle!$A:$AA,$U$1,0),"Sin datos")),"")</f>
        <v/>
      </c>
      <c r="V56" s="93">
        <f>IFERROR(IF(VLOOKUP(B56,Detalle!$A:$AA,$V$1,0)=0,"Sin datos",IFERROR(VLOOKUP(B56,Detalle!$A:$AA,$V$1,0),"Sin datos")),"")</f>
        <v/>
      </c>
      <c r="W56" s="98">
        <f>IF(P56="",IF(MIN(Q56,S56,U56)&gt;E56,"Si","No"),IF(MIN(Q56,S56,U56)&gt;P56,"Si","No"))</f>
        <v/>
      </c>
      <c r="X56" s="328">
        <f>MIN(Q56,S56,U56)</f>
        <v/>
      </c>
      <c r="Y56" s="328">
        <f>IFERROR(IF(MIN(T56,V56)=R56,IF(S56=U56,"Escenario 5","Escenario 4"),IF(MIN(T56,V56)&lt;R56,IF(AND(R56-2&lt;=MIN(T56,V56),S56&lt;&gt;U56),"Escenario 1",IF(AND(R56-2&lt;=MIN(T56,V56),S56=U56),"Escenario 2","Escenario 3")),IF(MIN(T56,V56)&gt;R56,IF(AND(R56+2&gt;=MIN(T56,V56),S56=U56),"Escenario 7",IF(AND(R56+2&gt;=MIN(T56,V56),S56&lt;&gt;U56),"Escenario 6",IF(R56+5&lt;=MIN(T56,V56),"Escenario 9","Escenario 8"))),"error"))),"Falta info")</f>
        <v/>
      </c>
      <c r="Z56" s="98">
        <f>IFERROR(VLOOKUP(Y56,Base!$BJ$19:$BL$27,3,0),0)</f>
        <v/>
      </c>
      <c r="AA56" s="330">
        <f>IF(LOOKUP(Y56,Base!$X$8:$BG$8)=Y56,VLOOKUP(B56,Base!E:BG,Z56,0),0)</f>
        <v/>
      </c>
      <c r="AB56" s="330" t="n">
        <v>16990</v>
      </c>
      <c r="AC56" s="327">
        <f>IFERROR(IF(VLOOKUP(B56,Detalle!$A:$AA,$AC$1,0)=0,"Sin datos",IFERROR(VLOOKUP(B56,Detalle!$A:$AA,$AC$1,0),"Sin datos")),"")</f>
        <v/>
      </c>
      <c r="AD56" s="93">
        <f>IFERROR(IF(VLOOKUP(B56,Detalle!$A:$AA,$AD$1,0)=0,"Sin datos",IFERROR(VLOOKUP(B56,Detalle!$A:$AA,$AD$1,0),"Sin datos")),"")</f>
        <v/>
      </c>
      <c r="AE56" s="327">
        <f>IFERROR(IF(VLOOKUP(B56,Detalle!$A:$AA,$AE$1,0)=0,"Sin datos",IFERROR(VLOOKUP(B56,Detalle!$A:$AA,$AE$1,0),"Sin datos")),"")</f>
        <v/>
      </c>
      <c r="AF56" s="93">
        <f>IFERROR(IF(VLOOKUP(B56,Detalle!$A:$AA,$AF$1,0)=0,"Sin datos",IFERROR(VLOOKUP(B56,Detalle!$A:$AA,$AF$1,0),"Sin datos")),"")</f>
        <v/>
      </c>
      <c r="AG56" s="327">
        <f>IFERROR(IF(VLOOKUP(B56,Detalle!$A:$AA,$AG$1,0)=0,"Sin datos",IFERROR(VLOOKUP(B56,Detalle!$A:$AA,$AG$1,0),"Sin datos")),"")</f>
        <v/>
      </c>
      <c r="AH56" s="93">
        <f>IFERROR(IF(VLOOKUP(B56,Detalle!$A:$AA,$AH$1,0)=0,"Sin datos",IFERROR(VLOOKUP(B56,Detalle!$A:$AA,$AH$1,0),"Sin datos")),"")</f>
        <v/>
      </c>
      <c r="AI56" s="98">
        <f>IF(AB56="",IF(MIN(AC56,AE56,AG56)&gt;E56,"Si","No"),IF(MIN(AC56,AG56,AG56)&gt;AB56,"Si","No"))</f>
        <v/>
      </c>
      <c r="AJ56" s="328">
        <f>MIN(AC56,AE56,AG56)</f>
        <v/>
      </c>
      <c r="AK56" s="328">
        <f>IFERROR(IF(MIN(AF56,AH56)=AD56,IF(AE56=AG56,"Escenario 5","Escenario 4"),IF(MIN(AF56,AH56)&lt;AD56,IF(AND(AD56-2&lt;=MIN(AF56,AH56),AE56&lt;&gt;AG56),"Escenario 1",IF(AND(AD56-2&lt;=MIN(AF56,AH56),AE56=AG56),"Escenario 2","Escenario 3")),IF(MIN(AF56,AH56)&gt;AD56,IF(AND(AD56+2&gt;=MIN(AF56,AH56),AE56=AG56),"Escenario 7",IF(AND(AD56+2&gt;=MIN(AF56,AH56),AE56&lt;&gt;AG56),"Escenario 6",IF(AD56+5&lt;=MIN(AF56,AH56),"Escenario 9","Escenario 8"))),"error"))),"Falta info")</f>
        <v/>
      </c>
      <c r="AL56" s="98">
        <f>IFERROR(VLOOKUP(AK56,Base!$BJ$37:$BL$45,3,0),0)</f>
        <v/>
      </c>
      <c r="AM56" s="330">
        <f>IF(LOOKUP(AK56,Base!$X$8:$BG$8)=AK56,VLOOKUP(B56,Base!E:BG,AL56,0),0)</f>
        <v/>
      </c>
      <c r="AN56" s="330" t="n">
        <v>17990</v>
      </c>
      <c r="AP56" s="331" t="n"/>
    </row>
    <row customHeight="1" ht="12.95" r="57" s="183" spans="1:43">
      <c r="B57" s="108" t="s">
        <v>250</v>
      </c>
      <c r="C57" s="89" t="s">
        <v>294</v>
      </c>
      <c r="D57" s="106">
        <f>VLOOKUP(B57,Base!E:G,3,0)</f>
        <v/>
      </c>
      <c r="E57" s="326">
        <f>IFERROR(IF(VLOOKUP(B57,Detalle!$A:$AA,$E$1,0)=0,"Sin datos",IFERROR(VLOOKUP(B57,Detalle!$A:$AA,$E$1,0),"Sin datos")),"")</f>
        <v/>
      </c>
      <c r="F57" s="91">
        <f>IFERROR(IF(VLOOKUP(B57,Detalle!$A:$AA,$F$1,0)=0,"Sin datos",IFERROR(VLOOKUP(B57,Detalle!$A:$AA,$F$1,0),"Sin datos")),"")</f>
        <v/>
      </c>
      <c r="G57" s="327">
        <f>IFERROR(IF(VLOOKUP(B57,Detalle!$A:$AA,$G$1,0)=0,"Sin datos",IFERROR(VLOOKUP(B57,Detalle!$A:$AA,$G$1,0),"Sin datos")),"")</f>
        <v/>
      </c>
      <c r="H57" s="93">
        <f>IFERROR(IF(VLOOKUP(B57,Detalle!$A:$AA,$H$1,0)=0,"Sin datos",IFERROR(VLOOKUP(B57,Detalle!$A:$AA,$H$1,0),"Sin datos")),"")</f>
        <v/>
      </c>
      <c r="I57" s="327">
        <f>IFERROR(IF(VLOOKUP(B57,Detalle!$A:$AA,$I$1,0)=0,"Sin datos",IFERROR(VLOOKUP(B57,Detalle!$A:$AA,$I$1,0),"Sin datos")),"")</f>
        <v/>
      </c>
      <c r="J57" s="93">
        <f>IFERROR(IF(VLOOKUP(B57,Detalle!$A:$AA,$J$1,0)=0,"Sin datos",IFERROR(VLOOKUP(B57,Detalle!$A:$AA,$J$1,0),"Sin datos")),"")</f>
        <v/>
      </c>
      <c r="K57" s="98" t="s">
        <v>293</v>
      </c>
      <c r="L57" s="328">
        <f>MIN(E57,G57,I57)</f>
        <v/>
      </c>
      <c r="M57" s="329">
        <f>IFERROR(IF(MIN(H57,J57)=F57,IF(G57=I57,"Escenario 5","Escenario 4"),IF(MIN(H57,J57)&lt;F57,IF(AND(F57-2&lt;=MIN(H57,J57),G57&lt;&gt;I57),"Escenario 1",IF(AND(F57-2&lt;=MIN(H57,J57),G57=I57),"Escenario 2","Escenario 3")),IF(MIN(H57,J57)&gt;F57,IF(AND(F57+2&gt;=MIN(H57,J57),G57=I57),"Escenario 7",IF(AND(F57+2&gt;=MIN(H57,J57),G57&lt;&gt;I57),"Escenario 6",IF(F57+5&lt;=MIN(H57,J57),"Escenario 9","Escenario 8"))),"error"))),"Falta info")</f>
        <v/>
      </c>
      <c r="N57" s="98">
        <f>IFERROR(VLOOKUP(M57,Base!$BJ$28:$BL$36,3,0),0)</f>
        <v/>
      </c>
      <c r="O57" s="330">
        <f>IF(LOOKUP(M57,Base!$X$8:$BG$8)=M57,VLOOKUP(B57,Base!E:BG,N57,0),0)</f>
        <v/>
      </c>
      <c r="P57" s="330" t="n">
        <v>4990</v>
      </c>
      <c r="Q57" s="327">
        <f>IFERROR(IF(VLOOKUP(B57,Detalle!$A:$AA,$Q$1,0)=0,"Sin datos",IFERROR(VLOOKUP(B57,Detalle!$A:$AA,$Q$1,0),"Sin datos")),"")</f>
        <v/>
      </c>
      <c r="R57" s="93">
        <f>IFERROR(IF(VLOOKUP(B57,Detalle!$A:$AA,$R$1,0)=0,"Sin datos",IFERROR(VLOOKUP(B57,Detalle!$A:$AA,$R$1,0),"Sin datos")),"")</f>
        <v/>
      </c>
      <c r="S57" s="327">
        <f>IFERROR(IF(VLOOKUP(B57,Detalle!$A:$AA,$S$1,0)=0,"Sin datos",IFERROR(VLOOKUP(B57,Detalle!$A:$AA,$S$1,0),"Sin datos")),"")</f>
        <v/>
      </c>
      <c r="T57" s="93">
        <f>IFERROR(IF(VLOOKUP(B57,Detalle!$A:$AA,$T$1,0)=0,"Sin datos",IFERROR(VLOOKUP(B57,Detalle!$A:$AA,$T$1,0),"Sin datos")),"")</f>
        <v/>
      </c>
      <c r="U57" s="327">
        <f>IFERROR(IF(VLOOKUP(B57,Detalle!$A:$AA,$U$1,0)=0,"Sin datos",IFERROR(VLOOKUP(B57,Detalle!$A:$AA,$U$1,0),"Sin datos")),"")</f>
        <v/>
      </c>
      <c r="V57" s="93">
        <f>IFERROR(IF(VLOOKUP(B57,Detalle!$A:$AA,$V$1,0)=0,"Sin datos",IFERROR(VLOOKUP(B57,Detalle!$A:$AA,$V$1,0),"Sin datos")),"")</f>
        <v/>
      </c>
      <c r="W57" s="98">
        <f>IF(P57="",IF(MIN(Q57,S57,U57)&gt;E57,"Si","No"),IF(MIN(Q57,S57,U57)&gt;P57,"Si","No"))</f>
        <v/>
      </c>
      <c r="X57" s="328">
        <f>MIN(Q57,S57,U57)</f>
        <v/>
      </c>
      <c r="Y57" s="328">
        <f>IFERROR(IF(MIN(T57,V57)=R57,IF(S57=U57,"Escenario 5","Escenario 4"),IF(MIN(T57,V57)&lt;R57,IF(AND(R57-2&lt;=MIN(T57,V57),S57&lt;&gt;U57),"Escenario 1",IF(AND(R57-2&lt;=MIN(T57,V57),S57=U57),"Escenario 2","Escenario 3")),IF(MIN(T57,V57)&gt;R57,IF(AND(R57+2&gt;=MIN(T57,V57),S57=U57),"Escenario 7",IF(AND(R57+2&gt;=MIN(T57,V57),S57&lt;&gt;U57),"Escenario 6",IF(R57+5&lt;=MIN(T57,V57),"Escenario 9","Escenario 8"))),"error"))),"Falta info")</f>
        <v/>
      </c>
      <c r="Z57" s="98">
        <f>IFERROR(VLOOKUP(Y57,Base!$BJ$19:$BL$27,3,0),0)</f>
        <v/>
      </c>
      <c r="AA57" s="330">
        <f>IF(LOOKUP(Y57,Base!$X$8:$BG$8)=Y57,VLOOKUP(B57,Base!E:BG,Z57,0),0)</f>
        <v/>
      </c>
      <c r="AB57" s="330" t="n"/>
      <c r="AC57" s="327">
        <f>IFERROR(IF(VLOOKUP(B57,Detalle!$A:$AA,$AC$1,0)=0,"Sin datos",IFERROR(VLOOKUP(B57,Detalle!$A:$AA,$AC$1,0),"Sin datos")),"")</f>
        <v/>
      </c>
      <c r="AD57" s="93">
        <f>IFERROR(IF(VLOOKUP(B57,Detalle!$A:$AA,$AD$1,0)=0,"Sin datos",IFERROR(VLOOKUP(B57,Detalle!$A:$AA,$AD$1,0),"Sin datos")),"")</f>
        <v/>
      </c>
      <c r="AE57" s="327">
        <f>IFERROR(IF(VLOOKUP(B57,Detalle!$A:$AA,$AE$1,0)=0,"Sin datos",IFERROR(VLOOKUP(B57,Detalle!$A:$AA,$AE$1,0),"Sin datos")),"")</f>
        <v/>
      </c>
      <c r="AF57" s="93">
        <f>IFERROR(IF(VLOOKUP(B57,Detalle!$A:$AA,$AF$1,0)=0,"Sin datos",IFERROR(VLOOKUP(B57,Detalle!$A:$AA,$AF$1,0),"Sin datos")),"")</f>
        <v/>
      </c>
      <c r="AG57" s="327">
        <f>IFERROR(IF(VLOOKUP(B57,Detalle!$A:$AA,$AG$1,0)=0,"Sin datos",IFERROR(VLOOKUP(B57,Detalle!$A:$AA,$AG$1,0),"Sin datos")),"")</f>
        <v/>
      </c>
      <c r="AH57" s="93">
        <f>IFERROR(IF(VLOOKUP(B57,Detalle!$A:$AA,$AH$1,0)=0,"Sin datos",IFERROR(VLOOKUP(B57,Detalle!$A:$AA,$AH$1,0),"Sin datos")),"")</f>
        <v/>
      </c>
      <c r="AI57" s="98">
        <f>IF(AB57="",IF(MIN(AC57,AE57,AG57)&gt;E57,"Si","No"),IF(MIN(AC57,AG57,AG57)&gt;AB57,"Si","No"))</f>
        <v/>
      </c>
      <c r="AJ57" s="328">
        <f>MIN(AC57,AE57,AG57)</f>
        <v/>
      </c>
      <c r="AK57" s="328">
        <f>IFERROR(IF(MIN(AF57,AH57)=AD57,IF(AE57=AG57,"Escenario 5","Escenario 4"),IF(MIN(AF57,AH57)&lt;AD57,IF(AND(AD57-2&lt;=MIN(AF57,AH57),AE57&lt;&gt;AG57),"Escenario 1",IF(AND(AD57-2&lt;=MIN(AF57,AH57),AE57=AG57),"Escenario 2","Escenario 3")),IF(MIN(AF57,AH57)&gt;AD57,IF(AND(AD57+2&gt;=MIN(AF57,AH57),AE57=AG57),"Escenario 7",IF(AND(AD57+2&gt;=MIN(AF57,AH57),AE57&lt;&gt;AG57),"Escenario 6",IF(AD57+5&lt;=MIN(AF57,AH57),"Escenario 9","Escenario 8"))),"error"))),"Falta info")</f>
        <v/>
      </c>
      <c r="AL57" s="98">
        <f>IFERROR(VLOOKUP(AK57,Base!$BJ$37:$BL$45,3,0),0)</f>
        <v/>
      </c>
      <c r="AM57" s="330">
        <f>IF(LOOKUP(AK57,Base!$X$8:$BG$8)=AK57,VLOOKUP(B57,Base!E:BG,AL57,0),0)</f>
        <v/>
      </c>
      <c r="AN57" s="330" t="n"/>
      <c r="AP57" s="331">
        <f>IF(AM57&lt;=AA57,"REVISAR!","ok")</f>
        <v/>
      </c>
    </row>
    <row customHeight="1" ht="12.95" r="58" s="183" spans="1:43">
      <c r="B58" s="108" t="s">
        <v>65</v>
      </c>
      <c r="C58" s="89" t="s">
        <v>294</v>
      </c>
      <c r="D58" s="106">
        <f>VLOOKUP(B58,Base!E:G,3,0)</f>
        <v/>
      </c>
      <c r="E58" s="326">
        <f>IFERROR(IF(VLOOKUP(B58,Detalle!$A:$AA,$E$1,0)=0,"Sin datos",IFERROR(VLOOKUP(B58,Detalle!$A:$AA,$E$1,0),"Sin datos")),"")</f>
        <v/>
      </c>
      <c r="F58" s="91">
        <f>IFERROR(IF(VLOOKUP(B58,Detalle!$A:$AA,$F$1,0)=0,"Sin datos",IFERROR(VLOOKUP(B58,Detalle!$A:$AA,$F$1,0),"Sin datos")),"")</f>
        <v/>
      </c>
      <c r="G58" s="327">
        <f>IFERROR(IF(VLOOKUP(B58,Detalle!$A:$AA,$G$1,0)=0,"Sin datos",IFERROR(VLOOKUP(B58,Detalle!$A:$AA,$G$1,0),"Sin datos")),"")</f>
        <v/>
      </c>
      <c r="H58" s="93">
        <f>IFERROR(IF(VLOOKUP(B58,Detalle!$A:$AA,$H$1,0)=0,"Sin datos",IFERROR(VLOOKUP(B58,Detalle!$A:$AA,$H$1,0),"Sin datos")),"")</f>
        <v/>
      </c>
      <c r="I58" s="327">
        <f>IFERROR(IF(VLOOKUP(B58,Detalle!$A:$AA,$I$1,0)=0,"Sin datos",IFERROR(VLOOKUP(B58,Detalle!$A:$AA,$I$1,0),"Sin datos")),"")</f>
        <v/>
      </c>
      <c r="J58" s="93">
        <f>IFERROR(IF(VLOOKUP(B58,Detalle!$A:$AA,$J$1,0)=0,"Sin datos",IFERROR(VLOOKUP(B58,Detalle!$A:$AA,$J$1,0),"Sin datos")),"")</f>
        <v/>
      </c>
      <c r="K58" s="98" t="s">
        <v>293</v>
      </c>
      <c r="L58" s="328">
        <f>MIN(E58,G58,I58)</f>
        <v/>
      </c>
      <c r="M58" s="329">
        <f>IFERROR(IF(MIN(H58,J58)=F58,IF(G58=I58,"Escenario 5","Escenario 4"),IF(MIN(H58,J58)&lt;F58,IF(AND(F58-2&lt;=MIN(H58,J58),G58&lt;&gt;I58),"Escenario 1",IF(AND(F58-2&lt;=MIN(H58,J58),G58=I58),"Escenario 2","Escenario 3")),IF(MIN(H58,J58)&gt;F58,IF(AND(F58+2&gt;=MIN(H58,J58),G58=I58),"Escenario 7",IF(AND(F58+2&gt;=MIN(H58,J58),G58&lt;&gt;I58),"Escenario 6",IF(F58+5&lt;=MIN(H58,J58),"Escenario 9","Escenario 8"))),"error"))),"Falta info")</f>
        <v/>
      </c>
      <c r="N58" s="98">
        <f>IFERROR(VLOOKUP(M58,Base!$BJ$28:$BL$36,3,0),0)</f>
        <v/>
      </c>
      <c r="O58" s="330">
        <f>IF(LOOKUP(M58,Base!$X$8:$BG$8)=M58,VLOOKUP(B58,Base!E:BG,N58,0),0)</f>
        <v/>
      </c>
      <c r="P58" s="330" t="n"/>
      <c r="Q58" s="327">
        <f>IFERROR(IF(VLOOKUP(B58,Detalle!$A:$AA,$Q$1,0)=0,"Sin datos",IFERROR(VLOOKUP(B58,Detalle!$A:$AA,$Q$1,0),"Sin datos")),"")</f>
        <v/>
      </c>
      <c r="R58" s="93">
        <f>IFERROR(IF(VLOOKUP(B58,Detalle!$A:$AA,$R$1,0)=0,"Sin datos",IFERROR(VLOOKUP(B58,Detalle!$A:$AA,$R$1,0),"Sin datos")),"")</f>
        <v/>
      </c>
      <c r="S58" s="327">
        <f>IFERROR(IF(VLOOKUP(B58,Detalle!$A:$AA,$S$1,0)=0,"Sin datos",IFERROR(VLOOKUP(B58,Detalle!$A:$AA,$S$1,0),"Sin datos")),"")</f>
        <v/>
      </c>
      <c r="T58" s="93">
        <f>IFERROR(IF(VLOOKUP(B58,Detalle!$A:$AA,$T$1,0)=0,"Sin datos",IFERROR(VLOOKUP(B58,Detalle!$A:$AA,$T$1,0),"Sin datos")),"")</f>
        <v/>
      </c>
      <c r="U58" s="327">
        <f>IFERROR(IF(VLOOKUP(B58,Detalle!$A:$AA,$U$1,0)=0,"Sin datos",IFERROR(VLOOKUP(B58,Detalle!$A:$AA,$U$1,0),"Sin datos")),"")</f>
        <v/>
      </c>
      <c r="V58" s="93">
        <f>IFERROR(IF(VLOOKUP(B58,Detalle!$A:$AA,$V$1,0)=0,"Sin datos",IFERROR(VLOOKUP(B58,Detalle!$A:$AA,$V$1,0),"Sin datos")),"")</f>
        <v/>
      </c>
      <c r="W58" s="98">
        <f>IF(P58="",IF(MIN(Q58,S58,U58)&gt;E58,"Si","No"),IF(MIN(Q58,S58,U58)&gt;P58,"Si","No"))</f>
        <v/>
      </c>
      <c r="X58" s="328">
        <f>MIN(Q58,S58,U58)</f>
        <v/>
      </c>
      <c r="Y58" s="328">
        <f>IFERROR(IF(MIN(T58,V58)=R58,IF(S58=U58,"Escenario 5","Escenario 4"),IF(MIN(T58,V58)&lt;R58,IF(AND(R58-2&lt;=MIN(T58,V58),S58&lt;&gt;U58),"Escenario 1",IF(AND(R58-2&lt;=MIN(T58,V58),S58=U58),"Escenario 2","Escenario 3")),IF(MIN(T58,V58)&gt;R58,IF(AND(R58+2&gt;=MIN(T58,V58),S58=U58),"Escenario 7",IF(AND(R58+2&gt;=MIN(T58,V58),S58&lt;&gt;U58),"Escenario 6",IF(R58+5&lt;=MIN(T58,V58),"Escenario 9","Escenario 8"))),"error"))),"Falta info")</f>
        <v/>
      </c>
      <c r="Z58" s="98">
        <f>IFERROR(VLOOKUP(Y58,Base!$BJ$19:$BL$27,3,0),0)</f>
        <v/>
      </c>
      <c r="AA58" s="330">
        <f>IF(LOOKUP(Y58,Base!$X$8:$BG$8)=Y58,VLOOKUP(B58,Base!E:BG,Z58,0),0)</f>
        <v/>
      </c>
      <c r="AB58" s="330" t="n"/>
      <c r="AC58" s="327">
        <f>IFERROR(IF(VLOOKUP(B58,Detalle!$A:$AA,$AC$1,0)=0,"Sin datos",IFERROR(VLOOKUP(B58,Detalle!$A:$AA,$AC$1,0),"Sin datos")),"")</f>
        <v/>
      </c>
      <c r="AD58" s="93">
        <f>IFERROR(IF(VLOOKUP(B58,Detalle!$A:$AA,$AD$1,0)=0,"Sin datos",IFERROR(VLOOKUP(B58,Detalle!$A:$AA,$AD$1,0),"Sin datos")),"")</f>
        <v/>
      </c>
      <c r="AE58" s="327">
        <f>IFERROR(IF(VLOOKUP(B58,Detalle!$A:$AA,$AE$1,0)=0,"Sin datos",IFERROR(VLOOKUP(B58,Detalle!$A:$AA,$AE$1,0),"Sin datos")),"")</f>
        <v/>
      </c>
      <c r="AF58" s="93">
        <f>IFERROR(IF(VLOOKUP(B58,Detalle!$A:$AA,$AF$1,0)=0,"Sin datos",IFERROR(VLOOKUP(B58,Detalle!$A:$AA,$AF$1,0),"Sin datos")),"")</f>
        <v/>
      </c>
      <c r="AG58" s="327">
        <f>IFERROR(IF(VLOOKUP(B58,Detalle!$A:$AA,$AG$1,0)=0,"Sin datos",IFERROR(VLOOKUP(B58,Detalle!$A:$AA,$AG$1,0),"Sin datos")),"")</f>
        <v/>
      </c>
      <c r="AH58" s="93">
        <f>IFERROR(IF(VLOOKUP(B58,Detalle!$A:$AA,$AH$1,0)=0,"Sin datos",IFERROR(VLOOKUP(B58,Detalle!$A:$AA,$AH$1,0),"Sin datos")),"")</f>
        <v/>
      </c>
      <c r="AI58" s="98">
        <f>IF(AB58="",IF(MIN(AC58,AE58,AG58)&gt;E58,"Si","No"),IF(MIN(AC58,AG58,AG58)&gt;AB58,"Si","No"))</f>
        <v/>
      </c>
      <c r="AJ58" s="328">
        <f>MIN(AC58,AE58,AG58)</f>
        <v/>
      </c>
      <c r="AK58" s="328">
        <f>IFERROR(IF(MIN(AF58,AH58)=AD58,IF(AE58=AG58,"Escenario 5","Escenario 4"),IF(MIN(AF58,AH58)&lt;AD58,IF(AND(AD58-2&lt;=MIN(AF58,AH58),AE58&lt;&gt;AG58),"Escenario 1",IF(AND(AD58-2&lt;=MIN(AF58,AH58),AE58=AG58),"Escenario 2","Escenario 3")),IF(MIN(AF58,AH58)&gt;AD58,IF(AND(AD58+2&gt;=MIN(AF58,AH58),AE58=AG58),"Escenario 7",IF(AND(AD58+2&gt;=MIN(AF58,AH58),AE58&lt;&gt;AG58),"Escenario 6",IF(AD58+5&lt;=MIN(AF58,AH58),"Escenario 9","Escenario 8"))),"error"))),"Falta info")</f>
        <v/>
      </c>
      <c r="AL58" s="98">
        <f>IFERROR(VLOOKUP(AK58,Base!$BJ$37:$BL$45,3,0),0)</f>
        <v/>
      </c>
      <c r="AM58" s="330">
        <f>IF(LOOKUP(AK58,Base!$X$8:$BG$8)=AK58,VLOOKUP(B58,Base!E:BG,AL58,0),0)</f>
        <v/>
      </c>
      <c r="AN58" s="330" t="n">
        <v>17990</v>
      </c>
      <c r="AP58" s="331" t="s">
        <v>295</v>
      </c>
    </row>
    <row customHeight="1" ht="12.95" r="59" s="183" spans="1:43">
      <c r="B59" s="108" t="s">
        <v>52</v>
      </c>
      <c r="C59" s="89" t="s">
        <v>294</v>
      </c>
      <c r="D59" s="106">
        <f>VLOOKUP(B59,Base!E:G,3,0)</f>
        <v/>
      </c>
      <c r="E59" s="326">
        <f>IFERROR(IF(VLOOKUP(B59,Detalle!$A:$AA,$E$1,0)=0,"Sin datos",IFERROR(VLOOKUP(B59,Detalle!$A:$AA,$E$1,0),"Sin datos")),"")</f>
        <v/>
      </c>
      <c r="F59" s="91">
        <f>IFERROR(IF(VLOOKUP(B59,Detalle!$A:$AA,$F$1,0)=0,"Sin datos",IFERROR(VLOOKUP(B59,Detalle!$A:$AA,$F$1,0),"Sin datos")),"")</f>
        <v/>
      </c>
      <c r="G59" s="327">
        <f>IFERROR(IF(VLOOKUP(B59,Detalle!$A:$AA,$G$1,0)=0,"Sin datos",IFERROR(VLOOKUP(B59,Detalle!$A:$AA,$G$1,0),"Sin datos")),"")</f>
        <v/>
      </c>
      <c r="H59" s="93">
        <f>IFERROR(IF(VLOOKUP(B59,Detalle!$A:$AA,$H$1,0)=0,"Sin datos",IFERROR(VLOOKUP(B59,Detalle!$A:$AA,$H$1,0),"Sin datos")),"")</f>
        <v/>
      </c>
      <c r="I59" s="327">
        <f>IFERROR(IF(VLOOKUP(B59,Detalle!$A:$AA,$I$1,0)=0,"Sin datos",IFERROR(VLOOKUP(B59,Detalle!$A:$AA,$I$1,0),"Sin datos")),"")</f>
        <v/>
      </c>
      <c r="J59" s="93">
        <f>IFERROR(IF(VLOOKUP(B59,Detalle!$A:$AA,$J$1,0)=0,"Sin datos",IFERROR(VLOOKUP(B59,Detalle!$A:$AA,$J$1,0),"Sin datos")),"")</f>
        <v/>
      </c>
      <c r="K59" s="98" t="s">
        <v>293</v>
      </c>
      <c r="L59" s="328">
        <f>MIN(E59,G59,I59)</f>
        <v/>
      </c>
      <c r="M59" s="329">
        <f>IFERROR(IF(MIN(H59,J59)=F59,IF(G59=I59,"Escenario 5","Escenario 4"),IF(MIN(H59,J59)&lt;F59,IF(AND(F59-2&lt;=MIN(H59,J59),G59&lt;&gt;I59),"Escenario 1",IF(AND(F59-2&lt;=MIN(H59,J59),G59=I59),"Escenario 2","Escenario 3")),IF(MIN(H59,J59)&gt;F59,IF(AND(F59+2&gt;=MIN(H59,J59),G59=I59),"Escenario 7",IF(AND(F59+2&gt;=MIN(H59,J59),G59&lt;&gt;I59),"Escenario 6",IF(F59+5&lt;=MIN(H59,J59),"Escenario 9","Escenario 8"))),"error"))),"Falta info")</f>
        <v/>
      </c>
      <c r="N59" s="98">
        <f>IFERROR(VLOOKUP(M59,Base!$BJ$28:$BL$36,3,0),0)</f>
        <v/>
      </c>
      <c r="O59" s="330">
        <f>IF(LOOKUP(M59,Base!$X$8:$BG$8)=M59,VLOOKUP(B59,Base!E:BG,N59,0),0)</f>
        <v/>
      </c>
      <c r="P59" s="330" t="n"/>
      <c r="Q59" s="327">
        <f>IFERROR(IF(VLOOKUP(B59,Detalle!$A:$AA,$Q$1,0)=0,"Sin datos",IFERROR(VLOOKUP(B59,Detalle!$A:$AA,$Q$1,0),"Sin datos")),"")</f>
        <v/>
      </c>
      <c r="R59" s="93">
        <f>IFERROR(IF(VLOOKUP(B59,Detalle!$A:$AA,$R$1,0)=0,"Sin datos",IFERROR(VLOOKUP(B59,Detalle!$A:$AA,$R$1,0),"Sin datos")),"")</f>
        <v/>
      </c>
      <c r="S59" s="327">
        <f>IFERROR(IF(VLOOKUP(B59,Detalle!$A:$AA,$S$1,0)=0,"Sin datos",IFERROR(VLOOKUP(B59,Detalle!$A:$AA,$S$1,0),"Sin datos")),"")</f>
        <v/>
      </c>
      <c r="T59" s="93">
        <f>IFERROR(IF(VLOOKUP(B59,Detalle!$A:$AA,$T$1,0)=0,"Sin datos",IFERROR(VLOOKUP(B59,Detalle!$A:$AA,$T$1,0),"Sin datos")),"")</f>
        <v/>
      </c>
      <c r="U59" s="327">
        <f>IFERROR(IF(VLOOKUP(B59,Detalle!$A:$AA,$U$1,0)=0,"Sin datos",IFERROR(VLOOKUP(B59,Detalle!$A:$AA,$U$1,0),"Sin datos")),"")</f>
        <v/>
      </c>
      <c r="V59" s="93">
        <f>IFERROR(IF(VLOOKUP(B59,Detalle!$A:$AA,$V$1,0)=0,"Sin datos",IFERROR(VLOOKUP(B59,Detalle!$A:$AA,$V$1,0),"Sin datos")),"")</f>
        <v/>
      </c>
      <c r="W59" s="98">
        <f>IF(P59="",IF(MIN(Q59,S59,U59)&gt;E59,"Si","No"),IF(MIN(Q59,S59,U59)&gt;P59,"Si","No"))</f>
        <v/>
      </c>
      <c r="X59" s="328">
        <f>MIN(Q59,S59,U59)</f>
        <v/>
      </c>
      <c r="Y59" s="328">
        <f>IFERROR(IF(MIN(T59,V59)=R59,IF(S59=U59,"Escenario 5","Escenario 4"),IF(MIN(T59,V59)&lt;R59,IF(AND(R59-2&lt;=MIN(T59,V59),S59&lt;&gt;U59),"Escenario 1",IF(AND(R59-2&lt;=MIN(T59,V59),S59=U59),"Escenario 2","Escenario 3")),IF(MIN(T59,V59)&gt;R59,IF(AND(R59+2&gt;=MIN(T59,V59),S59=U59),"Escenario 7",IF(AND(R59+2&gt;=MIN(T59,V59),S59&lt;&gt;U59),"Escenario 6",IF(R59+5&lt;=MIN(T59,V59),"Escenario 9","Escenario 8"))),"error"))),"Falta info")</f>
        <v/>
      </c>
      <c r="Z59" s="98">
        <f>IFERROR(VLOOKUP(Y59,Base!$BJ$19:$BL$27,3,0),0)</f>
        <v/>
      </c>
      <c r="AA59" s="330">
        <f>IF(LOOKUP(Y59,Base!$X$8:$BG$8)=Y59,VLOOKUP(B59,Base!E:BG,Z59,0),0)</f>
        <v/>
      </c>
      <c r="AB59" s="330" t="n"/>
      <c r="AC59" s="327">
        <f>IFERROR(IF(VLOOKUP(B59,Detalle!$A:$AA,$AC$1,0)=0,"Sin datos",IFERROR(VLOOKUP(B59,Detalle!$A:$AA,$AC$1,0),"Sin datos")),"")</f>
        <v/>
      </c>
      <c r="AD59" s="93">
        <f>IFERROR(IF(VLOOKUP(B59,Detalle!$A:$AA,$AD$1,0)=0,"Sin datos",IFERROR(VLOOKUP(B59,Detalle!$A:$AA,$AD$1,0),"Sin datos")),"")</f>
        <v/>
      </c>
      <c r="AE59" s="327">
        <f>IFERROR(IF(VLOOKUP(B59,Detalle!$A:$AA,$AE$1,0)=0,"Sin datos",IFERROR(VLOOKUP(B59,Detalle!$A:$AA,$AE$1,0),"Sin datos")),"")</f>
        <v/>
      </c>
      <c r="AF59" s="93">
        <f>IFERROR(IF(VLOOKUP(B59,Detalle!$A:$AA,$AF$1,0)=0,"Sin datos",IFERROR(VLOOKUP(B59,Detalle!$A:$AA,$AF$1,0),"Sin datos")),"")</f>
        <v/>
      </c>
      <c r="AG59" s="327">
        <f>IFERROR(IF(VLOOKUP(B59,Detalle!$A:$AA,$AG$1,0)=0,"Sin datos",IFERROR(VLOOKUP(B59,Detalle!$A:$AA,$AG$1,0),"Sin datos")),"")</f>
        <v/>
      </c>
      <c r="AH59" s="93">
        <f>IFERROR(IF(VLOOKUP(B59,Detalle!$A:$AA,$AH$1,0)=0,"Sin datos",IFERROR(VLOOKUP(B59,Detalle!$A:$AA,$AH$1,0),"Sin datos")),"")</f>
        <v/>
      </c>
      <c r="AI59" s="98">
        <f>IF(AB59="",IF(MIN(AC59,AE59,AG59)&gt;E59,"Si","No"),IF(MIN(AC59,AG59,AG59)&gt;AB59,"Si","No"))</f>
        <v/>
      </c>
      <c r="AJ59" s="328">
        <f>MIN(AC59,AE59,AG59)</f>
        <v/>
      </c>
      <c r="AK59" s="328">
        <f>IFERROR(IF(MIN(AF59,AH59)=AD59,IF(AE59=AG59,"Escenario 5","Escenario 4"),IF(MIN(AF59,AH59)&lt;AD59,IF(AND(AD59-2&lt;=MIN(AF59,AH59),AE59&lt;&gt;AG59),"Escenario 1",IF(AND(AD59-2&lt;=MIN(AF59,AH59),AE59=AG59),"Escenario 2","Escenario 3")),IF(MIN(AF59,AH59)&gt;AD59,IF(AND(AD59+2&gt;=MIN(AF59,AH59),AE59=AG59),"Escenario 7",IF(AND(AD59+2&gt;=MIN(AF59,AH59),AE59&lt;&gt;AG59),"Escenario 6",IF(AD59+5&lt;=MIN(AF59,AH59),"Escenario 9","Escenario 8"))),"error"))),"Falta info")</f>
        <v/>
      </c>
      <c r="AL59" s="98">
        <f>IFERROR(VLOOKUP(AK59,Base!$BJ$37:$BL$45,3,0),0)</f>
        <v/>
      </c>
      <c r="AM59" s="330">
        <f>IF(LOOKUP(AK59,Base!$X$8:$BG$8)=AK59,VLOOKUP(B59,Base!E:BG,AL59,0),0)</f>
        <v/>
      </c>
      <c r="AN59" s="330" t="n"/>
      <c r="AP59" s="331">
        <f>IF(AM59&lt;=AA59,"REVISAR!","ok")</f>
        <v/>
      </c>
    </row>
    <row customHeight="1" ht="12.95" r="60" s="183" spans="1:43">
      <c r="B60" s="108" t="s">
        <v>66</v>
      </c>
      <c r="C60" s="89" t="s">
        <v>294</v>
      </c>
      <c r="D60" s="106">
        <f>VLOOKUP(B60,Base!E:G,3,0)</f>
        <v/>
      </c>
      <c r="E60" s="326">
        <f>IFERROR(IF(VLOOKUP(B60,Detalle!$A:$AA,$E$1,0)=0,"Sin datos",IFERROR(VLOOKUP(B60,Detalle!$A:$AA,$E$1,0),"Sin datos")),"")</f>
        <v/>
      </c>
      <c r="F60" s="91">
        <f>IFERROR(IF(VLOOKUP(B60,Detalle!$A:$AA,$F$1,0)=0,"Sin datos",IFERROR(VLOOKUP(B60,Detalle!$A:$AA,$F$1,0),"Sin datos")),"")</f>
        <v/>
      </c>
      <c r="G60" s="327">
        <f>IFERROR(IF(VLOOKUP(B60,Detalle!$A:$AA,$G$1,0)=0,"Sin datos",IFERROR(VLOOKUP(B60,Detalle!$A:$AA,$G$1,0),"Sin datos")),"")</f>
        <v/>
      </c>
      <c r="H60" s="93">
        <f>IFERROR(IF(VLOOKUP(B60,Detalle!$A:$AA,$H$1,0)=0,"Sin datos",IFERROR(VLOOKUP(B60,Detalle!$A:$AA,$H$1,0),"Sin datos")),"")</f>
        <v/>
      </c>
      <c r="I60" s="327">
        <f>IFERROR(IF(VLOOKUP(B60,Detalle!$A:$AA,$I$1,0)=0,"Sin datos",IFERROR(VLOOKUP(B60,Detalle!$A:$AA,$I$1,0),"Sin datos")),"")</f>
        <v/>
      </c>
      <c r="J60" s="93">
        <f>IFERROR(IF(VLOOKUP(B60,Detalle!$A:$AA,$J$1,0)=0,"Sin datos",IFERROR(VLOOKUP(B60,Detalle!$A:$AA,$J$1,0),"Sin datos")),"")</f>
        <v/>
      </c>
      <c r="K60" s="98" t="s">
        <v>293</v>
      </c>
      <c r="L60" s="328">
        <f>MIN(E60,G60,I60)</f>
        <v/>
      </c>
      <c r="M60" s="329">
        <f>IFERROR(IF(MIN(H60,J60)=F60,IF(G60=I60,"Escenario 5","Escenario 4"),IF(MIN(H60,J60)&lt;F60,IF(AND(F60-2&lt;=MIN(H60,J60),G60&lt;&gt;I60),"Escenario 1",IF(AND(F60-2&lt;=MIN(H60,J60),G60=I60),"Escenario 2","Escenario 3")),IF(MIN(H60,J60)&gt;F60,IF(AND(F60+2&gt;=MIN(H60,J60),G60=I60),"Escenario 7",IF(AND(F60+2&gt;=MIN(H60,J60),G60&lt;&gt;I60),"Escenario 6",IF(F60+5&lt;=MIN(H60,J60),"Escenario 9","Escenario 8"))),"error"))),"Falta info")</f>
        <v/>
      </c>
      <c r="N60" s="98">
        <f>IFERROR(VLOOKUP(M60,Base!$BJ$28:$BL$36,3,0),0)</f>
        <v/>
      </c>
      <c r="O60" s="330">
        <f>IF(LOOKUP(M60,Base!$X$8:$BG$8)=M60,VLOOKUP(B60,Base!E:BG,N60,0),0)</f>
        <v/>
      </c>
      <c r="P60" s="330" t="n"/>
      <c r="Q60" s="327">
        <f>IFERROR(IF(VLOOKUP(B60,Detalle!$A:$AA,$Q$1,0)=0,"Sin datos",IFERROR(VLOOKUP(B60,Detalle!$A:$AA,$Q$1,0),"Sin datos")),"")</f>
        <v/>
      </c>
      <c r="R60" s="93">
        <f>IFERROR(IF(VLOOKUP(B60,Detalle!$A:$AA,$R$1,0)=0,"Sin datos",IFERROR(VLOOKUP(B60,Detalle!$A:$AA,$R$1,0),"Sin datos")),"")</f>
        <v/>
      </c>
      <c r="S60" s="327">
        <f>IFERROR(IF(VLOOKUP(B60,Detalle!$A:$AA,$S$1,0)=0,"Sin datos",IFERROR(VLOOKUP(B60,Detalle!$A:$AA,$S$1,0),"Sin datos")),"")</f>
        <v/>
      </c>
      <c r="T60" s="93">
        <f>IFERROR(IF(VLOOKUP(B60,Detalle!$A:$AA,$T$1,0)=0,"Sin datos",IFERROR(VLOOKUP(B60,Detalle!$A:$AA,$T$1,0),"Sin datos")),"")</f>
        <v/>
      </c>
      <c r="U60" s="327">
        <f>IFERROR(IF(VLOOKUP(B60,Detalle!$A:$AA,$U$1,0)=0,"Sin datos",IFERROR(VLOOKUP(B60,Detalle!$A:$AA,$U$1,0),"Sin datos")),"")</f>
        <v/>
      </c>
      <c r="V60" s="93">
        <f>IFERROR(IF(VLOOKUP(B60,Detalle!$A:$AA,$V$1,0)=0,"Sin datos",IFERROR(VLOOKUP(B60,Detalle!$A:$AA,$V$1,0),"Sin datos")),"")</f>
        <v/>
      </c>
      <c r="W60" s="98">
        <f>IF(P60="",IF(MIN(Q60,S60,U60)&gt;E60,"Si","No"),IF(MIN(Q60,S60,U60)&gt;P60,"Si","No"))</f>
        <v/>
      </c>
      <c r="X60" s="328">
        <f>MIN(Q60,S60,U60)</f>
        <v/>
      </c>
      <c r="Y60" s="328">
        <f>IFERROR(IF(MIN(T60,V60)=R60,IF(S60=U60,"Escenario 5","Escenario 4"),IF(MIN(T60,V60)&lt;R60,IF(AND(R60-2&lt;=MIN(T60,V60),S60&lt;&gt;U60),"Escenario 1",IF(AND(R60-2&lt;=MIN(T60,V60),S60=U60),"Escenario 2","Escenario 3")),IF(MIN(T60,V60)&gt;R60,IF(AND(R60+2&gt;=MIN(T60,V60),S60=U60),"Escenario 7",IF(AND(R60+2&gt;=MIN(T60,V60),S60&lt;&gt;U60),"Escenario 6",IF(R60+5&lt;=MIN(T60,V60),"Escenario 9","Escenario 8"))),"error"))),"Falta info")</f>
        <v/>
      </c>
      <c r="Z60" s="98">
        <f>IFERROR(VLOOKUP(Y60,Base!$BJ$19:$BL$27,3,0),0)</f>
        <v/>
      </c>
      <c r="AA60" s="330">
        <f>IF(LOOKUP(Y60,Base!$X$8:$BG$8)=Y60,VLOOKUP(B60,Base!E:BG,Z60,0),0)</f>
        <v/>
      </c>
      <c r="AB60" s="330" t="n"/>
      <c r="AC60" s="327">
        <f>IFERROR(IF(VLOOKUP(B60,Detalle!$A:$AA,$AC$1,0)=0,"Sin datos",IFERROR(VLOOKUP(B60,Detalle!$A:$AA,$AC$1,0),"Sin datos")),"")</f>
        <v/>
      </c>
      <c r="AD60" s="93">
        <f>IFERROR(IF(VLOOKUP(B60,Detalle!$A:$AA,$AD$1,0)=0,"Sin datos",IFERROR(VLOOKUP(B60,Detalle!$A:$AA,$AD$1,0),"Sin datos")),"")</f>
        <v/>
      </c>
      <c r="AE60" s="327">
        <f>IFERROR(IF(VLOOKUP(B60,Detalle!$A:$AA,$AE$1,0)=0,"Sin datos",IFERROR(VLOOKUP(B60,Detalle!$A:$AA,$AE$1,0),"Sin datos")),"")</f>
        <v/>
      </c>
      <c r="AF60" s="93">
        <f>IFERROR(IF(VLOOKUP(B60,Detalle!$A:$AA,$AF$1,0)=0,"Sin datos",IFERROR(VLOOKUP(B60,Detalle!$A:$AA,$AF$1,0),"Sin datos")),"")</f>
        <v/>
      </c>
      <c r="AG60" s="327">
        <f>IFERROR(IF(VLOOKUP(B60,Detalle!$A:$AA,$AG$1,0)=0,"Sin datos",IFERROR(VLOOKUP(B60,Detalle!$A:$AA,$AG$1,0),"Sin datos")),"")</f>
        <v/>
      </c>
      <c r="AH60" s="93">
        <f>IFERROR(IF(VLOOKUP(B60,Detalle!$A:$AA,$AH$1,0)=0,"Sin datos",IFERROR(VLOOKUP(B60,Detalle!$A:$AA,$AH$1,0),"Sin datos")),"")</f>
        <v/>
      </c>
      <c r="AI60" s="98">
        <f>IF(AB60="",IF(MIN(AC60,AE60,AG60)&gt;E60,"Si","No"),IF(MIN(AC60,AG60,AG60)&gt;AB60,"Si","No"))</f>
        <v/>
      </c>
      <c r="AJ60" s="328">
        <f>MIN(AC60,AE60,AG60)</f>
        <v/>
      </c>
      <c r="AK60" s="328">
        <f>IFERROR(IF(MIN(AF60,AH60)=AD60,IF(AE60=AG60,"Escenario 5","Escenario 4"),IF(MIN(AF60,AH60)&lt;AD60,IF(AND(AD60-2&lt;=MIN(AF60,AH60),AE60&lt;&gt;AG60),"Escenario 1",IF(AND(AD60-2&lt;=MIN(AF60,AH60),AE60=AG60),"Escenario 2","Escenario 3")),IF(MIN(AF60,AH60)&gt;AD60,IF(AND(AD60+2&gt;=MIN(AF60,AH60),AE60=AG60),"Escenario 7",IF(AND(AD60+2&gt;=MIN(AF60,AH60),AE60&lt;&gt;AG60),"Escenario 6",IF(AD60+5&lt;=MIN(AF60,AH60),"Escenario 9","Escenario 8"))),"error"))),"Falta info")</f>
        <v/>
      </c>
      <c r="AL60" s="98">
        <f>IFERROR(VLOOKUP(AK60,Base!$BJ$37:$BL$45,3,0),0)</f>
        <v/>
      </c>
      <c r="AM60" s="330">
        <f>IF(LOOKUP(AK60,Base!$X$8:$BG$8)=AK60,VLOOKUP(B60,Base!E:BG,AL60,0),0)</f>
        <v/>
      </c>
      <c r="AN60" s="330" t="n">
        <v>14990</v>
      </c>
      <c r="AP60" s="331">
        <f>IF(AM60&lt;=AA60,"REVISAR!","ok")</f>
        <v/>
      </c>
    </row>
    <row customHeight="1" ht="12.95" r="61" s="183" spans="1:43">
      <c r="B61" s="108" t="s">
        <v>224</v>
      </c>
      <c r="C61" s="89" t="s">
        <v>294</v>
      </c>
      <c r="D61" s="106">
        <f>VLOOKUP(B61,Base!E:G,3,0)</f>
        <v/>
      </c>
      <c r="E61" s="326">
        <f>IFERROR(IF(VLOOKUP(B61,Detalle!$A:$AA,$E$1,0)=0,"Sin datos",IFERROR(VLOOKUP(B61,Detalle!$A:$AA,$E$1,0),"Sin datos")),"")</f>
        <v/>
      </c>
      <c r="F61" s="91">
        <f>IFERROR(IF(VLOOKUP(B61,Detalle!$A:$AA,$F$1,0)=0,"Sin datos",IFERROR(VLOOKUP(B61,Detalle!$A:$AA,$F$1,0),"Sin datos")),"")</f>
        <v/>
      </c>
      <c r="G61" s="327">
        <f>IFERROR(IF(VLOOKUP(B61,Detalle!$A:$AA,$G$1,0)=0,"Sin datos",IFERROR(VLOOKUP(B61,Detalle!$A:$AA,$G$1,0),"Sin datos")),"")</f>
        <v/>
      </c>
      <c r="H61" s="93">
        <f>IFERROR(IF(VLOOKUP(B61,Detalle!$A:$AA,$H$1,0)=0,"Sin datos",IFERROR(VLOOKUP(B61,Detalle!$A:$AA,$H$1,0),"Sin datos")),"")</f>
        <v/>
      </c>
      <c r="I61" s="327">
        <f>IFERROR(IF(VLOOKUP(B61,Detalle!$A:$AA,$I$1,0)=0,"Sin datos",IFERROR(VLOOKUP(B61,Detalle!$A:$AA,$I$1,0),"Sin datos")),"")</f>
        <v/>
      </c>
      <c r="J61" s="93">
        <f>IFERROR(IF(VLOOKUP(B61,Detalle!$A:$AA,$J$1,0)=0,"Sin datos",IFERROR(VLOOKUP(B61,Detalle!$A:$AA,$J$1,0),"Sin datos")),"")</f>
        <v/>
      </c>
      <c r="K61" s="98" t="s">
        <v>293</v>
      </c>
      <c r="L61" s="328">
        <f>MIN(E61,G61,I61)</f>
        <v/>
      </c>
      <c r="M61" s="329">
        <f>IFERROR(IF(MIN(H61,J61)=F61,IF(G61=I61,"Escenario 5","Escenario 4"),IF(MIN(H61,J61)&lt;F61,IF(AND(F61-2&lt;=MIN(H61,J61),G61&lt;&gt;I61),"Escenario 1",IF(AND(F61-2&lt;=MIN(H61,J61),G61=I61),"Escenario 2","Escenario 3")),IF(MIN(H61,J61)&gt;F61,IF(AND(F61+2&gt;=MIN(H61,J61),G61=I61),"Escenario 7",IF(AND(F61+2&gt;=MIN(H61,J61),G61&lt;&gt;I61),"Escenario 6",IF(F61+5&lt;=MIN(H61,J61),"Escenario 9","Escenario 8"))),"error"))),"Falta info")</f>
        <v/>
      </c>
      <c r="N61" s="98">
        <f>IFERROR(VLOOKUP(M61,Base!$BJ$28:$BL$36,3,0),0)</f>
        <v/>
      </c>
      <c r="O61" s="330">
        <f>IF(LOOKUP(M61,Base!$X$8:$BG$8)=M61,VLOOKUP(B61,Base!E:BG,N61,0),0)</f>
        <v/>
      </c>
      <c r="P61" s="330" t="n"/>
      <c r="Q61" s="327">
        <f>IFERROR(IF(VLOOKUP(B61,Detalle!$A:$AA,$Q$1,0)=0,"Sin datos",IFERROR(VLOOKUP(B61,Detalle!$A:$AA,$Q$1,0),"Sin datos")),"")</f>
        <v/>
      </c>
      <c r="R61" s="93">
        <f>IFERROR(IF(VLOOKUP(B61,Detalle!$A:$AA,$R$1,0)=0,"Sin datos",IFERROR(VLOOKUP(B61,Detalle!$A:$AA,$R$1,0),"Sin datos")),"")</f>
        <v/>
      </c>
      <c r="S61" s="327">
        <f>IFERROR(IF(VLOOKUP(B61,Detalle!$A:$AA,$S$1,0)=0,"Sin datos",IFERROR(VLOOKUP(B61,Detalle!$A:$AA,$S$1,0),"Sin datos")),"")</f>
        <v/>
      </c>
      <c r="T61" s="93">
        <f>IFERROR(IF(VLOOKUP(B61,Detalle!$A:$AA,$T$1,0)=0,"Sin datos",IFERROR(VLOOKUP(B61,Detalle!$A:$AA,$T$1,0),"Sin datos")),"")</f>
        <v/>
      </c>
      <c r="U61" s="327">
        <f>IFERROR(IF(VLOOKUP(B61,Detalle!$A:$AA,$U$1,0)=0,"Sin datos",IFERROR(VLOOKUP(B61,Detalle!$A:$AA,$U$1,0),"Sin datos")),"")</f>
        <v/>
      </c>
      <c r="V61" s="93">
        <f>IFERROR(IF(VLOOKUP(B61,Detalle!$A:$AA,$V$1,0)=0,"Sin datos",IFERROR(VLOOKUP(B61,Detalle!$A:$AA,$V$1,0),"Sin datos")),"")</f>
        <v/>
      </c>
      <c r="W61" s="98">
        <f>IF(P61="",IF(MIN(Q61,S61,U61)&gt;E61,"Si","No"),IF(MIN(Q61,S61,U61)&gt;P61,"Si","No"))</f>
        <v/>
      </c>
      <c r="X61" s="328">
        <f>MIN(Q61,S61,U61)</f>
        <v/>
      </c>
      <c r="Y61" s="328">
        <f>IFERROR(IF(MIN(T61,V61)=R61,IF(S61=U61,"Escenario 5","Escenario 4"),IF(MIN(T61,V61)&lt;R61,IF(AND(R61-2&lt;=MIN(T61,V61),S61&lt;&gt;U61),"Escenario 1",IF(AND(R61-2&lt;=MIN(T61,V61),S61=U61),"Escenario 2","Escenario 3")),IF(MIN(T61,V61)&gt;R61,IF(AND(R61+2&gt;=MIN(T61,V61),S61=U61),"Escenario 7",IF(AND(R61+2&gt;=MIN(T61,V61),S61&lt;&gt;U61),"Escenario 6",IF(R61+5&lt;=MIN(T61,V61),"Escenario 9","Escenario 8"))),"error"))),"Falta info")</f>
        <v/>
      </c>
      <c r="Z61" s="98">
        <f>IFERROR(VLOOKUP(Y61,Base!$BJ$19:$BL$27,3,0),0)</f>
        <v/>
      </c>
      <c r="AA61" s="330">
        <f>IF(LOOKUP(Y61,Base!$X$8:$BG$8)=Y61,VLOOKUP(B61,Base!E:BG,Z61,0),0)</f>
        <v/>
      </c>
      <c r="AB61" s="330" t="n"/>
      <c r="AC61" s="327">
        <f>IFERROR(IF(VLOOKUP(B61,Detalle!$A:$AA,$AC$1,0)=0,"Sin datos",IFERROR(VLOOKUP(B61,Detalle!$A:$AA,$AC$1,0),"Sin datos")),"")</f>
        <v/>
      </c>
      <c r="AD61" s="93">
        <f>IFERROR(IF(VLOOKUP(B61,Detalle!$A:$AA,$AD$1,0)=0,"Sin datos",IFERROR(VLOOKUP(B61,Detalle!$A:$AA,$AD$1,0),"Sin datos")),"")</f>
        <v/>
      </c>
      <c r="AE61" s="327">
        <f>IFERROR(IF(VLOOKUP(B61,Detalle!$A:$AA,$AE$1,0)=0,"Sin datos",IFERROR(VLOOKUP(B61,Detalle!$A:$AA,$AE$1,0),"Sin datos")),"")</f>
        <v/>
      </c>
      <c r="AF61" s="93">
        <f>IFERROR(IF(VLOOKUP(B61,Detalle!$A:$AA,$AF$1,0)=0,"Sin datos",IFERROR(VLOOKUP(B61,Detalle!$A:$AA,$AF$1,0),"Sin datos")),"")</f>
        <v/>
      </c>
      <c r="AG61" s="327">
        <f>IFERROR(IF(VLOOKUP(B61,Detalle!$A:$AA,$AG$1,0)=0,"Sin datos",IFERROR(VLOOKUP(B61,Detalle!$A:$AA,$AG$1,0),"Sin datos")),"")</f>
        <v/>
      </c>
      <c r="AH61" s="93">
        <f>IFERROR(IF(VLOOKUP(B61,Detalle!$A:$AA,$AH$1,0)=0,"Sin datos",IFERROR(VLOOKUP(B61,Detalle!$A:$AA,$AH$1,0),"Sin datos")),"")</f>
        <v/>
      </c>
      <c r="AI61" s="98">
        <f>IF(AB61="",IF(MIN(AC61,AE61,AG61)&gt;E61,"Si","No"),IF(MIN(AC61,AG61,AG61)&gt;AB61,"Si","No"))</f>
        <v/>
      </c>
      <c r="AJ61" s="328">
        <f>MIN(AC61,AE61,AG61)</f>
        <v/>
      </c>
      <c r="AK61" s="328">
        <f>IFERROR(IF(MIN(AF61,AH61)=AD61,IF(AE61=AG61,"Escenario 5","Escenario 4"),IF(MIN(AF61,AH61)&lt;AD61,IF(AND(AD61-2&lt;=MIN(AF61,AH61),AE61&lt;&gt;AG61),"Escenario 1",IF(AND(AD61-2&lt;=MIN(AF61,AH61),AE61=AG61),"Escenario 2","Escenario 3")),IF(MIN(AF61,AH61)&gt;AD61,IF(AND(AD61+2&gt;=MIN(AF61,AH61),AE61=AG61),"Escenario 7",IF(AND(AD61+2&gt;=MIN(AF61,AH61),AE61&lt;&gt;AG61),"Escenario 6",IF(AD61+5&lt;=MIN(AF61,AH61),"Escenario 9","Escenario 8"))),"error"))),"Falta info")</f>
        <v/>
      </c>
      <c r="AL61" s="98">
        <f>IFERROR(VLOOKUP(AK61,Base!$BJ$37:$BL$45,3,0),0)</f>
        <v/>
      </c>
      <c r="AM61" s="330">
        <f>IF(LOOKUP(AK61,Base!$X$8:$BG$8)=AK61,VLOOKUP(B61,Base!E:BG,AL61,0),0)</f>
        <v/>
      </c>
      <c r="AN61" s="330" t="n"/>
      <c r="AP61" s="331">
        <f>IF(AM61&lt;=AA61,"REVISAR!","ok")</f>
        <v/>
      </c>
    </row>
    <row customHeight="1" ht="12.95" r="62" s="183" spans="1:43">
      <c r="B62" s="108" t="s">
        <v>45</v>
      </c>
      <c r="C62" s="89" t="s">
        <v>294</v>
      </c>
      <c r="D62" s="106">
        <f>VLOOKUP(B62,Base!E:G,3,0)</f>
        <v/>
      </c>
      <c r="E62" s="326">
        <f>IFERROR(IF(VLOOKUP(B62,Detalle!$A:$AA,$E$1,0)=0,"Sin datos",IFERROR(VLOOKUP(B62,Detalle!$A:$AA,$E$1,0),"Sin datos")),"")</f>
        <v/>
      </c>
      <c r="F62" s="91">
        <f>IFERROR(IF(VLOOKUP(B62,Detalle!$A:$AA,$F$1,0)=0,"Sin datos",IFERROR(VLOOKUP(B62,Detalle!$A:$AA,$F$1,0),"Sin datos")),"")</f>
        <v/>
      </c>
      <c r="G62" s="327">
        <f>IFERROR(IF(VLOOKUP(B62,Detalle!$A:$AA,$G$1,0)=0,"Sin datos",IFERROR(VLOOKUP(B62,Detalle!$A:$AA,$G$1,0),"Sin datos")),"")</f>
        <v/>
      </c>
      <c r="H62" s="93">
        <f>IFERROR(IF(VLOOKUP(B62,Detalle!$A:$AA,$H$1,0)=0,"Sin datos",IFERROR(VLOOKUP(B62,Detalle!$A:$AA,$H$1,0),"Sin datos")),"")</f>
        <v/>
      </c>
      <c r="I62" s="327">
        <f>IFERROR(IF(VLOOKUP(B62,Detalle!$A:$AA,$I$1,0)=0,"Sin datos",IFERROR(VLOOKUP(B62,Detalle!$A:$AA,$I$1,0),"Sin datos")),"")</f>
        <v/>
      </c>
      <c r="J62" s="93">
        <f>IFERROR(IF(VLOOKUP(B62,Detalle!$A:$AA,$J$1,0)=0,"Sin datos",IFERROR(VLOOKUP(B62,Detalle!$A:$AA,$J$1,0),"Sin datos")),"")</f>
        <v/>
      </c>
      <c r="K62" s="98" t="s">
        <v>293</v>
      </c>
      <c r="L62" s="328">
        <f>MIN(E62,G62,I62)</f>
        <v/>
      </c>
      <c r="M62" s="329">
        <f>IFERROR(IF(MIN(H62,J62)=F62,IF(G62=I62,"Escenario 5","Escenario 4"),IF(MIN(H62,J62)&lt;F62,IF(AND(F62-2&lt;=MIN(H62,J62),G62&lt;&gt;I62),"Escenario 1",IF(AND(F62-2&lt;=MIN(H62,J62),G62=I62),"Escenario 2","Escenario 3")),IF(MIN(H62,J62)&gt;F62,IF(AND(F62+2&gt;=MIN(H62,J62),G62=I62),"Escenario 7",IF(AND(F62+2&gt;=MIN(H62,J62),G62&lt;&gt;I62),"Escenario 6",IF(F62+5&lt;=MIN(H62,J62),"Escenario 9","Escenario 8"))),"error"))),"Falta info")</f>
        <v/>
      </c>
      <c r="N62" s="98">
        <f>IFERROR(VLOOKUP(M62,Base!$BJ$28:$BL$36,3,0),0)</f>
        <v/>
      </c>
      <c r="O62" s="330">
        <f>IF(LOOKUP(M62,Base!$X$8:$BG$8)=M62,VLOOKUP(B62,Base!E:BG,N62,0),0)</f>
        <v/>
      </c>
      <c r="P62" s="330" t="n"/>
      <c r="Q62" s="327">
        <f>IFERROR(IF(VLOOKUP(B62,Detalle!$A:$AA,$Q$1,0)=0,"Sin datos",IFERROR(VLOOKUP(B62,Detalle!$A:$AA,$Q$1,0),"Sin datos")),"")</f>
        <v/>
      </c>
      <c r="R62" s="93">
        <f>IFERROR(IF(VLOOKUP(B62,Detalle!$A:$AA,$R$1,0)=0,"Sin datos",IFERROR(VLOOKUP(B62,Detalle!$A:$AA,$R$1,0),"Sin datos")),"")</f>
        <v/>
      </c>
      <c r="S62" s="327">
        <f>IFERROR(IF(VLOOKUP(B62,Detalle!$A:$AA,$S$1,0)=0,"Sin datos",IFERROR(VLOOKUP(B62,Detalle!$A:$AA,$S$1,0),"Sin datos")),"")</f>
        <v/>
      </c>
      <c r="T62" s="93">
        <f>IFERROR(IF(VLOOKUP(B62,Detalle!$A:$AA,$T$1,0)=0,"Sin datos",IFERROR(VLOOKUP(B62,Detalle!$A:$AA,$T$1,0),"Sin datos")),"")</f>
        <v/>
      </c>
      <c r="U62" s="327">
        <f>IFERROR(IF(VLOOKUP(B62,Detalle!$A:$AA,$U$1,0)=0,"Sin datos",IFERROR(VLOOKUP(B62,Detalle!$A:$AA,$U$1,0),"Sin datos")),"")</f>
        <v/>
      </c>
      <c r="V62" s="93">
        <f>IFERROR(IF(VLOOKUP(B62,Detalle!$A:$AA,$V$1,0)=0,"Sin datos",IFERROR(VLOOKUP(B62,Detalle!$A:$AA,$V$1,0),"Sin datos")),"")</f>
        <v/>
      </c>
      <c r="W62" s="98">
        <f>IF(P62="",IF(MIN(Q62,S62,U62)&gt;E62,"Si","No"),IF(MIN(Q62,S62,U62)&gt;P62,"Si","No"))</f>
        <v/>
      </c>
      <c r="X62" s="328">
        <f>MIN(Q62,S62,U62)</f>
        <v/>
      </c>
      <c r="Y62" s="328">
        <f>IFERROR(IF(MIN(T62,V62)=R62,IF(S62=U62,"Escenario 5","Escenario 4"),IF(MIN(T62,V62)&lt;R62,IF(AND(R62-2&lt;=MIN(T62,V62),S62&lt;&gt;U62),"Escenario 1",IF(AND(R62-2&lt;=MIN(T62,V62),S62=U62),"Escenario 2","Escenario 3")),IF(MIN(T62,V62)&gt;R62,IF(AND(R62+2&gt;=MIN(T62,V62),S62=U62),"Escenario 7",IF(AND(R62+2&gt;=MIN(T62,V62),S62&lt;&gt;U62),"Escenario 6",IF(R62+5&lt;=MIN(T62,V62),"Escenario 9","Escenario 8"))),"error"))),"Falta info")</f>
        <v/>
      </c>
      <c r="Z62" s="98">
        <f>IFERROR(VLOOKUP(Y62,Base!$BJ$19:$BL$27,3,0),0)</f>
        <v/>
      </c>
      <c r="AA62" s="330">
        <f>IF(LOOKUP(Y62,Base!$X$8:$BG$8)=Y62,VLOOKUP(B62,Base!E:BG,Z62,0),0)</f>
        <v/>
      </c>
      <c r="AB62" s="330" t="n"/>
      <c r="AC62" s="327">
        <f>IFERROR(IF(VLOOKUP(B62,Detalle!$A:$AA,$AC$1,0)=0,"Sin datos",IFERROR(VLOOKUP(B62,Detalle!$A:$AA,$AC$1,0),"Sin datos")),"")</f>
        <v/>
      </c>
      <c r="AD62" s="93">
        <f>IFERROR(IF(VLOOKUP(B62,Detalle!$A:$AA,$AD$1,0)=0,"Sin datos",IFERROR(VLOOKUP(B62,Detalle!$A:$AA,$AD$1,0),"Sin datos")),"")</f>
        <v/>
      </c>
      <c r="AE62" s="327">
        <f>IFERROR(IF(VLOOKUP(B62,Detalle!$A:$AA,$AE$1,0)=0,"Sin datos",IFERROR(VLOOKUP(B62,Detalle!$A:$AA,$AE$1,0),"Sin datos")),"")</f>
        <v/>
      </c>
      <c r="AF62" s="93">
        <f>IFERROR(IF(VLOOKUP(B62,Detalle!$A:$AA,$AF$1,0)=0,"Sin datos",IFERROR(VLOOKUP(B62,Detalle!$A:$AA,$AF$1,0),"Sin datos")),"")</f>
        <v/>
      </c>
      <c r="AG62" s="327">
        <f>IFERROR(IF(VLOOKUP(B62,Detalle!$A:$AA,$AG$1,0)=0,"Sin datos",IFERROR(VLOOKUP(B62,Detalle!$A:$AA,$AG$1,0),"Sin datos")),"")</f>
        <v/>
      </c>
      <c r="AH62" s="93">
        <f>IFERROR(IF(VLOOKUP(B62,Detalle!$A:$AA,$AH$1,0)=0,"Sin datos",IFERROR(VLOOKUP(B62,Detalle!$A:$AA,$AH$1,0),"Sin datos")),"")</f>
        <v/>
      </c>
      <c r="AI62" s="98">
        <f>IF(AB62="",IF(MIN(AC62,AE62,AG62)&gt;E62,"Si","No"),IF(MIN(AC62,AG62,AG62)&gt;AB62,"Si","No"))</f>
        <v/>
      </c>
      <c r="AJ62" s="328">
        <f>MIN(AC62,AE62,AG62)</f>
        <v/>
      </c>
      <c r="AK62" s="328">
        <f>IFERROR(IF(MIN(AF62,AH62)=AD62,IF(AE62=AG62,"Escenario 5","Escenario 4"),IF(MIN(AF62,AH62)&lt;AD62,IF(AND(AD62-2&lt;=MIN(AF62,AH62),AE62&lt;&gt;AG62),"Escenario 1",IF(AND(AD62-2&lt;=MIN(AF62,AH62),AE62=AG62),"Escenario 2","Escenario 3")),IF(MIN(AF62,AH62)&gt;AD62,IF(AND(AD62+2&gt;=MIN(AF62,AH62),AE62=AG62),"Escenario 7",IF(AND(AD62+2&gt;=MIN(AF62,AH62),AE62&lt;&gt;AG62),"Escenario 6",IF(AD62+5&lt;=MIN(AF62,AH62),"Escenario 9","Escenario 8"))),"error"))),"Falta info")</f>
        <v/>
      </c>
      <c r="AL62" s="98">
        <f>IFERROR(VLOOKUP(AK62,Base!$BJ$37:$BL$45,3,0),0)</f>
        <v/>
      </c>
      <c r="AM62" s="330">
        <f>IF(LOOKUP(AK62,Base!$X$8:$BG$8)=AK62,VLOOKUP(B62,Base!E:BG,AL62,0),0)</f>
        <v/>
      </c>
      <c r="AN62" s="330" t="n"/>
      <c r="AP62" s="331">
        <f>IF(AM62&lt;=AA62,"REVISAR!","ok")</f>
        <v/>
      </c>
    </row>
    <row customHeight="1" ht="12.95" r="63" s="183" spans="1:43">
      <c r="B63" s="108" t="s">
        <v>80</v>
      </c>
      <c r="C63" s="89" t="s">
        <v>294</v>
      </c>
      <c r="D63" s="106">
        <f>VLOOKUP(B63,Base!E:G,3,0)</f>
        <v/>
      </c>
      <c r="E63" s="326">
        <f>IFERROR(IF(VLOOKUP(B63,Detalle!$A:$AA,$E$1,0)=0,"Sin datos",IFERROR(VLOOKUP(B63,Detalle!$A:$AA,$E$1,0),"Sin datos")),"")</f>
        <v/>
      </c>
      <c r="F63" s="91">
        <f>IFERROR(IF(VLOOKUP(B63,Detalle!$A:$AA,$F$1,0)=0,"Sin datos",IFERROR(VLOOKUP(B63,Detalle!$A:$AA,$F$1,0),"Sin datos")),"")</f>
        <v/>
      </c>
      <c r="G63" s="327">
        <f>IFERROR(IF(VLOOKUP(B63,Detalle!$A:$AA,$G$1,0)=0,"Sin datos",IFERROR(VLOOKUP(B63,Detalle!$A:$AA,$G$1,0),"Sin datos")),"")</f>
        <v/>
      </c>
      <c r="H63" s="93">
        <f>IFERROR(IF(VLOOKUP(B63,Detalle!$A:$AA,$H$1,0)=0,"Sin datos",IFERROR(VLOOKUP(B63,Detalle!$A:$AA,$H$1,0),"Sin datos")),"")</f>
        <v/>
      </c>
      <c r="I63" s="327">
        <f>IFERROR(IF(VLOOKUP(B63,Detalle!$A:$AA,$I$1,0)=0,"Sin datos",IFERROR(VLOOKUP(B63,Detalle!$A:$AA,$I$1,0),"Sin datos")),"")</f>
        <v/>
      </c>
      <c r="J63" s="93">
        <f>IFERROR(IF(VLOOKUP(B63,Detalle!$A:$AA,$J$1,0)=0,"Sin datos",IFERROR(VLOOKUP(B63,Detalle!$A:$AA,$J$1,0),"Sin datos")),"")</f>
        <v/>
      </c>
      <c r="K63" s="98" t="s">
        <v>293</v>
      </c>
      <c r="L63" s="328">
        <f>MIN(E63,G63,I63)</f>
        <v/>
      </c>
      <c r="M63" s="329">
        <f>IFERROR(IF(MIN(H63,J63)=F63,IF(G63=I63,"Escenario 5","Escenario 4"),IF(MIN(H63,J63)&lt;F63,IF(AND(F63-2&lt;=MIN(H63,J63),G63&lt;&gt;I63),"Escenario 1",IF(AND(F63-2&lt;=MIN(H63,J63),G63=I63),"Escenario 2","Escenario 3")),IF(MIN(H63,J63)&gt;F63,IF(AND(F63+2&gt;=MIN(H63,J63),G63=I63),"Escenario 7",IF(AND(F63+2&gt;=MIN(H63,J63),G63&lt;&gt;I63),"Escenario 6",IF(F63+5&lt;=MIN(H63,J63),"Escenario 9","Escenario 8"))),"error"))),"Falta info")</f>
        <v/>
      </c>
      <c r="N63" s="98">
        <f>IFERROR(VLOOKUP(M63,Base!$BJ$28:$BL$36,3,0),0)</f>
        <v/>
      </c>
      <c r="O63" s="330">
        <f>IF(LOOKUP(M63,Base!$X$8:$BG$8)=M63,VLOOKUP(B63,Base!E:BG,N63,0),0)</f>
        <v/>
      </c>
      <c r="P63" s="330" t="n"/>
      <c r="Q63" s="327">
        <f>IFERROR(IF(VLOOKUP(B63,Detalle!$A:$AA,$Q$1,0)=0,"Sin datos",IFERROR(VLOOKUP(B63,Detalle!$A:$AA,$Q$1,0),"Sin datos")),"")</f>
        <v/>
      </c>
      <c r="R63" s="93">
        <f>IFERROR(IF(VLOOKUP(B63,Detalle!$A:$AA,$R$1,0)=0,"Sin datos",IFERROR(VLOOKUP(B63,Detalle!$A:$AA,$R$1,0),"Sin datos")),"")</f>
        <v/>
      </c>
      <c r="S63" s="327">
        <f>IFERROR(IF(VLOOKUP(B63,Detalle!$A:$AA,$S$1,0)=0,"Sin datos",IFERROR(VLOOKUP(B63,Detalle!$A:$AA,$S$1,0),"Sin datos")),"")</f>
        <v/>
      </c>
      <c r="T63" s="93">
        <f>IFERROR(IF(VLOOKUP(B63,Detalle!$A:$AA,$T$1,0)=0,"Sin datos",IFERROR(VLOOKUP(B63,Detalle!$A:$AA,$T$1,0),"Sin datos")),"")</f>
        <v/>
      </c>
      <c r="U63" s="327">
        <f>IFERROR(IF(VLOOKUP(B63,Detalle!$A:$AA,$U$1,0)=0,"Sin datos",IFERROR(VLOOKUP(B63,Detalle!$A:$AA,$U$1,0),"Sin datos")),"")</f>
        <v/>
      </c>
      <c r="V63" s="93">
        <f>IFERROR(IF(VLOOKUP(B63,Detalle!$A:$AA,$V$1,0)=0,"Sin datos",IFERROR(VLOOKUP(B63,Detalle!$A:$AA,$V$1,0),"Sin datos")),"")</f>
        <v/>
      </c>
      <c r="W63" s="98">
        <f>IF(P63="",IF(MIN(Q63,S63,U63)&gt;E63,"Si","No"),IF(MIN(Q63,S63,U63)&gt;P63,"Si","No"))</f>
        <v/>
      </c>
      <c r="X63" s="328">
        <f>MIN(Q63,S63,U63)</f>
        <v/>
      </c>
      <c r="Y63" s="328">
        <f>IFERROR(IF(MIN(T63,V63)=R63,IF(S63=U63,"Escenario 5","Escenario 4"),IF(MIN(T63,V63)&lt;R63,IF(AND(R63-2&lt;=MIN(T63,V63),S63&lt;&gt;U63),"Escenario 1",IF(AND(R63-2&lt;=MIN(T63,V63),S63=U63),"Escenario 2","Escenario 3")),IF(MIN(T63,V63)&gt;R63,IF(AND(R63+2&gt;=MIN(T63,V63),S63=U63),"Escenario 7",IF(AND(R63+2&gt;=MIN(T63,V63),S63&lt;&gt;U63),"Escenario 6",IF(R63+5&lt;=MIN(T63,V63),"Escenario 9","Escenario 8"))),"error"))),"Falta info")</f>
        <v/>
      </c>
      <c r="Z63" s="98">
        <f>IFERROR(VLOOKUP(Y63,Base!$BJ$19:$BL$27,3,0),0)</f>
        <v/>
      </c>
      <c r="AA63" s="330">
        <f>IF(LOOKUP(Y63,Base!$X$8:$BG$8)=Y63,VLOOKUP(B63,Base!E:BG,Z63,0),0)</f>
        <v/>
      </c>
      <c r="AB63" s="330" t="n"/>
      <c r="AC63" s="327">
        <f>IFERROR(IF(VLOOKUP(B63,Detalle!$A:$AA,$AC$1,0)=0,"Sin datos",IFERROR(VLOOKUP(B63,Detalle!$A:$AA,$AC$1,0),"Sin datos")),"")</f>
        <v/>
      </c>
      <c r="AD63" s="93">
        <f>IFERROR(IF(VLOOKUP(B63,Detalle!$A:$AA,$AD$1,0)=0,"Sin datos",IFERROR(VLOOKUP(B63,Detalle!$A:$AA,$AD$1,0),"Sin datos")),"")</f>
        <v/>
      </c>
      <c r="AE63" s="327">
        <f>IFERROR(IF(VLOOKUP(B63,Detalle!$A:$AA,$AE$1,0)=0,"Sin datos",IFERROR(VLOOKUP(B63,Detalle!$A:$AA,$AE$1,0),"Sin datos")),"")</f>
        <v/>
      </c>
      <c r="AF63" s="93">
        <f>IFERROR(IF(VLOOKUP(B63,Detalle!$A:$AA,$AF$1,0)=0,"Sin datos",IFERROR(VLOOKUP(B63,Detalle!$A:$AA,$AF$1,0),"Sin datos")),"")</f>
        <v/>
      </c>
      <c r="AG63" s="327">
        <f>IFERROR(IF(VLOOKUP(B63,Detalle!$A:$AA,$AG$1,0)=0,"Sin datos",IFERROR(VLOOKUP(B63,Detalle!$A:$AA,$AG$1,0),"Sin datos")),"")</f>
        <v/>
      </c>
      <c r="AH63" s="93">
        <f>IFERROR(IF(VLOOKUP(B63,Detalle!$A:$AA,$AH$1,0)=0,"Sin datos",IFERROR(VLOOKUP(B63,Detalle!$A:$AA,$AH$1,0),"Sin datos")),"")</f>
        <v/>
      </c>
      <c r="AI63" s="98">
        <f>IF(AB63="",IF(MIN(AC63,AE63,AG63)&gt;E63,"Si","No"),IF(MIN(AC63,AG63,AG63)&gt;AB63,"Si","No"))</f>
        <v/>
      </c>
      <c r="AJ63" s="328">
        <f>MIN(AC63,AE63,AG63)</f>
        <v/>
      </c>
      <c r="AK63" s="328">
        <f>IFERROR(IF(MIN(AF63,AH63)=AD63,IF(AE63=AG63,"Escenario 5","Escenario 4"),IF(MIN(AF63,AH63)&lt;AD63,IF(AND(AD63-2&lt;=MIN(AF63,AH63),AE63&lt;&gt;AG63),"Escenario 1",IF(AND(AD63-2&lt;=MIN(AF63,AH63),AE63=AG63),"Escenario 2","Escenario 3")),IF(MIN(AF63,AH63)&gt;AD63,IF(AND(AD63+2&gt;=MIN(AF63,AH63),AE63=AG63),"Escenario 7",IF(AND(AD63+2&gt;=MIN(AF63,AH63),AE63&lt;&gt;AG63),"Escenario 6",IF(AD63+5&lt;=MIN(AF63,AH63),"Escenario 9","Escenario 8"))),"error"))),"Falta info")</f>
        <v/>
      </c>
      <c r="AL63" s="98">
        <f>IFERROR(VLOOKUP(AK63,Base!$BJ$37:$BL$45,3,0),0)</f>
        <v/>
      </c>
      <c r="AM63" s="330">
        <f>IF(LOOKUP(AK63,Base!$X$8:$BG$8)=AK63,VLOOKUP(B63,Base!E:BG,AL63,0),0)</f>
        <v/>
      </c>
      <c r="AN63" s="330" t="n"/>
      <c r="AP63" s="331">
        <f>IF(AM63&lt;=AA63,"REVISAR!","ok")</f>
        <v/>
      </c>
    </row>
    <row customHeight="1" ht="12.95" r="64" s="183" spans="1:43">
      <c r="B64" s="108" t="s">
        <v>256</v>
      </c>
      <c r="C64" s="89" t="s">
        <v>294</v>
      </c>
      <c r="D64" s="106">
        <f>VLOOKUP(B64,Base!E:G,3,0)</f>
        <v/>
      </c>
      <c r="E64" s="326">
        <f>IFERROR(IF(VLOOKUP(B64,Detalle!$A:$AA,$E$1,0)=0,"Sin datos",IFERROR(VLOOKUP(B64,Detalle!$A:$AA,$E$1,0),"Sin datos")),"")</f>
        <v/>
      </c>
      <c r="F64" s="91">
        <f>IFERROR(IF(VLOOKUP(B64,Detalle!$A:$AA,$F$1,0)=0,"Sin datos",IFERROR(VLOOKUP(B64,Detalle!$A:$AA,$F$1,0),"Sin datos")),"")</f>
        <v/>
      </c>
      <c r="G64" s="327">
        <f>IFERROR(IF(VLOOKUP(B64,Detalle!$A:$AA,$G$1,0)=0,"Sin datos",IFERROR(VLOOKUP(B64,Detalle!$A:$AA,$G$1,0),"Sin datos")),"")</f>
        <v/>
      </c>
      <c r="H64" s="93">
        <f>IFERROR(IF(VLOOKUP(B64,Detalle!$A:$AA,$H$1,0)=0,"Sin datos",IFERROR(VLOOKUP(B64,Detalle!$A:$AA,$H$1,0),"Sin datos")),"")</f>
        <v/>
      </c>
      <c r="I64" s="327">
        <f>IFERROR(IF(VLOOKUP(B64,Detalle!$A:$AA,$I$1,0)=0,"Sin datos",IFERROR(VLOOKUP(B64,Detalle!$A:$AA,$I$1,0),"Sin datos")),"")</f>
        <v/>
      </c>
      <c r="J64" s="93">
        <f>IFERROR(IF(VLOOKUP(B64,Detalle!$A:$AA,$J$1,0)=0,"Sin datos",IFERROR(VLOOKUP(B64,Detalle!$A:$AA,$J$1,0),"Sin datos")),"")</f>
        <v/>
      </c>
      <c r="K64" s="98" t="s">
        <v>293</v>
      </c>
      <c r="L64" s="328">
        <f>MIN(E64,G64,I64)</f>
        <v/>
      </c>
      <c r="M64" s="329">
        <f>IFERROR(IF(MIN(H64,J64)=F64,IF(G64=I64,"Escenario 5","Escenario 4"),IF(MIN(H64,J64)&lt;F64,IF(AND(F64-2&lt;=MIN(H64,J64),G64&lt;&gt;I64),"Escenario 1",IF(AND(F64-2&lt;=MIN(H64,J64),G64=I64),"Escenario 2","Escenario 3")),IF(MIN(H64,J64)&gt;F64,IF(AND(F64+2&gt;=MIN(H64,J64),G64=I64),"Escenario 7",IF(AND(F64+2&gt;=MIN(H64,J64),G64&lt;&gt;I64),"Escenario 6",IF(F64+5&lt;=MIN(H64,J64),"Escenario 9","Escenario 8"))),"error"))),"Falta info")</f>
        <v/>
      </c>
      <c r="N64" s="98">
        <f>IFERROR(VLOOKUP(M64,Base!$BJ$28:$BL$36,3,0),0)</f>
        <v/>
      </c>
      <c r="O64" s="330">
        <f>IF(LOOKUP(M64,Base!$X$8:$BG$8)=M64,VLOOKUP(B64,Base!E:BG,N64,0),0)</f>
        <v/>
      </c>
      <c r="P64" s="330" t="n">
        <v>4490</v>
      </c>
      <c r="Q64" s="327">
        <f>IFERROR(IF(VLOOKUP(B64,Detalle!$A:$AA,$Q$1,0)=0,"Sin datos",IFERROR(VLOOKUP(B64,Detalle!$A:$AA,$Q$1,0),"Sin datos")),"")</f>
        <v/>
      </c>
      <c r="R64" s="93">
        <f>IFERROR(IF(VLOOKUP(B64,Detalle!$A:$AA,$R$1,0)=0,"Sin datos",IFERROR(VLOOKUP(B64,Detalle!$A:$AA,$R$1,0),"Sin datos")),"")</f>
        <v/>
      </c>
      <c r="S64" s="327">
        <f>IFERROR(IF(VLOOKUP(B64,Detalle!$A:$AA,$S$1,0)=0,"Sin datos",IFERROR(VLOOKUP(B64,Detalle!$A:$AA,$S$1,0),"Sin datos")),"")</f>
        <v/>
      </c>
      <c r="T64" s="93">
        <f>IFERROR(IF(VLOOKUP(B64,Detalle!$A:$AA,$T$1,0)=0,"Sin datos",IFERROR(VLOOKUP(B64,Detalle!$A:$AA,$T$1,0),"Sin datos")),"")</f>
        <v/>
      </c>
      <c r="U64" s="327">
        <f>IFERROR(IF(VLOOKUP(B64,Detalle!$A:$AA,$U$1,0)=0,"Sin datos",IFERROR(VLOOKUP(B64,Detalle!$A:$AA,$U$1,0),"Sin datos")),"")</f>
        <v/>
      </c>
      <c r="V64" s="93">
        <f>IFERROR(IF(VLOOKUP(B64,Detalle!$A:$AA,$V$1,0)=0,"Sin datos",IFERROR(VLOOKUP(B64,Detalle!$A:$AA,$V$1,0),"Sin datos")),"")</f>
        <v/>
      </c>
      <c r="W64" s="98">
        <f>IF(P64="",IF(MIN(Q64,S64,U64)&gt;E64,"Si","No"),IF(MIN(Q64,S64,U64)&gt;P64,"Si","No"))</f>
        <v/>
      </c>
      <c r="X64" s="328">
        <f>MIN(Q64,S64,U64)</f>
        <v/>
      </c>
      <c r="Y64" s="328">
        <f>IFERROR(IF(MIN(T64,V64)=R64,IF(S64=U64,"Escenario 5","Escenario 4"),IF(MIN(T64,V64)&lt;R64,IF(AND(R64-2&lt;=MIN(T64,V64),S64&lt;&gt;U64),"Escenario 1",IF(AND(R64-2&lt;=MIN(T64,V64),S64=U64),"Escenario 2","Escenario 3")),IF(MIN(T64,V64)&gt;R64,IF(AND(R64+2&gt;=MIN(T64,V64),S64=U64),"Escenario 7",IF(AND(R64+2&gt;=MIN(T64,V64),S64&lt;&gt;U64),"Escenario 6",IF(R64+5&lt;=MIN(T64,V64),"Escenario 9","Escenario 8"))),"error"))),"Falta info")</f>
        <v/>
      </c>
      <c r="Z64" s="98">
        <f>IFERROR(VLOOKUP(Y64,Base!$BJ$19:$BL$27,3,0),0)</f>
        <v/>
      </c>
      <c r="AA64" s="330">
        <f>IF(LOOKUP(Y64,Base!$X$8:$BG$8)=Y64,VLOOKUP(B64,Base!E:BG,Z64,0),0)</f>
        <v/>
      </c>
      <c r="AB64" s="330" t="n">
        <v>10990</v>
      </c>
      <c r="AC64" s="327">
        <f>IFERROR(IF(VLOOKUP(B64,Detalle!$A:$AA,$AC$1,0)=0,"Sin datos",IFERROR(VLOOKUP(B64,Detalle!$A:$AA,$AC$1,0),"Sin datos")),"")</f>
        <v/>
      </c>
      <c r="AD64" s="93">
        <f>IFERROR(IF(VLOOKUP(B64,Detalle!$A:$AA,$AD$1,0)=0,"Sin datos",IFERROR(VLOOKUP(B64,Detalle!$A:$AA,$AD$1,0),"Sin datos")),"")</f>
        <v/>
      </c>
      <c r="AE64" s="327">
        <f>IFERROR(IF(VLOOKUP(B64,Detalle!$A:$AA,$AE$1,0)=0,"Sin datos",IFERROR(VLOOKUP(B64,Detalle!$A:$AA,$AE$1,0),"Sin datos")),"")</f>
        <v/>
      </c>
      <c r="AF64" s="93">
        <f>IFERROR(IF(VLOOKUP(B64,Detalle!$A:$AA,$AF$1,0)=0,"Sin datos",IFERROR(VLOOKUP(B64,Detalle!$A:$AA,$AF$1,0),"Sin datos")),"")</f>
        <v/>
      </c>
      <c r="AG64" s="327">
        <f>IFERROR(IF(VLOOKUP(B64,Detalle!$A:$AA,$AG$1,0)=0,"Sin datos",IFERROR(VLOOKUP(B64,Detalle!$A:$AA,$AG$1,0),"Sin datos")),"")</f>
        <v/>
      </c>
      <c r="AH64" s="93">
        <f>IFERROR(IF(VLOOKUP(B64,Detalle!$A:$AA,$AH$1,0)=0,"Sin datos",IFERROR(VLOOKUP(B64,Detalle!$A:$AA,$AH$1,0),"Sin datos")),"")</f>
        <v/>
      </c>
      <c r="AI64" s="98">
        <f>IF(AB64="",IF(MIN(AC64,AE64,AG64)&gt;E64,"Si","No"),IF(MIN(AC64,AG64,AG64)&gt;AB64,"Si","No"))</f>
        <v/>
      </c>
      <c r="AJ64" s="328">
        <f>MIN(AC64,AE64,AG64)</f>
        <v/>
      </c>
      <c r="AK64" s="328">
        <f>IFERROR(IF(MIN(AF64,AH64)=AD64,IF(AE64=AG64,"Escenario 5","Escenario 4"),IF(MIN(AF64,AH64)&lt;AD64,IF(AND(AD64-2&lt;=MIN(AF64,AH64),AE64&lt;&gt;AG64),"Escenario 1",IF(AND(AD64-2&lt;=MIN(AF64,AH64),AE64=AG64),"Escenario 2","Escenario 3")),IF(MIN(AF64,AH64)&gt;AD64,IF(AND(AD64+2&gt;=MIN(AF64,AH64),AE64=AG64),"Escenario 7",IF(AND(AD64+2&gt;=MIN(AF64,AH64),AE64&lt;&gt;AG64),"Escenario 6",IF(AD64+5&lt;=MIN(AF64,AH64),"Escenario 9","Escenario 8"))),"error"))),"Falta info")</f>
        <v/>
      </c>
      <c r="AL64" s="98">
        <f>IFERROR(VLOOKUP(AK64,Base!$BJ$37:$BL$45,3,0),0)</f>
        <v/>
      </c>
      <c r="AM64" s="330">
        <f>IF(LOOKUP(AK64,Base!$X$8:$BG$8)=AK64,VLOOKUP(B64,Base!E:BG,AL64,0),0)</f>
        <v/>
      </c>
      <c r="AN64" s="330" t="n">
        <v>13990</v>
      </c>
      <c r="AP64" s="331" t="n"/>
    </row>
    <row customHeight="1" ht="12.95" r="65" s="183" spans="1:43">
      <c r="B65" s="108" t="s">
        <v>42</v>
      </c>
      <c r="C65" s="89" t="s">
        <v>294</v>
      </c>
      <c r="D65" s="106">
        <f>VLOOKUP(B65,Base!E:G,3,0)</f>
        <v/>
      </c>
      <c r="E65" s="326">
        <f>IFERROR(IF(VLOOKUP(B65,Detalle!$A:$AA,$E$1,0)=0,"Sin datos",IFERROR(VLOOKUP(B65,Detalle!$A:$AA,$E$1,0),"Sin datos")),"")</f>
        <v/>
      </c>
      <c r="F65" s="91">
        <f>IFERROR(IF(VLOOKUP(B65,Detalle!$A:$AA,$F$1,0)=0,"Sin datos",IFERROR(VLOOKUP(B65,Detalle!$A:$AA,$F$1,0),"Sin datos")),"")</f>
        <v/>
      </c>
      <c r="G65" s="327">
        <f>IFERROR(IF(VLOOKUP(B65,Detalle!$A:$AA,$G$1,0)=0,"Sin datos",IFERROR(VLOOKUP(B65,Detalle!$A:$AA,$G$1,0),"Sin datos")),"")</f>
        <v/>
      </c>
      <c r="H65" s="93">
        <f>IFERROR(IF(VLOOKUP(B65,Detalle!$A:$AA,$H$1,0)=0,"Sin datos",IFERROR(VLOOKUP(B65,Detalle!$A:$AA,$H$1,0),"Sin datos")),"")</f>
        <v/>
      </c>
      <c r="I65" s="327">
        <f>IFERROR(IF(VLOOKUP(B65,Detalle!$A:$AA,$I$1,0)=0,"Sin datos",IFERROR(VLOOKUP(B65,Detalle!$A:$AA,$I$1,0),"Sin datos")),"")</f>
        <v/>
      </c>
      <c r="J65" s="93">
        <f>IFERROR(IF(VLOOKUP(B65,Detalle!$A:$AA,$J$1,0)=0,"Sin datos",IFERROR(VLOOKUP(B65,Detalle!$A:$AA,$J$1,0),"Sin datos")),"")</f>
        <v/>
      </c>
      <c r="K65" s="98" t="s">
        <v>293</v>
      </c>
      <c r="L65" s="328">
        <f>MIN(E65,G65,I65)</f>
        <v/>
      </c>
      <c r="M65" s="329">
        <f>IFERROR(IF(MIN(H65,J65)=F65,IF(G65=I65,"Escenario 5","Escenario 4"),IF(MIN(H65,J65)&lt;F65,IF(AND(F65-2&lt;=MIN(H65,J65),G65&lt;&gt;I65),"Escenario 1",IF(AND(F65-2&lt;=MIN(H65,J65),G65=I65),"Escenario 2","Escenario 3")),IF(MIN(H65,J65)&gt;F65,IF(AND(F65+2&gt;=MIN(H65,J65),G65=I65),"Escenario 7",IF(AND(F65+2&gt;=MIN(H65,J65),G65&lt;&gt;I65),"Escenario 6",IF(F65+5&lt;=MIN(H65,J65),"Escenario 9","Escenario 8"))),"error"))),"Falta info")</f>
        <v/>
      </c>
      <c r="N65" s="98">
        <f>IFERROR(VLOOKUP(M65,Base!$BJ$28:$BL$36,3,0),0)</f>
        <v/>
      </c>
      <c r="O65" s="330">
        <f>IF(LOOKUP(M65,Base!$X$8:$BG$8)=M65,VLOOKUP(B65,Base!E:BG,N65,0),0)</f>
        <v/>
      </c>
      <c r="P65" s="330" t="n"/>
      <c r="Q65" s="327">
        <f>IFERROR(IF(VLOOKUP(B65,Detalle!$A:$AA,$Q$1,0)=0,"Sin datos",IFERROR(VLOOKUP(B65,Detalle!$A:$AA,$Q$1,0),"Sin datos")),"")</f>
        <v/>
      </c>
      <c r="R65" s="93">
        <f>IFERROR(IF(VLOOKUP(B65,Detalle!$A:$AA,$R$1,0)=0,"Sin datos",IFERROR(VLOOKUP(B65,Detalle!$A:$AA,$R$1,0),"Sin datos")),"")</f>
        <v/>
      </c>
      <c r="S65" s="327">
        <f>IFERROR(IF(VLOOKUP(B65,Detalle!$A:$AA,$S$1,0)=0,"Sin datos",IFERROR(VLOOKUP(B65,Detalle!$A:$AA,$S$1,0),"Sin datos")),"")</f>
        <v/>
      </c>
      <c r="T65" s="93">
        <f>IFERROR(IF(VLOOKUP(B65,Detalle!$A:$AA,$T$1,0)=0,"Sin datos",IFERROR(VLOOKUP(B65,Detalle!$A:$AA,$T$1,0),"Sin datos")),"")</f>
        <v/>
      </c>
      <c r="U65" s="327">
        <f>IFERROR(IF(VLOOKUP(B65,Detalle!$A:$AA,$U$1,0)=0,"Sin datos",IFERROR(VLOOKUP(B65,Detalle!$A:$AA,$U$1,0),"Sin datos")),"")</f>
        <v/>
      </c>
      <c r="V65" s="93">
        <f>IFERROR(IF(VLOOKUP(B65,Detalle!$A:$AA,$V$1,0)=0,"Sin datos",IFERROR(VLOOKUP(B65,Detalle!$A:$AA,$V$1,0),"Sin datos")),"")</f>
        <v/>
      </c>
      <c r="W65" s="98">
        <f>IF(P65="",IF(MIN(Q65,S65,U65)&gt;E65,"Si","No"),IF(MIN(Q65,S65,U65)&gt;P65,"Si","No"))</f>
        <v/>
      </c>
      <c r="X65" s="328">
        <f>MIN(Q65,S65,U65)</f>
        <v/>
      </c>
      <c r="Y65" s="328">
        <f>IFERROR(IF(MIN(T65,V65)=R65,IF(S65=U65,"Escenario 5","Escenario 4"),IF(MIN(T65,V65)&lt;R65,IF(AND(R65-2&lt;=MIN(T65,V65),S65&lt;&gt;U65),"Escenario 1",IF(AND(R65-2&lt;=MIN(T65,V65),S65=U65),"Escenario 2","Escenario 3")),IF(MIN(T65,V65)&gt;R65,IF(AND(R65+2&gt;=MIN(T65,V65),S65=U65),"Escenario 7",IF(AND(R65+2&gt;=MIN(T65,V65),S65&lt;&gt;U65),"Escenario 6",IF(R65+5&lt;=MIN(T65,V65),"Escenario 9","Escenario 8"))),"error"))),"Falta info")</f>
        <v/>
      </c>
      <c r="Z65" s="98">
        <f>IFERROR(VLOOKUP(Y65,Base!$BJ$19:$BL$27,3,0),0)</f>
        <v/>
      </c>
      <c r="AA65" s="332">
        <f>IF(LOOKUP(Y65,Base!$X$8:$BG$8)=Y65,VLOOKUP(B65,Base!E:BG,Z65,0),0)</f>
        <v/>
      </c>
      <c r="AB65" s="332" t="n">
        <v>31990</v>
      </c>
      <c r="AC65" s="327">
        <f>IFERROR(IF(VLOOKUP(B65,Detalle!$A:$AA,$AC$1,0)=0,"Sin datos",IFERROR(VLOOKUP(B65,Detalle!$A:$AA,$AC$1,0),"Sin datos")),"")</f>
        <v/>
      </c>
      <c r="AD65" s="93">
        <f>IFERROR(IF(VLOOKUP(B65,Detalle!$A:$AA,$AD$1,0)=0,"Sin datos",IFERROR(VLOOKUP(B65,Detalle!$A:$AA,$AD$1,0),"Sin datos")),"")</f>
        <v/>
      </c>
      <c r="AE65" s="327">
        <f>IFERROR(IF(VLOOKUP(B65,Detalle!$A:$AA,$AE$1,0)=0,"Sin datos",IFERROR(VLOOKUP(B65,Detalle!$A:$AA,$AE$1,0),"Sin datos")),"")</f>
        <v/>
      </c>
      <c r="AF65" s="93">
        <f>IFERROR(IF(VLOOKUP(B65,Detalle!$A:$AA,$AF$1,0)=0,"Sin datos",IFERROR(VLOOKUP(B65,Detalle!$A:$AA,$AF$1,0),"Sin datos")),"")</f>
        <v/>
      </c>
      <c r="AG65" s="327">
        <f>IFERROR(IF(VLOOKUP(B65,Detalle!$A:$AA,$AG$1,0)=0,"Sin datos",IFERROR(VLOOKUP(B65,Detalle!$A:$AA,$AG$1,0),"Sin datos")),"")</f>
        <v/>
      </c>
      <c r="AH65" s="93">
        <f>IFERROR(IF(VLOOKUP(B65,Detalle!$A:$AA,$AH$1,0)=0,"Sin datos",IFERROR(VLOOKUP(B65,Detalle!$A:$AA,$AH$1,0),"Sin datos")),"")</f>
        <v/>
      </c>
      <c r="AI65" s="98">
        <f>IF(AB65="",IF(MIN(AC65,AE65,AG65)&gt;E65,"Si","No"),IF(MIN(AC65,AG65,AG65)&gt;AB65,"Si","No"))</f>
        <v/>
      </c>
      <c r="AJ65" s="328">
        <f>MIN(AC65,AE65,AG65)</f>
        <v/>
      </c>
      <c r="AK65" s="328">
        <f>IFERROR(IF(MIN(AF65,AH65)=AD65,IF(AE65=AG65,"Escenario 5","Escenario 4"),IF(MIN(AF65,AH65)&lt;AD65,IF(AND(AD65-2&lt;=MIN(AF65,AH65),AE65&lt;&gt;AG65),"Escenario 1",IF(AND(AD65-2&lt;=MIN(AF65,AH65),AE65=AG65),"Escenario 2","Escenario 3")),IF(MIN(AF65,AH65)&gt;AD65,IF(AND(AD65+2&gt;=MIN(AF65,AH65),AE65=AG65),"Escenario 7",IF(AND(AD65+2&gt;=MIN(AF65,AH65),AE65&lt;&gt;AG65),"Escenario 6",IF(AD65+5&lt;=MIN(AF65,AH65),"Escenario 9","Escenario 8"))),"error"))),"Falta info")</f>
        <v/>
      </c>
      <c r="AL65" s="98">
        <f>IFERROR(VLOOKUP(AK65,Base!$BJ$37:$BL$45,3,0),0)</f>
        <v/>
      </c>
      <c r="AM65" s="332">
        <f>IF(LOOKUP(AK65,Base!$X$8:$BG$8)=AK65,VLOOKUP(B65,Base!E:BG,AL65,0),0)</f>
        <v/>
      </c>
      <c r="AN65" s="332" t="n">
        <v>41990</v>
      </c>
      <c r="AP65" s="331">
        <f>IF(AM65&lt;=AA65,"REVISAR!","ok")</f>
        <v/>
      </c>
    </row>
    <row customHeight="1" ht="12.95" r="66" s="183" spans="1:43">
      <c r="B66" s="108" t="s">
        <v>94</v>
      </c>
      <c r="C66" s="89" t="s">
        <v>294</v>
      </c>
      <c r="D66" s="106">
        <f>VLOOKUP(B66,Base!E:G,3,0)</f>
        <v/>
      </c>
      <c r="E66" s="326">
        <f>IFERROR(IF(VLOOKUP(B66,Detalle!$A:$AA,$E$1,0)=0,"Sin datos",IFERROR(VLOOKUP(B66,Detalle!$A:$AA,$E$1,0),"Sin datos")),"")</f>
        <v/>
      </c>
      <c r="F66" s="91">
        <f>IFERROR(IF(VLOOKUP(B66,Detalle!$A:$AA,$F$1,0)=0,"Sin datos",IFERROR(VLOOKUP(B66,Detalle!$A:$AA,$F$1,0),"Sin datos")),"")</f>
        <v/>
      </c>
      <c r="G66" s="327">
        <f>IFERROR(IF(VLOOKUP(B66,Detalle!$A:$AA,$G$1,0)=0,"Sin datos",IFERROR(VLOOKUP(B66,Detalle!$A:$AA,$G$1,0),"Sin datos")),"")</f>
        <v/>
      </c>
      <c r="H66" s="93">
        <f>IFERROR(IF(VLOOKUP(B66,Detalle!$A:$AA,$H$1,0)=0,"Sin datos",IFERROR(VLOOKUP(B66,Detalle!$A:$AA,$H$1,0),"Sin datos")),"")</f>
        <v/>
      </c>
      <c r="I66" s="327">
        <f>IFERROR(IF(VLOOKUP(B66,Detalle!$A:$AA,$I$1,0)=0,"Sin datos",IFERROR(VLOOKUP(B66,Detalle!$A:$AA,$I$1,0),"Sin datos")),"")</f>
        <v/>
      </c>
      <c r="J66" s="93">
        <f>IFERROR(IF(VLOOKUP(B66,Detalle!$A:$AA,$J$1,0)=0,"Sin datos",IFERROR(VLOOKUP(B66,Detalle!$A:$AA,$J$1,0),"Sin datos")),"")</f>
        <v/>
      </c>
      <c r="K66" s="98" t="s">
        <v>293</v>
      </c>
      <c r="L66" s="328">
        <f>MIN(E66,G66,I66)</f>
        <v/>
      </c>
      <c r="M66" s="329">
        <f>IFERROR(IF(MIN(H66,J66)=F66,IF(G66=I66,"Escenario 5","Escenario 4"),IF(MIN(H66,J66)&lt;F66,IF(AND(F66-2&lt;=MIN(H66,J66),G66&lt;&gt;I66),"Escenario 1",IF(AND(F66-2&lt;=MIN(H66,J66),G66=I66),"Escenario 2","Escenario 3")),IF(MIN(H66,J66)&gt;F66,IF(AND(F66+2&gt;=MIN(H66,J66),G66=I66),"Escenario 7",IF(AND(F66+2&gt;=MIN(H66,J66),G66&lt;&gt;I66),"Escenario 6",IF(F66+5&lt;=MIN(H66,J66),"Escenario 9","Escenario 8"))),"error"))),"Falta info")</f>
        <v/>
      </c>
      <c r="N66" s="98">
        <f>IFERROR(VLOOKUP(M66,Base!$BJ$28:$BL$36,3,0),0)</f>
        <v/>
      </c>
      <c r="O66" s="330">
        <f>IF(LOOKUP(M66,Base!$X$8:$BG$8)=M66,VLOOKUP(B66,Base!E:BG,N66,0),0)</f>
        <v/>
      </c>
      <c r="P66" s="330" t="n"/>
      <c r="Q66" s="327">
        <f>IFERROR(IF(VLOOKUP(B66,Detalle!$A:$AA,$Q$1,0)=0,"Sin datos",IFERROR(VLOOKUP(B66,Detalle!$A:$AA,$Q$1,0),"Sin datos")),"")</f>
        <v/>
      </c>
      <c r="R66" s="93">
        <f>IFERROR(IF(VLOOKUP(B66,Detalle!$A:$AA,$R$1,0)=0,"Sin datos",IFERROR(VLOOKUP(B66,Detalle!$A:$AA,$R$1,0),"Sin datos")),"")</f>
        <v/>
      </c>
      <c r="S66" s="327">
        <f>IFERROR(IF(VLOOKUP(B66,Detalle!$A:$AA,$S$1,0)=0,"Sin datos",IFERROR(VLOOKUP(B66,Detalle!$A:$AA,$S$1,0),"Sin datos")),"")</f>
        <v/>
      </c>
      <c r="T66" s="93">
        <f>IFERROR(IF(VLOOKUP(B66,Detalle!$A:$AA,$T$1,0)=0,"Sin datos",IFERROR(VLOOKUP(B66,Detalle!$A:$AA,$T$1,0),"Sin datos")),"")</f>
        <v/>
      </c>
      <c r="U66" s="327">
        <f>IFERROR(IF(VLOOKUP(B66,Detalle!$A:$AA,$U$1,0)=0,"Sin datos",IFERROR(VLOOKUP(B66,Detalle!$A:$AA,$U$1,0),"Sin datos")),"")</f>
        <v/>
      </c>
      <c r="V66" s="93">
        <f>IFERROR(IF(VLOOKUP(B66,Detalle!$A:$AA,$V$1,0)=0,"Sin datos",IFERROR(VLOOKUP(B66,Detalle!$A:$AA,$V$1,0),"Sin datos")),"")</f>
        <v/>
      </c>
      <c r="W66" s="98">
        <f>IF(P66="",IF(MIN(Q66,S66,U66)&gt;E66,"Si","No"),IF(MIN(Q66,S66,U66)&gt;P66,"Si","No"))</f>
        <v/>
      </c>
      <c r="X66" s="328">
        <f>MIN(Q66,S66,U66)</f>
        <v/>
      </c>
      <c r="Y66" s="328">
        <f>IFERROR(IF(MIN(T66,V66)=R66,IF(S66=U66,"Escenario 5","Escenario 4"),IF(MIN(T66,V66)&lt;R66,IF(AND(R66-2&lt;=MIN(T66,V66),S66&lt;&gt;U66),"Escenario 1",IF(AND(R66-2&lt;=MIN(T66,V66),S66=U66),"Escenario 2","Escenario 3")),IF(MIN(T66,V66)&gt;R66,IF(AND(R66+2&gt;=MIN(T66,V66),S66=U66),"Escenario 7",IF(AND(R66+2&gt;=MIN(T66,V66),S66&lt;&gt;U66),"Escenario 6",IF(R66+5&lt;=MIN(T66,V66),"Escenario 9","Escenario 8"))),"error"))),"Falta info")</f>
        <v/>
      </c>
      <c r="Z66" s="98">
        <f>IFERROR(VLOOKUP(Y66,Base!$BJ$19:$BL$27,3,0),0)</f>
        <v/>
      </c>
      <c r="AA66" s="330">
        <f>IF(LOOKUP(Y66,Base!$X$8:$BG$8)=Y66,VLOOKUP(B66,Base!E:BG,Z66,0),0)</f>
        <v/>
      </c>
      <c r="AB66" s="330" t="n"/>
      <c r="AC66" s="327">
        <f>IFERROR(IF(VLOOKUP(B66,Detalle!$A:$AA,$AC$1,0)=0,"Sin datos",IFERROR(VLOOKUP(B66,Detalle!$A:$AA,$AC$1,0),"Sin datos")),"")</f>
        <v/>
      </c>
      <c r="AD66" s="93">
        <f>IFERROR(IF(VLOOKUP(B66,Detalle!$A:$AA,$AD$1,0)=0,"Sin datos",IFERROR(VLOOKUP(B66,Detalle!$A:$AA,$AD$1,0),"Sin datos")),"")</f>
        <v/>
      </c>
      <c r="AE66" s="327">
        <f>IFERROR(IF(VLOOKUP(B66,Detalle!$A:$AA,$AE$1,0)=0,"Sin datos",IFERROR(VLOOKUP(B66,Detalle!$A:$AA,$AE$1,0),"Sin datos")),"")</f>
        <v/>
      </c>
      <c r="AF66" s="93">
        <f>IFERROR(IF(VLOOKUP(B66,Detalle!$A:$AA,$AF$1,0)=0,"Sin datos",IFERROR(VLOOKUP(B66,Detalle!$A:$AA,$AF$1,0),"Sin datos")),"")</f>
        <v/>
      </c>
      <c r="AG66" s="327">
        <f>IFERROR(IF(VLOOKUP(B66,Detalle!$A:$AA,$AG$1,0)=0,"Sin datos",IFERROR(VLOOKUP(B66,Detalle!$A:$AA,$AG$1,0),"Sin datos")),"")</f>
        <v/>
      </c>
      <c r="AH66" s="93">
        <f>IFERROR(IF(VLOOKUP(B66,Detalle!$A:$AA,$AH$1,0)=0,"Sin datos",IFERROR(VLOOKUP(B66,Detalle!$A:$AA,$AH$1,0),"Sin datos")),"")</f>
        <v/>
      </c>
      <c r="AI66" s="98">
        <f>IF(AB66="",IF(MIN(AC66,AE66,AG66)&gt;E66,"Si","No"),IF(MIN(AC66,AG66,AG66)&gt;AB66,"Si","No"))</f>
        <v/>
      </c>
      <c r="AJ66" s="328">
        <f>MIN(AC66,AE66,AG66)</f>
        <v/>
      </c>
      <c r="AK66" s="328">
        <f>IFERROR(IF(MIN(AF66,AH66)=AD66,IF(AE66=AG66,"Escenario 5","Escenario 4"),IF(MIN(AF66,AH66)&lt;AD66,IF(AND(AD66-2&lt;=MIN(AF66,AH66),AE66&lt;&gt;AG66),"Escenario 1",IF(AND(AD66-2&lt;=MIN(AF66,AH66),AE66=AG66),"Escenario 2","Escenario 3")),IF(MIN(AF66,AH66)&gt;AD66,IF(AND(AD66+2&gt;=MIN(AF66,AH66),AE66=AG66),"Escenario 7",IF(AND(AD66+2&gt;=MIN(AF66,AH66),AE66&lt;&gt;AG66),"Escenario 6",IF(AD66+5&lt;=MIN(AF66,AH66),"Escenario 9","Escenario 8"))),"error"))),"Falta info")</f>
        <v/>
      </c>
      <c r="AL66" s="98">
        <f>IFERROR(VLOOKUP(AK66,Base!$BJ$37:$BL$45,3,0),0)</f>
        <v/>
      </c>
      <c r="AM66" s="330">
        <f>IF(LOOKUP(AK66,Base!$X$8:$BG$8)=AK66,VLOOKUP(B66,Base!E:BG,AL66,0),0)</f>
        <v/>
      </c>
      <c r="AN66" s="330" t="n"/>
      <c r="AP66" s="331">
        <f>IF(AM66&lt;=AA66,"REVISAR!","ok")</f>
        <v/>
      </c>
    </row>
    <row customHeight="1" ht="12.95" r="67" s="183" spans="1:43">
      <c r="B67" s="108" t="s">
        <v>84</v>
      </c>
      <c r="C67" s="89" t="s">
        <v>294</v>
      </c>
      <c r="D67" s="106">
        <f>VLOOKUP(B67,Base!E:G,3,0)</f>
        <v/>
      </c>
      <c r="E67" s="326">
        <f>IFERROR(IF(VLOOKUP(B67,Detalle!$A:$AA,$E$1,0)=0,"Sin datos",IFERROR(VLOOKUP(B67,Detalle!$A:$AA,$E$1,0),"Sin datos")),"")</f>
        <v/>
      </c>
      <c r="F67" s="91">
        <f>IFERROR(IF(VLOOKUP(B67,Detalle!$A:$AA,$F$1,0)=0,"Sin datos",IFERROR(VLOOKUP(B67,Detalle!$A:$AA,$F$1,0),"Sin datos")),"")</f>
        <v/>
      </c>
      <c r="G67" s="327">
        <f>IFERROR(IF(VLOOKUP(B67,Detalle!$A:$AA,$G$1,0)=0,"Sin datos",IFERROR(VLOOKUP(B67,Detalle!$A:$AA,$G$1,0),"Sin datos")),"")</f>
        <v/>
      </c>
      <c r="H67" s="93">
        <f>IFERROR(IF(VLOOKUP(B67,Detalle!$A:$AA,$H$1,0)=0,"Sin datos",IFERROR(VLOOKUP(B67,Detalle!$A:$AA,$H$1,0),"Sin datos")),"")</f>
        <v/>
      </c>
      <c r="I67" s="327">
        <f>IFERROR(IF(VLOOKUP(B67,Detalle!$A:$AA,$I$1,0)=0,"Sin datos",IFERROR(VLOOKUP(B67,Detalle!$A:$AA,$I$1,0),"Sin datos")),"")</f>
        <v/>
      </c>
      <c r="J67" s="93">
        <f>IFERROR(IF(VLOOKUP(B67,Detalle!$A:$AA,$J$1,0)=0,"Sin datos",IFERROR(VLOOKUP(B67,Detalle!$A:$AA,$J$1,0),"Sin datos")),"")</f>
        <v/>
      </c>
      <c r="K67" s="98" t="s">
        <v>293</v>
      </c>
      <c r="L67" s="328">
        <f>MIN(E67,G67,I67)</f>
        <v/>
      </c>
      <c r="M67" s="329">
        <f>IFERROR(IF(MIN(H67,J67)=F67,IF(G67=I67,"Escenario 5","Escenario 4"),IF(MIN(H67,J67)&lt;F67,IF(AND(F67-2&lt;=MIN(H67,J67),G67&lt;&gt;I67),"Escenario 1",IF(AND(F67-2&lt;=MIN(H67,J67),G67=I67),"Escenario 2","Escenario 3")),IF(MIN(H67,J67)&gt;F67,IF(AND(F67+2&gt;=MIN(H67,J67),G67=I67),"Escenario 7",IF(AND(F67+2&gt;=MIN(H67,J67),G67&lt;&gt;I67),"Escenario 6",IF(F67+5&lt;=MIN(H67,J67),"Escenario 9","Escenario 8"))),"error"))),"Falta info")</f>
        <v/>
      </c>
      <c r="N67" s="98">
        <f>IFERROR(VLOOKUP(M67,Base!$BJ$28:$BL$36,3,0),0)</f>
        <v/>
      </c>
      <c r="O67" s="330">
        <f>IF(LOOKUP(M67,Base!$X$8:$BG$8)=M67,VLOOKUP(B67,Base!E:BG,N67,0),0)</f>
        <v/>
      </c>
      <c r="P67" s="330" t="n"/>
      <c r="Q67" s="327">
        <f>IFERROR(IF(VLOOKUP(B67,Detalle!$A:$AA,$Q$1,0)=0,"Sin datos",IFERROR(VLOOKUP(B67,Detalle!$A:$AA,$Q$1,0),"Sin datos")),"")</f>
        <v/>
      </c>
      <c r="R67" s="93">
        <f>IFERROR(IF(VLOOKUP(B67,Detalle!$A:$AA,$R$1,0)=0,"Sin datos",IFERROR(VLOOKUP(B67,Detalle!$A:$AA,$R$1,0),"Sin datos")),"")</f>
        <v/>
      </c>
      <c r="S67" s="327">
        <f>IFERROR(IF(VLOOKUP(B67,Detalle!$A:$AA,$S$1,0)=0,"Sin datos",IFERROR(VLOOKUP(B67,Detalle!$A:$AA,$S$1,0),"Sin datos")),"")</f>
        <v/>
      </c>
      <c r="T67" s="93">
        <f>IFERROR(IF(VLOOKUP(B67,Detalle!$A:$AA,$T$1,0)=0,"Sin datos",IFERROR(VLOOKUP(B67,Detalle!$A:$AA,$T$1,0),"Sin datos")),"")</f>
        <v/>
      </c>
      <c r="U67" s="327">
        <f>IFERROR(IF(VLOOKUP(B67,Detalle!$A:$AA,$U$1,0)=0,"Sin datos",IFERROR(VLOOKUP(B67,Detalle!$A:$AA,$U$1,0),"Sin datos")),"")</f>
        <v/>
      </c>
      <c r="V67" s="93">
        <f>IFERROR(IF(VLOOKUP(B67,Detalle!$A:$AA,$V$1,0)=0,"Sin datos",IFERROR(VLOOKUP(B67,Detalle!$A:$AA,$V$1,0),"Sin datos")),"")</f>
        <v/>
      </c>
      <c r="W67" s="98">
        <f>IF(P67="",IF(MIN(Q67,S67,U67)&gt;E67,"Si","No"),IF(MIN(Q67,S67,U67)&gt;P67,"Si","No"))</f>
        <v/>
      </c>
      <c r="X67" s="328">
        <f>MIN(Q67,S67,U67)</f>
        <v/>
      </c>
      <c r="Y67" s="328">
        <f>IFERROR(IF(MIN(T67,V67)=R67,IF(S67=U67,"Escenario 5","Escenario 4"),IF(MIN(T67,V67)&lt;R67,IF(AND(R67-2&lt;=MIN(T67,V67),S67&lt;&gt;U67),"Escenario 1",IF(AND(R67-2&lt;=MIN(T67,V67),S67=U67),"Escenario 2","Escenario 3")),IF(MIN(T67,V67)&gt;R67,IF(AND(R67+2&gt;=MIN(T67,V67),S67=U67),"Escenario 7",IF(AND(R67+2&gt;=MIN(T67,V67),S67&lt;&gt;U67),"Escenario 6",IF(R67+5&lt;=MIN(T67,V67),"Escenario 9","Escenario 8"))),"error"))),"Falta info")</f>
        <v/>
      </c>
      <c r="Z67" s="98">
        <f>IFERROR(VLOOKUP(Y67,Base!$BJ$19:$BL$27,3,0),0)</f>
        <v/>
      </c>
      <c r="AA67" s="330">
        <f>IF(LOOKUP(Y67,Base!$X$8:$BG$8)=Y67,VLOOKUP(B67,Base!E:BG,Z67,0),0)</f>
        <v/>
      </c>
      <c r="AB67" s="330" t="n"/>
      <c r="AC67" s="327">
        <f>IFERROR(IF(VLOOKUP(B67,Detalle!$A:$AA,$AC$1,0)=0,"Sin datos",IFERROR(VLOOKUP(B67,Detalle!$A:$AA,$AC$1,0),"Sin datos")),"")</f>
        <v/>
      </c>
      <c r="AD67" s="93">
        <f>IFERROR(IF(VLOOKUP(B67,Detalle!$A:$AA,$AD$1,0)=0,"Sin datos",IFERROR(VLOOKUP(B67,Detalle!$A:$AA,$AD$1,0),"Sin datos")),"")</f>
        <v/>
      </c>
      <c r="AE67" s="327">
        <f>IFERROR(IF(VLOOKUP(B67,Detalle!$A:$AA,$AE$1,0)=0,"Sin datos",IFERROR(VLOOKUP(B67,Detalle!$A:$AA,$AE$1,0),"Sin datos")),"")</f>
        <v/>
      </c>
      <c r="AF67" s="93">
        <f>IFERROR(IF(VLOOKUP(B67,Detalle!$A:$AA,$AF$1,0)=0,"Sin datos",IFERROR(VLOOKUP(B67,Detalle!$A:$AA,$AF$1,0),"Sin datos")),"")</f>
        <v/>
      </c>
      <c r="AG67" s="327">
        <f>IFERROR(IF(VLOOKUP(B67,Detalle!$A:$AA,$AG$1,0)=0,"Sin datos",IFERROR(VLOOKUP(B67,Detalle!$A:$AA,$AG$1,0),"Sin datos")),"")</f>
        <v/>
      </c>
      <c r="AH67" s="93">
        <f>IFERROR(IF(VLOOKUP(B67,Detalle!$A:$AA,$AH$1,0)=0,"Sin datos",IFERROR(VLOOKUP(B67,Detalle!$A:$AA,$AH$1,0),"Sin datos")),"")</f>
        <v/>
      </c>
      <c r="AI67" s="98">
        <f>IF(AB67="",IF(MIN(AC67,AE67,AG67)&gt;E67,"Si","No"),IF(MIN(AC67,AG67,AG67)&gt;AB67,"Si","No"))</f>
        <v/>
      </c>
      <c r="AJ67" s="328">
        <f>MIN(AC67,AE67,AG67)</f>
        <v/>
      </c>
      <c r="AK67" s="328">
        <f>IFERROR(IF(MIN(AF67,AH67)=AD67,IF(AE67=AG67,"Escenario 5","Escenario 4"),IF(MIN(AF67,AH67)&lt;AD67,IF(AND(AD67-2&lt;=MIN(AF67,AH67),AE67&lt;&gt;AG67),"Escenario 1",IF(AND(AD67-2&lt;=MIN(AF67,AH67),AE67=AG67),"Escenario 2","Escenario 3")),IF(MIN(AF67,AH67)&gt;AD67,IF(AND(AD67+2&gt;=MIN(AF67,AH67),AE67=AG67),"Escenario 7",IF(AND(AD67+2&gt;=MIN(AF67,AH67),AE67&lt;&gt;AG67),"Escenario 6",IF(AD67+5&lt;=MIN(AF67,AH67),"Escenario 9","Escenario 8"))),"error"))),"Falta info")</f>
        <v/>
      </c>
      <c r="AL67" s="98">
        <f>IFERROR(VLOOKUP(AK67,Base!$BJ$37:$BL$45,3,0),0)</f>
        <v/>
      </c>
      <c r="AM67" s="330">
        <f>IF(LOOKUP(AK67,Base!$X$8:$BG$8)=AK67,VLOOKUP(B67,Base!E:BG,AL67,0),0)</f>
        <v/>
      </c>
      <c r="AN67" s="330" t="n"/>
      <c r="AP67" s="331">
        <f>IF(AM67&lt;=AA67,"REVISAR!","ok")</f>
        <v/>
      </c>
    </row>
    <row customHeight="1" ht="12.95" r="68" s="183" spans="1:43">
      <c r="B68" s="108" t="s">
        <v>95</v>
      </c>
      <c r="C68" s="89" t="s">
        <v>294</v>
      </c>
      <c r="D68" s="106">
        <f>VLOOKUP(B68,Base!E:G,3,0)</f>
        <v/>
      </c>
      <c r="E68" s="326">
        <f>IFERROR(IF(VLOOKUP(B68,Detalle!$A:$AA,$E$1,0)=0,"Sin datos",IFERROR(VLOOKUP(B68,Detalle!$A:$AA,$E$1,0),"Sin datos")),"")</f>
        <v/>
      </c>
      <c r="F68" s="91">
        <f>IFERROR(IF(VLOOKUP(B68,Detalle!$A:$AA,$F$1,0)=0,"Sin datos",IFERROR(VLOOKUP(B68,Detalle!$A:$AA,$F$1,0),"Sin datos")),"")</f>
        <v/>
      </c>
      <c r="G68" s="327">
        <f>IFERROR(IF(VLOOKUP(B68,Detalle!$A:$AA,$G$1,0)=0,"Sin datos",IFERROR(VLOOKUP(B68,Detalle!$A:$AA,$G$1,0),"Sin datos")),"")</f>
        <v/>
      </c>
      <c r="H68" s="93">
        <f>IFERROR(IF(VLOOKUP(B68,Detalle!$A:$AA,$H$1,0)=0,"Sin datos",IFERROR(VLOOKUP(B68,Detalle!$A:$AA,$H$1,0),"Sin datos")),"")</f>
        <v/>
      </c>
      <c r="I68" s="327">
        <f>IFERROR(IF(VLOOKUP(B68,Detalle!$A:$AA,$I$1,0)=0,"Sin datos",IFERROR(VLOOKUP(B68,Detalle!$A:$AA,$I$1,0),"Sin datos")),"")</f>
        <v/>
      </c>
      <c r="J68" s="93">
        <f>IFERROR(IF(VLOOKUP(B68,Detalle!$A:$AA,$J$1,0)=0,"Sin datos",IFERROR(VLOOKUP(B68,Detalle!$A:$AA,$J$1,0),"Sin datos")),"")</f>
        <v/>
      </c>
      <c r="K68" s="98" t="s">
        <v>293</v>
      </c>
      <c r="L68" s="328">
        <f>MIN(E68,G68,I68)</f>
        <v/>
      </c>
      <c r="M68" s="329">
        <f>IFERROR(IF(MIN(H68,J68)=F68,IF(G68=I68,"Escenario 5","Escenario 4"),IF(MIN(H68,J68)&lt;F68,IF(AND(F68-2&lt;=MIN(H68,J68),G68&lt;&gt;I68),"Escenario 1",IF(AND(F68-2&lt;=MIN(H68,J68),G68=I68),"Escenario 2","Escenario 3")),IF(MIN(H68,J68)&gt;F68,IF(AND(F68+2&gt;=MIN(H68,J68),G68=I68),"Escenario 7",IF(AND(F68+2&gt;=MIN(H68,J68),G68&lt;&gt;I68),"Escenario 6",IF(F68+5&lt;=MIN(H68,J68),"Escenario 9","Escenario 8"))),"error"))),"Falta info")</f>
        <v/>
      </c>
      <c r="N68" s="98">
        <f>IFERROR(VLOOKUP(M68,Base!$BJ$28:$BL$36,3,0),0)</f>
        <v/>
      </c>
      <c r="O68" s="330">
        <f>IF(LOOKUP(M68,Base!$X$8:$BG$8)=M68,VLOOKUP(B68,Base!E:BG,N68,0),0)</f>
        <v/>
      </c>
      <c r="P68" s="330" t="n"/>
      <c r="Q68" s="327">
        <f>IFERROR(IF(VLOOKUP(B68,Detalle!$A:$AA,$Q$1,0)=0,"Sin datos",IFERROR(VLOOKUP(B68,Detalle!$A:$AA,$Q$1,0),"Sin datos")),"")</f>
        <v/>
      </c>
      <c r="R68" s="93">
        <f>IFERROR(IF(VLOOKUP(B68,Detalle!$A:$AA,$R$1,0)=0,"Sin datos",IFERROR(VLOOKUP(B68,Detalle!$A:$AA,$R$1,0),"Sin datos")),"")</f>
        <v/>
      </c>
      <c r="S68" s="327">
        <f>IFERROR(IF(VLOOKUP(B68,Detalle!$A:$AA,$S$1,0)=0,"Sin datos",IFERROR(VLOOKUP(B68,Detalle!$A:$AA,$S$1,0),"Sin datos")),"")</f>
        <v/>
      </c>
      <c r="T68" s="93">
        <f>IFERROR(IF(VLOOKUP(B68,Detalle!$A:$AA,$T$1,0)=0,"Sin datos",IFERROR(VLOOKUP(B68,Detalle!$A:$AA,$T$1,0),"Sin datos")),"")</f>
        <v/>
      </c>
      <c r="U68" s="327">
        <f>IFERROR(IF(VLOOKUP(B68,Detalle!$A:$AA,$U$1,0)=0,"Sin datos",IFERROR(VLOOKUP(B68,Detalle!$A:$AA,$U$1,0),"Sin datos")),"")</f>
        <v/>
      </c>
      <c r="V68" s="93">
        <f>IFERROR(IF(VLOOKUP(B68,Detalle!$A:$AA,$V$1,0)=0,"Sin datos",IFERROR(VLOOKUP(B68,Detalle!$A:$AA,$V$1,0),"Sin datos")),"")</f>
        <v/>
      </c>
      <c r="W68" s="98">
        <f>IF(P68="",IF(MIN(Q68,S68,U68)&gt;E68,"Si","No"),IF(MIN(Q68,S68,U68)&gt;P68,"Si","No"))</f>
        <v/>
      </c>
      <c r="X68" s="328">
        <f>MIN(Q68,S68,U68)</f>
        <v/>
      </c>
      <c r="Y68" s="328">
        <f>IFERROR(IF(MIN(T68,V68)=R68,IF(S68=U68,"Escenario 5","Escenario 4"),IF(MIN(T68,V68)&lt;R68,IF(AND(R68-2&lt;=MIN(T68,V68),S68&lt;&gt;U68),"Escenario 1",IF(AND(R68-2&lt;=MIN(T68,V68),S68=U68),"Escenario 2","Escenario 3")),IF(MIN(T68,V68)&gt;R68,IF(AND(R68+2&gt;=MIN(T68,V68),S68=U68),"Escenario 7",IF(AND(R68+2&gt;=MIN(T68,V68),S68&lt;&gt;U68),"Escenario 6",IF(R68+5&lt;=MIN(T68,V68),"Escenario 9","Escenario 8"))),"error"))),"Falta info")</f>
        <v/>
      </c>
      <c r="Z68" s="98">
        <f>IFERROR(VLOOKUP(Y68,Base!$BJ$19:$BL$27,3,0),0)</f>
        <v/>
      </c>
      <c r="AA68" s="330">
        <f>IF(LOOKUP(Y68,Base!$X$8:$BG$8)=Y68,VLOOKUP(B68,Base!E:BG,Z68,0),0)</f>
        <v/>
      </c>
      <c r="AB68" s="330" t="n"/>
      <c r="AC68" s="327">
        <f>IFERROR(IF(VLOOKUP(B68,Detalle!$A:$AA,$AC$1,0)=0,"Sin datos",IFERROR(VLOOKUP(B68,Detalle!$A:$AA,$AC$1,0),"Sin datos")),"")</f>
        <v/>
      </c>
      <c r="AD68" s="93">
        <f>IFERROR(IF(VLOOKUP(B68,Detalle!$A:$AA,$AD$1,0)=0,"Sin datos",IFERROR(VLOOKUP(B68,Detalle!$A:$AA,$AD$1,0),"Sin datos")),"")</f>
        <v/>
      </c>
      <c r="AE68" s="327">
        <f>IFERROR(IF(VLOOKUP(B68,Detalle!$A:$AA,$AE$1,0)=0,"Sin datos",IFERROR(VLOOKUP(B68,Detalle!$A:$AA,$AE$1,0),"Sin datos")),"")</f>
        <v/>
      </c>
      <c r="AF68" s="93">
        <f>IFERROR(IF(VLOOKUP(B68,Detalle!$A:$AA,$AF$1,0)=0,"Sin datos",IFERROR(VLOOKUP(B68,Detalle!$A:$AA,$AF$1,0),"Sin datos")),"")</f>
        <v/>
      </c>
      <c r="AG68" s="327">
        <f>IFERROR(IF(VLOOKUP(B68,Detalle!$A:$AA,$AG$1,0)=0,"Sin datos",IFERROR(VLOOKUP(B68,Detalle!$A:$AA,$AG$1,0),"Sin datos")),"")</f>
        <v/>
      </c>
      <c r="AH68" s="93">
        <f>IFERROR(IF(VLOOKUP(B68,Detalle!$A:$AA,$AH$1,0)=0,"Sin datos",IFERROR(VLOOKUP(B68,Detalle!$A:$AA,$AH$1,0),"Sin datos")),"")</f>
        <v/>
      </c>
      <c r="AI68" s="98">
        <f>IF(AB68="",IF(MIN(AC68,AE68,AG68)&gt;E68,"Si","No"),IF(MIN(AC68,AG68,AG68)&gt;AB68,"Si","No"))</f>
        <v/>
      </c>
      <c r="AJ68" s="328">
        <f>MIN(AC68,AE68,AG68)</f>
        <v/>
      </c>
      <c r="AK68" s="328">
        <f>IFERROR(IF(MIN(AF68,AH68)=AD68,IF(AE68=AG68,"Escenario 5","Escenario 4"),IF(MIN(AF68,AH68)&lt;AD68,IF(AND(AD68-2&lt;=MIN(AF68,AH68),AE68&lt;&gt;AG68),"Escenario 1",IF(AND(AD68-2&lt;=MIN(AF68,AH68),AE68=AG68),"Escenario 2","Escenario 3")),IF(MIN(AF68,AH68)&gt;AD68,IF(AND(AD68+2&gt;=MIN(AF68,AH68),AE68=AG68),"Escenario 7",IF(AND(AD68+2&gt;=MIN(AF68,AH68),AE68&lt;&gt;AG68),"Escenario 6",IF(AD68+5&lt;=MIN(AF68,AH68),"Escenario 9","Escenario 8"))),"error"))),"Falta info")</f>
        <v/>
      </c>
      <c r="AL68" s="98">
        <f>IFERROR(VLOOKUP(AK68,Base!$BJ$37:$BL$45,3,0),0)</f>
        <v/>
      </c>
      <c r="AM68" s="330">
        <f>IF(LOOKUP(AK68,Base!$X$8:$BG$8)=AK68,VLOOKUP(B68,Base!E:BG,AL68,0),0)</f>
        <v/>
      </c>
      <c r="AN68" s="330" t="n"/>
      <c r="AP68" s="331" t="n"/>
    </row>
    <row customHeight="1" ht="12.95" r="69" s="183" spans="1:43">
      <c r="B69" s="108" t="s">
        <v>50</v>
      </c>
      <c r="C69" s="89" t="s">
        <v>294</v>
      </c>
      <c r="D69" s="106">
        <f>VLOOKUP(B69,Base!E:G,3,0)</f>
        <v/>
      </c>
      <c r="E69" s="326">
        <f>IFERROR(IF(VLOOKUP(B69,Detalle!$A:$AA,$E$1,0)=0,"Sin datos",IFERROR(VLOOKUP(B69,Detalle!$A:$AA,$E$1,0),"Sin datos")),"")</f>
        <v/>
      </c>
      <c r="F69" s="91">
        <f>IFERROR(IF(VLOOKUP(B69,Detalle!$A:$AA,$F$1,0)=0,"Sin datos",IFERROR(VLOOKUP(B69,Detalle!$A:$AA,$F$1,0),"Sin datos")),"")</f>
        <v/>
      </c>
      <c r="G69" s="327">
        <f>IFERROR(IF(VLOOKUP(B69,Detalle!$A:$AA,$G$1,0)=0,"Sin datos",IFERROR(VLOOKUP(B69,Detalle!$A:$AA,$G$1,0),"Sin datos")),"")</f>
        <v/>
      </c>
      <c r="H69" s="93">
        <f>IFERROR(IF(VLOOKUP(B69,Detalle!$A:$AA,$H$1,0)=0,"Sin datos",IFERROR(VLOOKUP(B69,Detalle!$A:$AA,$H$1,0),"Sin datos")),"")</f>
        <v/>
      </c>
      <c r="I69" s="327">
        <f>IFERROR(IF(VLOOKUP(B69,Detalle!$A:$AA,$I$1,0)=0,"Sin datos",IFERROR(VLOOKUP(B69,Detalle!$A:$AA,$I$1,0),"Sin datos")),"")</f>
        <v/>
      </c>
      <c r="J69" s="93">
        <f>IFERROR(IF(VLOOKUP(B69,Detalle!$A:$AA,$J$1,0)=0,"Sin datos",IFERROR(VLOOKUP(B69,Detalle!$A:$AA,$J$1,0),"Sin datos")),"")</f>
        <v/>
      </c>
      <c r="K69" s="98" t="s">
        <v>293</v>
      </c>
      <c r="L69" s="328">
        <f>MIN(E69,G69,I69)</f>
        <v/>
      </c>
      <c r="M69" s="329">
        <f>IFERROR(IF(MIN(H69,J69)=F69,IF(G69=I69,"Escenario 5","Escenario 4"),IF(MIN(H69,J69)&lt;F69,IF(AND(F69-2&lt;=MIN(H69,J69),G69&lt;&gt;I69),"Escenario 1",IF(AND(F69-2&lt;=MIN(H69,J69),G69=I69),"Escenario 2","Escenario 3")),IF(MIN(H69,J69)&gt;F69,IF(AND(F69+2&gt;=MIN(H69,J69),G69=I69),"Escenario 7",IF(AND(F69+2&gt;=MIN(H69,J69),G69&lt;&gt;I69),"Escenario 6",IF(F69+5&lt;=MIN(H69,J69),"Escenario 9","Escenario 8"))),"error"))),"Falta info")</f>
        <v/>
      </c>
      <c r="N69" s="98">
        <f>IFERROR(VLOOKUP(M69,Base!$BJ$28:$BL$36,3,0),0)</f>
        <v/>
      </c>
      <c r="O69" s="330">
        <f>IF(LOOKUP(M69,Base!$X$8:$BG$8)=M69,VLOOKUP(B69,Base!E:BG,N69,0),0)</f>
        <v/>
      </c>
      <c r="P69" s="330" t="n"/>
      <c r="Q69" s="327">
        <f>IFERROR(IF(VLOOKUP(B69,Detalle!$A:$AA,$Q$1,0)=0,"Sin datos",IFERROR(VLOOKUP(B69,Detalle!$A:$AA,$Q$1,0),"Sin datos")),"")</f>
        <v/>
      </c>
      <c r="R69" s="93">
        <f>IFERROR(IF(VLOOKUP(B69,Detalle!$A:$AA,$R$1,0)=0,"Sin datos",IFERROR(VLOOKUP(B69,Detalle!$A:$AA,$R$1,0),"Sin datos")),"")</f>
        <v/>
      </c>
      <c r="S69" s="327">
        <f>IFERROR(IF(VLOOKUP(B69,Detalle!$A:$AA,$S$1,0)=0,"Sin datos",IFERROR(VLOOKUP(B69,Detalle!$A:$AA,$S$1,0),"Sin datos")),"")</f>
        <v/>
      </c>
      <c r="T69" s="93">
        <f>IFERROR(IF(VLOOKUP(B69,Detalle!$A:$AA,$T$1,0)=0,"Sin datos",IFERROR(VLOOKUP(B69,Detalle!$A:$AA,$T$1,0),"Sin datos")),"")</f>
        <v/>
      </c>
      <c r="U69" s="327">
        <f>IFERROR(IF(VLOOKUP(B69,Detalle!$A:$AA,$U$1,0)=0,"Sin datos",IFERROR(VLOOKUP(B69,Detalle!$A:$AA,$U$1,0),"Sin datos")),"")</f>
        <v/>
      </c>
      <c r="V69" s="93">
        <f>IFERROR(IF(VLOOKUP(B69,Detalle!$A:$AA,$V$1,0)=0,"Sin datos",IFERROR(VLOOKUP(B69,Detalle!$A:$AA,$V$1,0),"Sin datos")),"")</f>
        <v/>
      </c>
      <c r="W69" s="98">
        <f>IF(P69="",IF(MIN(Q69,S69,U69)&gt;E69,"Si","No"),IF(MIN(Q69,S69,U69)&gt;P69,"Si","No"))</f>
        <v/>
      </c>
      <c r="X69" s="328">
        <f>MIN(Q69,S69,U69)</f>
        <v/>
      </c>
      <c r="Y69" s="328">
        <f>IFERROR(IF(MIN(T69,V69)=R69,IF(S69=U69,"Escenario 5","Escenario 4"),IF(MIN(T69,V69)&lt;R69,IF(AND(R69-2&lt;=MIN(T69,V69),S69&lt;&gt;U69),"Escenario 1",IF(AND(R69-2&lt;=MIN(T69,V69),S69=U69),"Escenario 2","Escenario 3")),IF(MIN(T69,V69)&gt;R69,IF(AND(R69+2&gt;=MIN(T69,V69),S69=U69),"Escenario 7",IF(AND(R69+2&gt;=MIN(T69,V69),S69&lt;&gt;U69),"Escenario 6",IF(R69+5&lt;=MIN(T69,V69),"Escenario 9","Escenario 8"))),"error"))),"Falta info")</f>
        <v/>
      </c>
      <c r="Z69" s="98">
        <f>IFERROR(VLOOKUP(Y69,Base!$BJ$19:$BL$27,3,0),0)</f>
        <v/>
      </c>
      <c r="AA69" s="330">
        <f>IF(LOOKUP(Y69,Base!$X$8:$BG$8)=Y69,VLOOKUP(B69,Base!E:BG,Z69,0),0)</f>
        <v/>
      </c>
      <c r="AB69" s="330" t="n"/>
      <c r="AC69" s="327">
        <f>IFERROR(IF(VLOOKUP(B69,Detalle!$A:$AA,$AC$1,0)=0,"Sin datos",IFERROR(VLOOKUP(B69,Detalle!$A:$AA,$AC$1,0),"Sin datos")),"")</f>
        <v/>
      </c>
      <c r="AD69" s="93">
        <f>IFERROR(IF(VLOOKUP(B69,Detalle!$A:$AA,$AD$1,0)=0,"Sin datos",IFERROR(VLOOKUP(B69,Detalle!$A:$AA,$AD$1,0),"Sin datos")),"")</f>
        <v/>
      </c>
      <c r="AE69" s="327">
        <f>IFERROR(IF(VLOOKUP(B69,Detalle!$A:$AA,$AE$1,0)=0,"Sin datos",IFERROR(VLOOKUP(B69,Detalle!$A:$AA,$AE$1,0),"Sin datos")),"")</f>
        <v/>
      </c>
      <c r="AF69" s="93">
        <f>IFERROR(IF(VLOOKUP(B69,Detalle!$A:$AA,$AF$1,0)=0,"Sin datos",IFERROR(VLOOKUP(B69,Detalle!$A:$AA,$AF$1,0),"Sin datos")),"")</f>
        <v/>
      </c>
      <c r="AG69" s="327">
        <f>IFERROR(IF(VLOOKUP(B69,Detalle!$A:$AA,$AG$1,0)=0,"Sin datos",IFERROR(VLOOKUP(B69,Detalle!$A:$AA,$AG$1,0),"Sin datos")),"")</f>
        <v/>
      </c>
      <c r="AH69" s="93">
        <f>IFERROR(IF(VLOOKUP(B69,Detalle!$A:$AA,$AH$1,0)=0,"Sin datos",IFERROR(VLOOKUP(B69,Detalle!$A:$AA,$AH$1,0),"Sin datos")),"")</f>
        <v/>
      </c>
      <c r="AI69" s="98">
        <f>IF(AB69="",IF(MIN(AC69,AE69,AG69)&gt;E69,"Si","No"),IF(MIN(AC69,AG69,AG69)&gt;AB69,"Si","No"))</f>
        <v/>
      </c>
      <c r="AJ69" s="328">
        <f>MIN(AC69,AE69,AG69)</f>
        <v/>
      </c>
      <c r="AK69" s="328">
        <f>IFERROR(IF(MIN(AF69,AH69)=AD69,IF(AE69=AG69,"Escenario 5","Escenario 4"),IF(MIN(AF69,AH69)&lt;AD69,IF(AND(AD69-2&lt;=MIN(AF69,AH69),AE69&lt;&gt;AG69),"Escenario 1",IF(AND(AD69-2&lt;=MIN(AF69,AH69),AE69=AG69),"Escenario 2","Escenario 3")),IF(MIN(AF69,AH69)&gt;AD69,IF(AND(AD69+2&gt;=MIN(AF69,AH69),AE69=AG69),"Escenario 7",IF(AND(AD69+2&gt;=MIN(AF69,AH69),AE69&lt;&gt;AG69),"Escenario 6",IF(AD69+5&lt;=MIN(AF69,AH69),"Escenario 9","Escenario 8"))),"error"))),"Falta info")</f>
        <v/>
      </c>
      <c r="AL69" s="98">
        <f>IFERROR(VLOOKUP(AK69,Base!$BJ$37:$BL$45,3,0),0)</f>
        <v/>
      </c>
      <c r="AM69" s="330">
        <f>IF(LOOKUP(AK69,Base!$X$8:$BG$8)=AK69,VLOOKUP(B69,Base!E:BG,AL69,0),0)</f>
        <v/>
      </c>
      <c r="AN69" s="330" t="n">
        <v>52990</v>
      </c>
      <c r="AP69" s="331">
        <f>IF(AM69&lt;=AA69,"REVISAR!","ok")</f>
        <v/>
      </c>
    </row>
    <row customHeight="1" ht="12.95" r="70" s="183" spans="1:43">
      <c r="B70" s="108" t="s">
        <v>100</v>
      </c>
      <c r="C70" s="89" t="s">
        <v>294</v>
      </c>
      <c r="D70" s="106">
        <f>VLOOKUP(B70,Base!E:G,3,0)</f>
        <v/>
      </c>
      <c r="E70" s="326">
        <f>IFERROR(IF(VLOOKUP(B70,Detalle!$A:$AA,$E$1,0)=0,"Sin datos",IFERROR(VLOOKUP(B70,Detalle!$A:$AA,$E$1,0),"Sin datos")),"")</f>
        <v/>
      </c>
      <c r="F70" s="91">
        <f>IFERROR(IF(VLOOKUP(B70,Detalle!$A:$AA,$F$1,0)=0,"Sin datos",IFERROR(VLOOKUP(B70,Detalle!$A:$AA,$F$1,0),"Sin datos")),"")</f>
        <v/>
      </c>
      <c r="G70" s="327">
        <f>IFERROR(IF(VLOOKUP(B70,Detalle!$A:$AA,$G$1,0)=0,"Sin datos",IFERROR(VLOOKUP(B70,Detalle!$A:$AA,$G$1,0),"Sin datos")),"")</f>
        <v/>
      </c>
      <c r="H70" s="93">
        <f>IFERROR(IF(VLOOKUP(B70,Detalle!$A:$AA,$H$1,0)=0,"Sin datos",IFERROR(VLOOKUP(B70,Detalle!$A:$AA,$H$1,0),"Sin datos")),"")</f>
        <v/>
      </c>
      <c r="I70" s="327">
        <f>IFERROR(IF(VLOOKUP(B70,Detalle!$A:$AA,$I$1,0)=0,"Sin datos",IFERROR(VLOOKUP(B70,Detalle!$A:$AA,$I$1,0),"Sin datos")),"")</f>
        <v/>
      </c>
      <c r="J70" s="93">
        <f>IFERROR(IF(VLOOKUP(B70,Detalle!$A:$AA,$J$1,0)=0,"Sin datos",IFERROR(VLOOKUP(B70,Detalle!$A:$AA,$J$1,0),"Sin datos")),"")</f>
        <v/>
      </c>
      <c r="K70" s="98" t="s">
        <v>293</v>
      </c>
      <c r="L70" s="328">
        <f>MIN(E70,G70,I70)</f>
        <v/>
      </c>
      <c r="M70" s="329">
        <f>IFERROR(IF(MIN(H70,J70)=F70,IF(G70=I70,"Escenario 5","Escenario 4"),IF(MIN(H70,J70)&lt;F70,IF(AND(F70-2&lt;=MIN(H70,J70),G70&lt;&gt;I70),"Escenario 1",IF(AND(F70-2&lt;=MIN(H70,J70),G70=I70),"Escenario 2","Escenario 3")),IF(MIN(H70,J70)&gt;F70,IF(AND(F70+2&gt;=MIN(H70,J70),G70=I70),"Escenario 7",IF(AND(F70+2&gt;=MIN(H70,J70),G70&lt;&gt;I70),"Escenario 6",IF(F70+5&lt;=MIN(H70,J70),"Escenario 9","Escenario 8"))),"error"))),"Falta info")</f>
        <v/>
      </c>
      <c r="N70" s="98">
        <f>IFERROR(VLOOKUP(M70,Base!$BJ$28:$BL$36,3,0),0)</f>
        <v/>
      </c>
      <c r="O70" s="330">
        <f>IF(LOOKUP(M70,Base!$X$8:$BG$8)=M70,VLOOKUP(B70,Base!E:BG,N70,0),0)</f>
        <v/>
      </c>
      <c r="P70" s="330" t="n"/>
      <c r="Q70" s="327">
        <f>IFERROR(IF(VLOOKUP(B70,Detalle!$A:$AA,$Q$1,0)=0,"Sin datos",IFERROR(VLOOKUP(B70,Detalle!$A:$AA,$Q$1,0),"Sin datos")),"")</f>
        <v/>
      </c>
      <c r="R70" s="93">
        <f>IFERROR(IF(VLOOKUP(B70,Detalle!$A:$AA,$R$1,0)=0,"Sin datos",IFERROR(VLOOKUP(B70,Detalle!$A:$AA,$R$1,0),"Sin datos")),"")</f>
        <v/>
      </c>
      <c r="S70" s="327">
        <f>IFERROR(IF(VLOOKUP(B70,Detalle!$A:$AA,$S$1,0)=0,"Sin datos",IFERROR(VLOOKUP(B70,Detalle!$A:$AA,$S$1,0),"Sin datos")),"")</f>
        <v/>
      </c>
      <c r="T70" s="93">
        <f>IFERROR(IF(VLOOKUP(B70,Detalle!$A:$AA,$T$1,0)=0,"Sin datos",IFERROR(VLOOKUP(B70,Detalle!$A:$AA,$T$1,0),"Sin datos")),"")</f>
        <v/>
      </c>
      <c r="U70" s="327">
        <f>IFERROR(IF(VLOOKUP(B70,Detalle!$A:$AA,$U$1,0)=0,"Sin datos",IFERROR(VLOOKUP(B70,Detalle!$A:$AA,$U$1,0),"Sin datos")),"")</f>
        <v/>
      </c>
      <c r="V70" s="93">
        <f>IFERROR(IF(VLOOKUP(B70,Detalle!$A:$AA,$V$1,0)=0,"Sin datos",IFERROR(VLOOKUP(B70,Detalle!$A:$AA,$V$1,0),"Sin datos")),"")</f>
        <v/>
      </c>
      <c r="W70" s="98">
        <f>IF(P70="",IF(MIN(Q70,S70,U70)&gt;E70,"Si","No"),IF(MIN(Q70,S70,U70)&gt;P70,"Si","No"))</f>
        <v/>
      </c>
      <c r="X70" s="328">
        <f>MIN(Q70,S70,U70)</f>
        <v/>
      </c>
      <c r="Y70" s="328">
        <f>IFERROR(IF(MIN(T70,V70)=R70,IF(S70=U70,"Escenario 5","Escenario 4"),IF(MIN(T70,V70)&lt;R70,IF(AND(R70-2&lt;=MIN(T70,V70),S70&lt;&gt;U70),"Escenario 1",IF(AND(R70-2&lt;=MIN(T70,V70),S70=U70),"Escenario 2","Escenario 3")),IF(MIN(T70,V70)&gt;R70,IF(AND(R70+2&gt;=MIN(T70,V70),S70=U70),"Escenario 7",IF(AND(R70+2&gt;=MIN(T70,V70),S70&lt;&gt;U70),"Escenario 6",IF(R70+5&lt;=MIN(T70,V70),"Escenario 9","Escenario 8"))),"error"))),"Falta info")</f>
        <v/>
      </c>
      <c r="Z70" s="98">
        <f>IFERROR(VLOOKUP(Y70,Base!$BJ$19:$BL$27,3,0),0)</f>
        <v/>
      </c>
      <c r="AA70" s="330">
        <f>IF(LOOKUP(Y70,Base!$X$8:$BG$8)=Y70,VLOOKUP(B70,Base!E:BG,Z70,0),0)</f>
        <v/>
      </c>
      <c r="AB70" s="330" t="n"/>
      <c r="AC70" s="327">
        <f>IFERROR(IF(VLOOKUP(B70,Detalle!$A:$AA,$AC$1,0)=0,"Sin datos",IFERROR(VLOOKUP(B70,Detalle!$A:$AA,$AC$1,0),"Sin datos")),"")</f>
        <v/>
      </c>
      <c r="AD70" s="93">
        <f>IFERROR(IF(VLOOKUP(B70,Detalle!$A:$AA,$AD$1,0)=0,"Sin datos",IFERROR(VLOOKUP(B70,Detalle!$A:$AA,$AD$1,0),"Sin datos")),"")</f>
        <v/>
      </c>
      <c r="AE70" s="327">
        <f>IFERROR(IF(VLOOKUP(B70,Detalle!$A:$AA,$AE$1,0)=0,"Sin datos",IFERROR(VLOOKUP(B70,Detalle!$A:$AA,$AE$1,0),"Sin datos")),"")</f>
        <v/>
      </c>
      <c r="AF70" s="93">
        <f>IFERROR(IF(VLOOKUP(B70,Detalle!$A:$AA,$AF$1,0)=0,"Sin datos",IFERROR(VLOOKUP(B70,Detalle!$A:$AA,$AF$1,0),"Sin datos")),"")</f>
        <v/>
      </c>
      <c r="AG70" s="327">
        <f>IFERROR(IF(VLOOKUP(B70,Detalle!$A:$AA,$AG$1,0)=0,"Sin datos",IFERROR(VLOOKUP(B70,Detalle!$A:$AA,$AG$1,0),"Sin datos")),"")</f>
        <v/>
      </c>
      <c r="AH70" s="93">
        <f>IFERROR(IF(VLOOKUP(B70,Detalle!$A:$AA,$AH$1,0)=0,"Sin datos",IFERROR(VLOOKUP(B70,Detalle!$A:$AA,$AH$1,0),"Sin datos")),"")</f>
        <v/>
      </c>
      <c r="AI70" s="98">
        <f>IF(AB70="",IF(MIN(AC70,AE70,AG70)&gt;E70,"Si","No"),IF(MIN(AC70,AG70,AG70)&gt;AB70,"Si","No"))</f>
        <v/>
      </c>
      <c r="AJ70" s="328">
        <f>MIN(AC70,AE70,AG70)</f>
        <v/>
      </c>
      <c r="AK70" s="328">
        <f>IFERROR(IF(MIN(AF70,AH70)=AD70,IF(AE70=AG70,"Escenario 5","Escenario 4"),IF(MIN(AF70,AH70)&lt;AD70,IF(AND(AD70-2&lt;=MIN(AF70,AH70),AE70&lt;&gt;AG70),"Escenario 1",IF(AND(AD70-2&lt;=MIN(AF70,AH70),AE70=AG70),"Escenario 2","Escenario 3")),IF(MIN(AF70,AH70)&gt;AD70,IF(AND(AD70+2&gt;=MIN(AF70,AH70),AE70=AG70),"Escenario 7",IF(AND(AD70+2&gt;=MIN(AF70,AH70),AE70&lt;&gt;AG70),"Escenario 6",IF(AD70+5&lt;=MIN(AF70,AH70),"Escenario 9","Escenario 8"))),"error"))),"Falta info")</f>
        <v/>
      </c>
      <c r="AL70" s="98">
        <f>IFERROR(VLOOKUP(AK70,Base!$BJ$37:$BL$45,3,0),0)</f>
        <v/>
      </c>
      <c r="AM70" s="330">
        <f>IF(LOOKUP(AK70,Base!$X$8:$BG$8)=AK70,VLOOKUP(B70,Base!E:BG,AL70,0),0)</f>
        <v/>
      </c>
      <c r="AN70" s="330" t="n">
        <v>13990</v>
      </c>
      <c r="AP70" s="331">
        <f>IF(AM70&lt;=AA70,"REVISAR!","ok")</f>
        <v/>
      </c>
    </row>
    <row customHeight="1" ht="12.95" r="71" s="183" spans="1:43">
      <c r="B71" s="108" t="s">
        <v>74</v>
      </c>
      <c r="C71" s="89" t="s">
        <v>294</v>
      </c>
      <c r="D71" s="106">
        <f>VLOOKUP(B71,Base!E:G,3,0)</f>
        <v/>
      </c>
      <c r="E71" s="326">
        <f>IFERROR(IF(VLOOKUP(B71,Detalle!$A:$AA,$E$1,0)=0,"Sin datos",IFERROR(VLOOKUP(B71,Detalle!$A:$AA,$E$1,0),"Sin datos")),"")</f>
        <v/>
      </c>
      <c r="F71" s="91">
        <f>IFERROR(IF(VLOOKUP(B71,Detalle!$A:$AA,$F$1,0)=0,"Sin datos",IFERROR(VLOOKUP(B71,Detalle!$A:$AA,$F$1,0),"Sin datos")),"")</f>
        <v/>
      </c>
      <c r="G71" s="327">
        <f>IFERROR(IF(VLOOKUP(B71,Detalle!$A:$AA,$G$1,0)=0,"Sin datos",IFERROR(VLOOKUP(B71,Detalle!$A:$AA,$G$1,0),"Sin datos")),"")</f>
        <v/>
      </c>
      <c r="H71" s="93">
        <f>IFERROR(IF(VLOOKUP(B71,Detalle!$A:$AA,$H$1,0)=0,"Sin datos",IFERROR(VLOOKUP(B71,Detalle!$A:$AA,$H$1,0),"Sin datos")),"")</f>
        <v/>
      </c>
      <c r="I71" s="327">
        <f>IFERROR(IF(VLOOKUP(B71,Detalle!$A:$AA,$I$1,0)=0,"Sin datos",IFERROR(VLOOKUP(B71,Detalle!$A:$AA,$I$1,0),"Sin datos")),"")</f>
        <v/>
      </c>
      <c r="J71" s="93">
        <f>IFERROR(IF(VLOOKUP(B71,Detalle!$A:$AA,$J$1,0)=0,"Sin datos",IFERROR(VLOOKUP(B71,Detalle!$A:$AA,$J$1,0),"Sin datos")),"")</f>
        <v/>
      </c>
      <c r="K71" s="98" t="s">
        <v>293</v>
      </c>
      <c r="L71" s="328">
        <f>MIN(E71,G71,I71)</f>
        <v/>
      </c>
      <c r="M71" s="329">
        <f>IFERROR(IF(MIN(H71,J71)=F71,IF(G71=I71,"Escenario 5","Escenario 4"),IF(MIN(H71,J71)&lt;F71,IF(AND(F71-2&lt;=MIN(H71,J71),G71&lt;&gt;I71),"Escenario 1",IF(AND(F71-2&lt;=MIN(H71,J71),G71=I71),"Escenario 2","Escenario 3")),IF(MIN(H71,J71)&gt;F71,IF(AND(F71+2&gt;=MIN(H71,J71),G71=I71),"Escenario 7",IF(AND(F71+2&gt;=MIN(H71,J71),G71&lt;&gt;I71),"Escenario 6",IF(F71+5&lt;=MIN(H71,J71),"Escenario 9","Escenario 8"))),"error"))),"Falta info")</f>
        <v/>
      </c>
      <c r="N71" s="98">
        <f>IFERROR(VLOOKUP(M71,Base!$BJ$28:$BL$36,3,0),0)</f>
        <v/>
      </c>
      <c r="O71" s="330">
        <f>IF(LOOKUP(M71,Base!$X$8:$BG$8)=M71,VLOOKUP(B71,Base!E:BG,N71,0),0)</f>
        <v/>
      </c>
      <c r="P71" s="330" t="n"/>
      <c r="Q71" s="327">
        <f>IFERROR(IF(VLOOKUP(B71,Detalle!$A:$AA,$Q$1,0)=0,"Sin datos",IFERROR(VLOOKUP(B71,Detalle!$A:$AA,$Q$1,0),"Sin datos")),"")</f>
        <v/>
      </c>
      <c r="R71" s="93">
        <f>IFERROR(IF(VLOOKUP(B71,Detalle!$A:$AA,$R$1,0)=0,"Sin datos",IFERROR(VLOOKUP(B71,Detalle!$A:$AA,$R$1,0),"Sin datos")),"")</f>
        <v/>
      </c>
      <c r="S71" s="327">
        <f>IFERROR(IF(VLOOKUP(B71,Detalle!$A:$AA,$S$1,0)=0,"Sin datos",IFERROR(VLOOKUP(B71,Detalle!$A:$AA,$S$1,0),"Sin datos")),"")</f>
        <v/>
      </c>
      <c r="T71" s="93">
        <f>IFERROR(IF(VLOOKUP(B71,Detalle!$A:$AA,$T$1,0)=0,"Sin datos",IFERROR(VLOOKUP(B71,Detalle!$A:$AA,$T$1,0),"Sin datos")),"")</f>
        <v/>
      </c>
      <c r="U71" s="327">
        <f>IFERROR(IF(VLOOKUP(B71,Detalle!$A:$AA,$U$1,0)=0,"Sin datos",IFERROR(VLOOKUP(B71,Detalle!$A:$AA,$U$1,0),"Sin datos")),"")</f>
        <v/>
      </c>
      <c r="V71" s="93">
        <f>IFERROR(IF(VLOOKUP(B71,Detalle!$A:$AA,$V$1,0)=0,"Sin datos",IFERROR(VLOOKUP(B71,Detalle!$A:$AA,$V$1,0),"Sin datos")),"")</f>
        <v/>
      </c>
      <c r="W71" s="98">
        <f>IF(P71="",IF(MIN(Q71,S71,U71)&gt;E71,"Si","No"),IF(MIN(Q71,S71,U71)&gt;P71,"Si","No"))</f>
        <v/>
      </c>
      <c r="X71" s="328">
        <f>MIN(Q71,S71,U71)</f>
        <v/>
      </c>
      <c r="Y71" s="328">
        <f>IFERROR(IF(MIN(T71,V71)=R71,IF(S71=U71,"Escenario 5","Escenario 4"),IF(MIN(T71,V71)&lt;R71,IF(AND(R71-2&lt;=MIN(T71,V71),S71&lt;&gt;U71),"Escenario 1",IF(AND(R71-2&lt;=MIN(T71,V71),S71=U71),"Escenario 2","Escenario 3")),IF(MIN(T71,V71)&gt;R71,IF(AND(R71+2&gt;=MIN(T71,V71),S71=U71),"Escenario 7",IF(AND(R71+2&gt;=MIN(T71,V71),S71&lt;&gt;U71),"Escenario 6",IF(R71+5&lt;=MIN(T71,V71),"Escenario 9","Escenario 8"))),"error"))),"Falta info")</f>
        <v/>
      </c>
      <c r="Z71" s="98">
        <f>IFERROR(VLOOKUP(Y71,Base!$BJ$19:$BL$27,3,0),0)</f>
        <v/>
      </c>
      <c r="AA71" s="332">
        <f>IF(LOOKUP(Y71,Base!$X$8:$BG$8)=Y71,VLOOKUP(B71,Base!E:BG,Z71,0),0)</f>
        <v/>
      </c>
      <c r="AB71" s="332" t="n">
        <v>21990</v>
      </c>
      <c r="AC71" s="327">
        <f>IFERROR(IF(VLOOKUP(B71,Detalle!$A:$AA,$AC$1,0)=0,"Sin datos",IFERROR(VLOOKUP(B71,Detalle!$A:$AA,$AC$1,0),"Sin datos")),"")</f>
        <v/>
      </c>
      <c r="AD71" s="93">
        <f>IFERROR(IF(VLOOKUP(B71,Detalle!$A:$AA,$AD$1,0)=0,"Sin datos",IFERROR(VLOOKUP(B71,Detalle!$A:$AA,$AD$1,0),"Sin datos")),"")</f>
        <v/>
      </c>
      <c r="AE71" s="327">
        <f>IFERROR(IF(VLOOKUP(B71,Detalle!$A:$AA,$AE$1,0)=0,"Sin datos",IFERROR(VLOOKUP(B71,Detalle!$A:$AA,$AE$1,0),"Sin datos")),"")</f>
        <v/>
      </c>
      <c r="AF71" s="93">
        <f>IFERROR(IF(VLOOKUP(B71,Detalle!$A:$AA,$AF$1,0)=0,"Sin datos",IFERROR(VLOOKUP(B71,Detalle!$A:$AA,$AF$1,0),"Sin datos")),"")</f>
        <v/>
      </c>
      <c r="AG71" s="327">
        <f>IFERROR(IF(VLOOKUP(B71,Detalle!$A:$AA,$AG$1,0)=0,"Sin datos",IFERROR(VLOOKUP(B71,Detalle!$A:$AA,$AG$1,0),"Sin datos")),"")</f>
        <v/>
      </c>
      <c r="AH71" s="93">
        <f>IFERROR(IF(VLOOKUP(B71,Detalle!$A:$AA,$AH$1,0)=0,"Sin datos",IFERROR(VLOOKUP(B71,Detalle!$A:$AA,$AH$1,0),"Sin datos")),"")</f>
        <v/>
      </c>
      <c r="AI71" s="98">
        <f>IF(AB71="",IF(MIN(AC71,AE71,AG71)&gt;E71,"Si","No"),IF(MIN(AC71,AG71,AG71)&gt;AB71,"Si","No"))</f>
        <v/>
      </c>
      <c r="AJ71" s="328">
        <f>MIN(AC71,AE71,AG71)</f>
        <v/>
      </c>
      <c r="AK71" s="328">
        <f>IFERROR(IF(MIN(AF71,AH71)=AD71,IF(AE71=AG71,"Escenario 5","Escenario 4"),IF(MIN(AF71,AH71)&lt;AD71,IF(AND(AD71-2&lt;=MIN(AF71,AH71),AE71&lt;&gt;AG71),"Escenario 1",IF(AND(AD71-2&lt;=MIN(AF71,AH71),AE71=AG71),"Escenario 2","Escenario 3")),IF(MIN(AF71,AH71)&gt;AD71,IF(AND(AD71+2&gt;=MIN(AF71,AH71),AE71=AG71),"Escenario 7",IF(AND(AD71+2&gt;=MIN(AF71,AH71),AE71&lt;&gt;AG71),"Escenario 6",IF(AD71+5&lt;=MIN(AF71,AH71),"Escenario 9","Escenario 8"))),"error"))),"Falta info")</f>
        <v/>
      </c>
      <c r="AL71" s="98">
        <f>IFERROR(VLOOKUP(AK71,Base!$BJ$37:$BL$45,3,0),0)</f>
        <v/>
      </c>
      <c r="AM71" s="332">
        <f>IF(LOOKUP(AK71,Base!$X$8:$BG$8)=AK71,VLOOKUP(B71,Base!E:BG,AL71,0),0)</f>
        <v/>
      </c>
      <c r="AN71" s="332" t="n">
        <v>29990</v>
      </c>
      <c r="AP71" s="331">
        <f>IF(AM71&lt;=AA71,"REVISAR!","ok")</f>
        <v/>
      </c>
    </row>
    <row customHeight="1" ht="12.95" r="72" s="183" spans="1:43">
      <c r="B72" s="108" t="s">
        <v>82</v>
      </c>
      <c r="C72" s="89" t="s">
        <v>294</v>
      </c>
      <c r="D72" s="106">
        <f>VLOOKUP(B72,Base!E:G,3,0)</f>
        <v/>
      </c>
      <c r="E72" s="326">
        <f>IFERROR(IF(VLOOKUP(B72,Detalle!$A:$AA,$E$1,0)=0,"Sin datos",IFERROR(VLOOKUP(B72,Detalle!$A:$AA,$E$1,0),"Sin datos")),"")</f>
        <v/>
      </c>
      <c r="F72" s="91">
        <f>IFERROR(IF(VLOOKUP(B72,Detalle!$A:$AA,$F$1,0)=0,"Sin datos",IFERROR(VLOOKUP(B72,Detalle!$A:$AA,$F$1,0),"Sin datos")),"")</f>
        <v/>
      </c>
      <c r="G72" s="327">
        <f>IFERROR(IF(VLOOKUP(B72,Detalle!$A:$AA,$G$1,0)=0,"Sin datos",IFERROR(VLOOKUP(B72,Detalle!$A:$AA,$G$1,0),"Sin datos")),"")</f>
        <v/>
      </c>
      <c r="H72" s="93">
        <f>IFERROR(IF(VLOOKUP(B72,Detalle!$A:$AA,$H$1,0)=0,"Sin datos",IFERROR(VLOOKUP(B72,Detalle!$A:$AA,$H$1,0),"Sin datos")),"")</f>
        <v/>
      </c>
      <c r="I72" s="327">
        <f>IFERROR(IF(VLOOKUP(B72,Detalle!$A:$AA,$I$1,0)=0,"Sin datos",IFERROR(VLOOKUP(B72,Detalle!$A:$AA,$I$1,0),"Sin datos")),"")</f>
        <v/>
      </c>
      <c r="J72" s="93">
        <f>IFERROR(IF(VLOOKUP(B72,Detalle!$A:$AA,$J$1,0)=0,"Sin datos",IFERROR(VLOOKUP(B72,Detalle!$A:$AA,$J$1,0),"Sin datos")),"")</f>
        <v/>
      </c>
      <c r="K72" s="98" t="s">
        <v>293</v>
      </c>
      <c r="L72" s="328">
        <f>MIN(E72,G72,I72)</f>
        <v/>
      </c>
      <c r="M72" s="329">
        <f>IFERROR(IF(MIN(H72,J72)=F72,IF(G72=I72,"Escenario 5","Escenario 4"),IF(MIN(H72,J72)&lt;F72,IF(AND(F72-2&lt;=MIN(H72,J72),G72&lt;&gt;I72),"Escenario 1",IF(AND(F72-2&lt;=MIN(H72,J72),G72=I72),"Escenario 2","Escenario 3")),IF(MIN(H72,J72)&gt;F72,IF(AND(F72+2&gt;=MIN(H72,J72),G72=I72),"Escenario 7",IF(AND(F72+2&gt;=MIN(H72,J72),G72&lt;&gt;I72),"Escenario 6",IF(F72+5&lt;=MIN(H72,J72),"Escenario 9","Escenario 8"))),"error"))),"Falta info")</f>
        <v/>
      </c>
      <c r="N72" s="98">
        <f>IFERROR(VLOOKUP(M72,Base!$BJ$28:$BL$36,3,0),0)</f>
        <v/>
      </c>
      <c r="O72" s="330">
        <f>IF(LOOKUP(M72,Base!$X$8:$BG$8)=M72,VLOOKUP(B72,Base!E:BG,N72,0),0)</f>
        <v/>
      </c>
      <c r="P72" s="330" t="n"/>
      <c r="Q72" s="327">
        <f>IFERROR(IF(VLOOKUP(B72,Detalle!$A:$AA,$Q$1,0)=0,"Sin datos",IFERROR(VLOOKUP(B72,Detalle!$A:$AA,$Q$1,0),"Sin datos")),"")</f>
        <v/>
      </c>
      <c r="R72" s="93">
        <f>IFERROR(IF(VLOOKUP(B72,Detalle!$A:$AA,$R$1,0)=0,"Sin datos",IFERROR(VLOOKUP(B72,Detalle!$A:$AA,$R$1,0),"Sin datos")),"")</f>
        <v/>
      </c>
      <c r="S72" s="327">
        <f>IFERROR(IF(VLOOKUP(B72,Detalle!$A:$AA,$S$1,0)=0,"Sin datos",IFERROR(VLOOKUP(B72,Detalle!$A:$AA,$S$1,0),"Sin datos")),"")</f>
        <v/>
      </c>
      <c r="T72" s="93">
        <f>IFERROR(IF(VLOOKUP(B72,Detalle!$A:$AA,$T$1,0)=0,"Sin datos",IFERROR(VLOOKUP(B72,Detalle!$A:$AA,$T$1,0),"Sin datos")),"")</f>
        <v/>
      </c>
      <c r="U72" s="327">
        <f>IFERROR(IF(VLOOKUP(B72,Detalle!$A:$AA,$U$1,0)=0,"Sin datos",IFERROR(VLOOKUP(B72,Detalle!$A:$AA,$U$1,0),"Sin datos")),"")</f>
        <v/>
      </c>
      <c r="V72" s="93">
        <f>IFERROR(IF(VLOOKUP(B72,Detalle!$A:$AA,$V$1,0)=0,"Sin datos",IFERROR(VLOOKUP(B72,Detalle!$A:$AA,$V$1,0),"Sin datos")),"")</f>
        <v/>
      </c>
      <c r="W72" s="98">
        <f>IF(P72="",IF(MIN(Q72,S72,U72)&gt;E72,"Si","No"),IF(MIN(Q72,S72,U72)&gt;P72,"Si","No"))</f>
        <v/>
      </c>
      <c r="X72" s="328">
        <f>MIN(Q72,S72,U72)</f>
        <v/>
      </c>
      <c r="Y72" s="328">
        <f>IFERROR(IF(MIN(T72,V72)=R72,IF(S72=U72,"Escenario 5","Escenario 4"),IF(MIN(T72,V72)&lt;R72,IF(AND(R72-2&lt;=MIN(T72,V72),S72&lt;&gt;U72),"Escenario 1",IF(AND(R72-2&lt;=MIN(T72,V72),S72=U72),"Escenario 2","Escenario 3")),IF(MIN(T72,V72)&gt;R72,IF(AND(R72+2&gt;=MIN(T72,V72),S72=U72),"Escenario 7",IF(AND(R72+2&gt;=MIN(T72,V72),S72&lt;&gt;U72),"Escenario 6",IF(R72+5&lt;=MIN(T72,V72),"Escenario 9","Escenario 8"))),"error"))),"Falta info")</f>
        <v/>
      </c>
      <c r="Z72" s="98">
        <f>IFERROR(VLOOKUP(Y72,Base!$BJ$19:$BL$27,3,0),0)</f>
        <v/>
      </c>
      <c r="AA72" s="330">
        <f>IF(LOOKUP(Y72,Base!$X$8:$BG$8)=Y72,VLOOKUP(B72,Base!E:BG,Z72,0),0)</f>
        <v/>
      </c>
      <c r="AB72" s="330" t="n"/>
      <c r="AC72" s="327">
        <f>IFERROR(IF(VLOOKUP(B72,Detalle!$A:$AA,$AC$1,0)=0,"Sin datos",IFERROR(VLOOKUP(B72,Detalle!$A:$AA,$AC$1,0),"Sin datos")),"")</f>
        <v/>
      </c>
      <c r="AD72" s="93">
        <f>IFERROR(IF(VLOOKUP(B72,Detalle!$A:$AA,$AD$1,0)=0,"Sin datos",IFERROR(VLOOKUP(B72,Detalle!$A:$AA,$AD$1,0),"Sin datos")),"")</f>
        <v/>
      </c>
      <c r="AE72" s="327">
        <f>IFERROR(IF(VLOOKUP(B72,Detalle!$A:$AA,$AE$1,0)=0,"Sin datos",IFERROR(VLOOKUP(B72,Detalle!$A:$AA,$AE$1,0),"Sin datos")),"")</f>
        <v/>
      </c>
      <c r="AF72" s="93">
        <f>IFERROR(IF(VLOOKUP(B72,Detalle!$A:$AA,$AF$1,0)=0,"Sin datos",IFERROR(VLOOKUP(B72,Detalle!$A:$AA,$AF$1,0),"Sin datos")),"")</f>
        <v/>
      </c>
      <c r="AG72" s="327">
        <f>IFERROR(IF(VLOOKUP(B72,Detalle!$A:$AA,$AG$1,0)=0,"Sin datos",IFERROR(VLOOKUP(B72,Detalle!$A:$AA,$AG$1,0),"Sin datos")),"")</f>
        <v/>
      </c>
      <c r="AH72" s="93">
        <f>IFERROR(IF(VLOOKUP(B72,Detalle!$A:$AA,$AH$1,0)=0,"Sin datos",IFERROR(VLOOKUP(B72,Detalle!$A:$AA,$AH$1,0),"Sin datos")),"")</f>
        <v/>
      </c>
      <c r="AI72" s="98">
        <f>IF(AB72="",IF(MIN(AC72,AE72,AG72)&gt;E72,"Si","No"),IF(MIN(AC72,AG72,AG72)&gt;AB72,"Si","No"))</f>
        <v/>
      </c>
      <c r="AJ72" s="328">
        <f>MIN(AC72,AE72,AG72)</f>
        <v/>
      </c>
      <c r="AK72" s="328">
        <f>IFERROR(IF(MIN(AF72,AH72)=AD72,IF(AE72=AG72,"Escenario 5","Escenario 4"),IF(MIN(AF72,AH72)&lt;AD72,IF(AND(AD72-2&lt;=MIN(AF72,AH72),AE72&lt;&gt;AG72),"Escenario 1",IF(AND(AD72-2&lt;=MIN(AF72,AH72),AE72=AG72),"Escenario 2","Escenario 3")),IF(MIN(AF72,AH72)&gt;AD72,IF(AND(AD72+2&gt;=MIN(AF72,AH72),AE72=AG72),"Escenario 7",IF(AND(AD72+2&gt;=MIN(AF72,AH72),AE72&lt;&gt;AG72),"Escenario 6",IF(AD72+5&lt;=MIN(AF72,AH72),"Escenario 9","Escenario 8"))),"error"))),"Falta info")</f>
        <v/>
      </c>
      <c r="AL72" s="98">
        <f>IFERROR(VLOOKUP(AK72,Base!$BJ$37:$BL$45,3,0),0)</f>
        <v/>
      </c>
      <c r="AM72" s="330">
        <f>IF(LOOKUP(AK72,Base!$X$8:$BG$8)=AK72,VLOOKUP(B72,Base!E:BG,AL72,0),0)</f>
        <v/>
      </c>
      <c r="AN72" s="330" t="n"/>
      <c r="AP72" s="331">
        <f>IF(AM72&lt;=AA72,"REVISAR!","ok")</f>
        <v/>
      </c>
    </row>
    <row customHeight="1" ht="12.95" r="73" s="183" spans="1:43">
      <c r="B73" s="108" t="s">
        <v>72</v>
      </c>
      <c r="C73" s="89" t="s">
        <v>294</v>
      </c>
      <c r="D73" s="106">
        <f>VLOOKUP(B73,Base!E:G,3,0)</f>
        <v/>
      </c>
      <c r="E73" s="326">
        <f>IFERROR(IF(VLOOKUP(B73,Detalle!$A:$AA,$E$1,0)=0,"Sin datos",IFERROR(VLOOKUP(B73,Detalle!$A:$AA,$E$1,0),"Sin datos")),"")</f>
        <v/>
      </c>
      <c r="F73" s="91">
        <f>IFERROR(IF(VLOOKUP(B73,Detalle!$A:$AA,$F$1,0)=0,"Sin datos",IFERROR(VLOOKUP(B73,Detalle!$A:$AA,$F$1,0),"Sin datos")),"")</f>
        <v/>
      </c>
      <c r="G73" s="327">
        <f>IFERROR(IF(VLOOKUP(B73,Detalle!$A:$AA,$G$1,0)=0,"Sin datos",IFERROR(VLOOKUP(B73,Detalle!$A:$AA,$G$1,0),"Sin datos")),"")</f>
        <v/>
      </c>
      <c r="H73" s="93">
        <f>IFERROR(IF(VLOOKUP(B73,Detalle!$A:$AA,$H$1,0)=0,"Sin datos",IFERROR(VLOOKUP(B73,Detalle!$A:$AA,$H$1,0),"Sin datos")),"")</f>
        <v/>
      </c>
      <c r="I73" s="327">
        <f>IFERROR(IF(VLOOKUP(B73,Detalle!$A:$AA,$I$1,0)=0,"Sin datos",IFERROR(VLOOKUP(B73,Detalle!$A:$AA,$I$1,0),"Sin datos")),"")</f>
        <v/>
      </c>
      <c r="J73" s="93">
        <f>IFERROR(IF(VLOOKUP(B73,Detalle!$A:$AA,$J$1,0)=0,"Sin datos",IFERROR(VLOOKUP(B73,Detalle!$A:$AA,$J$1,0),"Sin datos")),"")</f>
        <v/>
      </c>
      <c r="K73" s="98" t="s">
        <v>293</v>
      </c>
      <c r="L73" s="328">
        <f>MIN(E73,G73,I73)</f>
        <v/>
      </c>
      <c r="M73" s="329">
        <f>IFERROR(IF(MIN(H73,J73)=F73,IF(G73=I73,"Escenario 5","Escenario 4"),IF(MIN(H73,J73)&lt;F73,IF(AND(F73-2&lt;=MIN(H73,J73),G73&lt;&gt;I73),"Escenario 1",IF(AND(F73-2&lt;=MIN(H73,J73),G73=I73),"Escenario 2","Escenario 3")),IF(MIN(H73,J73)&gt;F73,IF(AND(F73+2&gt;=MIN(H73,J73),G73=I73),"Escenario 7",IF(AND(F73+2&gt;=MIN(H73,J73),G73&lt;&gt;I73),"Escenario 6",IF(F73+5&lt;=MIN(H73,J73),"Escenario 9","Escenario 8"))),"error"))),"Falta info")</f>
        <v/>
      </c>
      <c r="N73" s="98">
        <f>IFERROR(VLOOKUP(M73,Base!$BJ$28:$BL$36,3,0),0)</f>
        <v/>
      </c>
      <c r="O73" s="330">
        <f>IF(LOOKUP(M73,Base!$X$8:$BG$8)=M73,VLOOKUP(B73,Base!E:BG,N73,0),0)</f>
        <v/>
      </c>
      <c r="P73" s="330" t="n"/>
      <c r="Q73" s="327">
        <f>IFERROR(IF(VLOOKUP(B73,Detalle!$A:$AA,$Q$1,0)=0,"Sin datos",IFERROR(VLOOKUP(B73,Detalle!$A:$AA,$Q$1,0),"Sin datos")),"")</f>
        <v/>
      </c>
      <c r="R73" s="93">
        <f>IFERROR(IF(VLOOKUP(B73,Detalle!$A:$AA,$R$1,0)=0,"Sin datos",IFERROR(VLOOKUP(B73,Detalle!$A:$AA,$R$1,0),"Sin datos")),"")</f>
        <v/>
      </c>
      <c r="S73" s="327">
        <f>IFERROR(IF(VLOOKUP(B73,Detalle!$A:$AA,$S$1,0)=0,"Sin datos",IFERROR(VLOOKUP(B73,Detalle!$A:$AA,$S$1,0),"Sin datos")),"")</f>
        <v/>
      </c>
      <c r="T73" s="93">
        <f>IFERROR(IF(VLOOKUP(B73,Detalle!$A:$AA,$T$1,0)=0,"Sin datos",IFERROR(VLOOKUP(B73,Detalle!$A:$AA,$T$1,0),"Sin datos")),"")</f>
        <v/>
      </c>
      <c r="U73" s="327">
        <f>IFERROR(IF(VLOOKUP(B73,Detalle!$A:$AA,$U$1,0)=0,"Sin datos",IFERROR(VLOOKUP(B73,Detalle!$A:$AA,$U$1,0),"Sin datos")),"")</f>
        <v/>
      </c>
      <c r="V73" s="93">
        <f>IFERROR(IF(VLOOKUP(B73,Detalle!$A:$AA,$V$1,0)=0,"Sin datos",IFERROR(VLOOKUP(B73,Detalle!$A:$AA,$V$1,0),"Sin datos")),"")</f>
        <v/>
      </c>
      <c r="W73" s="98">
        <f>IF(P73="",IF(MIN(Q73,S73,U73)&gt;E73,"Si","No"),IF(MIN(Q73,S73,U73)&gt;P73,"Si","No"))</f>
        <v/>
      </c>
      <c r="X73" s="328">
        <f>MIN(Q73,S73,U73)</f>
        <v/>
      </c>
      <c r="Y73" s="328">
        <f>IFERROR(IF(MIN(T73,V73)=R73,IF(S73=U73,"Escenario 5","Escenario 4"),IF(MIN(T73,V73)&lt;R73,IF(AND(R73-2&lt;=MIN(T73,V73),S73&lt;&gt;U73),"Escenario 1",IF(AND(R73-2&lt;=MIN(T73,V73),S73=U73),"Escenario 2","Escenario 3")),IF(MIN(T73,V73)&gt;R73,IF(AND(R73+2&gt;=MIN(T73,V73),S73=U73),"Escenario 7",IF(AND(R73+2&gt;=MIN(T73,V73),S73&lt;&gt;U73),"Escenario 6",IF(R73+5&lt;=MIN(T73,V73),"Escenario 9","Escenario 8"))),"error"))),"Falta info")</f>
        <v/>
      </c>
      <c r="Z73" s="98">
        <f>IFERROR(VLOOKUP(Y73,Base!$BJ$19:$BL$27,3,0),0)</f>
        <v/>
      </c>
      <c r="AA73" s="332">
        <f>IF(LOOKUP(Y73,Base!$X$8:$BG$8)=Y73,VLOOKUP(B73,Base!E:BG,Z73,0),0)</f>
        <v/>
      </c>
      <c r="AB73" s="332" t="n">
        <v>39990</v>
      </c>
      <c r="AC73" s="327">
        <f>IFERROR(IF(VLOOKUP(B73,Detalle!$A:$AA,$AC$1,0)=0,"Sin datos",IFERROR(VLOOKUP(B73,Detalle!$A:$AA,$AC$1,0),"Sin datos")),"")</f>
        <v/>
      </c>
      <c r="AD73" s="93">
        <f>IFERROR(IF(VLOOKUP(B73,Detalle!$A:$AA,$AD$1,0)=0,"Sin datos",IFERROR(VLOOKUP(B73,Detalle!$A:$AA,$AD$1,0),"Sin datos")),"")</f>
        <v/>
      </c>
      <c r="AE73" s="327">
        <f>IFERROR(IF(VLOOKUP(B73,Detalle!$A:$AA,$AE$1,0)=0,"Sin datos",IFERROR(VLOOKUP(B73,Detalle!$A:$AA,$AE$1,0),"Sin datos")),"")</f>
        <v/>
      </c>
      <c r="AF73" s="93">
        <f>IFERROR(IF(VLOOKUP(B73,Detalle!$A:$AA,$AF$1,0)=0,"Sin datos",IFERROR(VLOOKUP(B73,Detalle!$A:$AA,$AF$1,0),"Sin datos")),"")</f>
        <v/>
      </c>
      <c r="AG73" s="327">
        <f>IFERROR(IF(VLOOKUP(B73,Detalle!$A:$AA,$AG$1,0)=0,"Sin datos",IFERROR(VLOOKUP(B73,Detalle!$A:$AA,$AG$1,0),"Sin datos")),"")</f>
        <v/>
      </c>
      <c r="AH73" s="93">
        <f>IFERROR(IF(VLOOKUP(B73,Detalle!$A:$AA,$AH$1,0)=0,"Sin datos",IFERROR(VLOOKUP(B73,Detalle!$A:$AA,$AH$1,0),"Sin datos")),"")</f>
        <v/>
      </c>
      <c r="AI73" s="98">
        <f>IF(AB73="",IF(MIN(AC73,AE73,AG73)&gt;E73,"Si","No"),IF(MIN(AC73,AG73,AG73)&gt;AB73,"Si","No"))</f>
        <v/>
      </c>
      <c r="AJ73" s="328">
        <f>MIN(AC73,AE73,AG73)</f>
        <v/>
      </c>
      <c r="AK73" s="328">
        <f>IFERROR(IF(MIN(AF73,AH73)=AD73,IF(AE73=AG73,"Escenario 5","Escenario 4"),IF(MIN(AF73,AH73)&lt;AD73,IF(AND(AD73-2&lt;=MIN(AF73,AH73),AE73&lt;&gt;AG73),"Escenario 1",IF(AND(AD73-2&lt;=MIN(AF73,AH73),AE73=AG73),"Escenario 2","Escenario 3")),IF(MIN(AF73,AH73)&gt;AD73,IF(AND(AD73+2&gt;=MIN(AF73,AH73),AE73=AG73),"Escenario 7",IF(AND(AD73+2&gt;=MIN(AF73,AH73),AE73&lt;&gt;AG73),"Escenario 6",IF(AD73+5&lt;=MIN(AF73,AH73),"Escenario 9","Escenario 8"))),"error"))),"Falta info")</f>
        <v/>
      </c>
      <c r="AL73" s="98">
        <f>IFERROR(VLOOKUP(AK73,Base!$BJ$37:$BL$45,3,0),0)</f>
        <v/>
      </c>
      <c r="AM73" s="332">
        <f>IF(LOOKUP(AK73,Base!$X$8:$BG$8)=AK73,VLOOKUP(B73,Base!E:BG,AL73,0),0)</f>
        <v/>
      </c>
      <c r="AN73" s="332" t="n">
        <v>79990</v>
      </c>
      <c r="AP73" s="331" t="n"/>
    </row>
    <row customHeight="1" ht="12.95" r="74" s="183" spans="1:43">
      <c r="B74" s="108" t="s">
        <v>91</v>
      </c>
      <c r="C74" s="89" t="s">
        <v>294</v>
      </c>
      <c r="D74" s="106">
        <f>VLOOKUP(B74,Base!E:G,3,0)</f>
        <v/>
      </c>
      <c r="E74" s="326">
        <f>IFERROR(IF(VLOOKUP(B74,Detalle!$A:$AA,$E$1,0)=0,"Sin datos",IFERROR(VLOOKUP(B74,Detalle!$A:$AA,$E$1,0),"Sin datos")),"")</f>
        <v/>
      </c>
      <c r="F74" s="91">
        <f>IFERROR(IF(VLOOKUP(B74,Detalle!$A:$AA,$F$1,0)=0,"Sin datos",IFERROR(VLOOKUP(B74,Detalle!$A:$AA,$F$1,0),"Sin datos")),"")</f>
        <v/>
      </c>
      <c r="G74" s="327">
        <f>IFERROR(IF(VLOOKUP(B74,Detalle!$A:$AA,$G$1,0)=0,"Sin datos",IFERROR(VLOOKUP(B74,Detalle!$A:$AA,$G$1,0),"Sin datos")),"")</f>
        <v/>
      </c>
      <c r="H74" s="93">
        <f>IFERROR(IF(VLOOKUP(B74,Detalle!$A:$AA,$H$1,0)=0,"Sin datos",IFERROR(VLOOKUP(B74,Detalle!$A:$AA,$H$1,0),"Sin datos")),"")</f>
        <v/>
      </c>
      <c r="I74" s="327">
        <f>IFERROR(IF(VLOOKUP(B74,Detalle!$A:$AA,$I$1,0)=0,"Sin datos",IFERROR(VLOOKUP(B74,Detalle!$A:$AA,$I$1,0),"Sin datos")),"")</f>
        <v/>
      </c>
      <c r="J74" s="93">
        <f>IFERROR(IF(VLOOKUP(B74,Detalle!$A:$AA,$J$1,0)=0,"Sin datos",IFERROR(VLOOKUP(B74,Detalle!$A:$AA,$J$1,0),"Sin datos")),"")</f>
        <v/>
      </c>
      <c r="K74" s="98" t="s">
        <v>293</v>
      </c>
      <c r="L74" s="328">
        <f>MIN(E74,G74,I74)</f>
        <v/>
      </c>
      <c r="M74" s="329">
        <f>IFERROR(IF(MIN(H74,J74)=F74,IF(G74=I74,"Escenario 5","Escenario 4"),IF(MIN(H74,J74)&lt;F74,IF(AND(F74-2&lt;=MIN(H74,J74),G74&lt;&gt;I74),"Escenario 1",IF(AND(F74-2&lt;=MIN(H74,J74),G74=I74),"Escenario 2","Escenario 3")),IF(MIN(H74,J74)&gt;F74,IF(AND(F74+2&gt;=MIN(H74,J74),G74=I74),"Escenario 7",IF(AND(F74+2&gt;=MIN(H74,J74),G74&lt;&gt;I74),"Escenario 6",IF(F74+5&lt;=MIN(H74,J74),"Escenario 9","Escenario 8"))),"error"))),"Falta info")</f>
        <v/>
      </c>
      <c r="N74" s="98">
        <f>IFERROR(VLOOKUP(M74,Base!$BJ$28:$BL$36,3,0),0)</f>
        <v/>
      </c>
      <c r="O74" s="330">
        <f>IF(LOOKUP(M74,Base!$X$8:$BG$8)=M74,VLOOKUP(B74,Base!E:BG,N74,0),0)</f>
        <v/>
      </c>
      <c r="P74" s="330" t="n"/>
      <c r="Q74" s="327">
        <f>IFERROR(IF(VLOOKUP(B74,Detalle!$A:$AA,$Q$1,0)=0,"Sin datos",IFERROR(VLOOKUP(B74,Detalle!$A:$AA,$Q$1,0),"Sin datos")),"")</f>
        <v/>
      </c>
      <c r="R74" s="93">
        <f>IFERROR(IF(VLOOKUP(B74,Detalle!$A:$AA,$R$1,0)=0,"Sin datos",IFERROR(VLOOKUP(B74,Detalle!$A:$AA,$R$1,0),"Sin datos")),"")</f>
        <v/>
      </c>
      <c r="S74" s="327">
        <f>IFERROR(IF(VLOOKUP(B74,Detalle!$A:$AA,$S$1,0)=0,"Sin datos",IFERROR(VLOOKUP(B74,Detalle!$A:$AA,$S$1,0),"Sin datos")),"")</f>
        <v/>
      </c>
      <c r="T74" s="93">
        <f>IFERROR(IF(VLOOKUP(B74,Detalle!$A:$AA,$T$1,0)=0,"Sin datos",IFERROR(VLOOKUP(B74,Detalle!$A:$AA,$T$1,0),"Sin datos")),"")</f>
        <v/>
      </c>
      <c r="U74" s="327">
        <f>IFERROR(IF(VLOOKUP(B74,Detalle!$A:$AA,$U$1,0)=0,"Sin datos",IFERROR(VLOOKUP(B74,Detalle!$A:$AA,$U$1,0),"Sin datos")),"")</f>
        <v/>
      </c>
      <c r="V74" s="93">
        <f>IFERROR(IF(VLOOKUP(B74,Detalle!$A:$AA,$V$1,0)=0,"Sin datos",IFERROR(VLOOKUP(B74,Detalle!$A:$AA,$V$1,0),"Sin datos")),"")</f>
        <v/>
      </c>
      <c r="W74" s="98">
        <f>IF(P74="",IF(MIN(Q74,S74,U74)&gt;E74,"Si","No"),IF(MIN(Q74,S74,U74)&gt;P74,"Si","No"))</f>
        <v/>
      </c>
      <c r="X74" s="328">
        <f>MIN(Q74,S74,U74)</f>
        <v/>
      </c>
      <c r="Y74" s="328">
        <f>IFERROR(IF(MIN(T74,V74)=R74,IF(S74=U74,"Escenario 5","Escenario 4"),IF(MIN(T74,V74)&lt;R74,IF(AND(R74-2&lt;=MIN(T74,V74),S74&lt;&gt;U74),"Escenario 1",IF(AND(R74-2&lt;=MIN(T74,V74),S74=U74),"Escenario 2","Escenario 3")),IF(MIN(T74,V74)&gt;R74,IF(AND(R74+2&gt;=MIN(T74,V74),S74=U74),"Escenario 7",IF(AND(R74+2&gt;=MIN(T74,V74),S74&lt;&gt;U74),"Escenario 6",IF(R74+5&lt;=MIN(T74,V74),"Escenario 9","Escenario 8"))),"error"))),"Falta info")</f>
        <v/>
      </c>
      <c r="Z74" s="98">
        <f>IFERROR(VLOOKUP(Y74,Base!$BJ$19:$BL$27,3,0),0)</f>
        <v/>
      </c>
      <c r="AA74" s="330">
        <f>IF(LOOKUP(Y74,Base!$X$8:$BG$8)=Y74,VLOOKUP(B74,Base!E:BG,Z74,0),0)</f>
        <v/>
      </c>
      <c r="AB74" s="330" t="n"/>
      <c r="AC74" s="327">
        <f>IFERROR(IF(VLOOKUP(B74,Detalle!$A:$AA,$AC$1,0)=0,"Sin datos",IFERROR(VLOOKUP(B74,Detalle!$A:$AA,$AC$1,0),"Sin datos")),"")</f>
        <v/>
      </c>
      <c r="AD74" s="93">
        <f>IFERROR(IF(VLOOKUP(B74,Detalle!$A:$AA,$AD$1,0)=0,"Sin datos",IFERROR(VLOOKUP(B74,Detalle!$A:$AA,$AD$1,0),"Sin datos")),"")</f>
        <v/>
      </c>
      <c r="AE74" s="327">
        <f>IFERROR(IF(VLOOKUP(B74,Detalle!$A:$AA,$AE$1,0)=0,"Sin datos",IFERROR(VLOOKUP(B74,Detalle!$A:$AA,$AE$1,0),"Sin datos")),"")</f>
        <v/>
      </c>
      <c r="AF74" s="93">
        <f>IFERROR(IF(VLOOKUP(B74,Detalle!$A:$AA,$AF$1,0)=0,"Sin datos",IFERROR(VLOOKUP(B74,Detalle!$A:$AA,$AF$1,0),"Sin datos")),"")</f>
        <v/>
      </c>
      <c r="AG74" s="327">
        <f>IFERROR(IF(VLOOKUP(B74,Detalle!$A:$AA,$AG$1,0)=0,"Sin datos",IFERROR(VLOOKUP(B74,Detalle!$A:$AA,$AG$1,0),"Sin datos")),"")</f>
        <v/>
      </c>
      <c r="AH74" s="93">
        <f>IFERROR(IF(VLOOKUP(B74,Detalle!$A:$AA,$AH$1,0)=0,"Sin datos",IFERROR(VLOOKUP(B74,Detalle!$A:$AA,$AH$1,0),"Sin datos")),"")</f>
        <v/>
      </c>
      <c r="AI74" s="98">
        <f>IF(AB74="",IF(MIN(AC74,AE74,AG74)&gt;E74,"Si","No"),IF(MIN(AC74,AG74,AG74)&gt;AB74,"Si","No"))</f>
        <v/>
      </c>
      <c r="AJ74" s="328">
        <f>MIN(AC74,AE74,AG74)</f>
        <v/>
      </c>
      <c r="AK74" s="328">
        <f>IFERROR(IF(MIN(AF74,AH74)=AD74,IF(AE74=AG74,"Escenario 5","Escenario 4"),IF(MIN(AF74,AH74)&lt;AD74,IF(AND(AD74-2&lt;=MIN(AF74,AH74),AE74&lt;&gt;AG74),"Escenario 1",IF(AND(AD74-2&lt;=MIN(AF74,AH74),AE74=AG74),"Escenario 2","Escenario 3")),IF(MIN(AF74,AH74)&gt;AD74,IF(AND(AD74+2&gt;=MIN(AF74,AH74),AE74=AG74),"Escenario 7",IF(AND(AD74+2&gt;=MIN(AF74,AH74),AE74&lt;&gt;AG74),"Escenario 6",IF(AD74+5&lt;=MIN(AF74,AH74),"Escenario 9","Escenario 8"))),"error"))),"Falta info")</f>
        <v/>
      </c>
      <c r="AL74" s="98">
        <f>IFERROR(VLOOKUP(AK74,Base!$BJ$37:$BL$45,3,0),0)</f>
        <v/>
      </c>
      <c r="AM74" s="330">
        <f>IF(LOOKUP(AK74,Base!$X$8:$BG$8)=AK74,VLOOKUP(B74,Base!E:BG,AL74,0),0)</f>
        <v/>
      </c>
      <c r="AN74" s="330" t="n"/>
      <c r="AP74" s="331">
        <f>IF(AM74&lt;=AA74,"REVISAR!","ok")</f>
        <v/>
      </c>
    </row>
    <row customHeight="1" ht="12.95" r="75" s="183" spans="1:43">
      <c r="B75" s="108" t="s">
        <v>64</v>
      </c>
      <c r="C75" s="89" t="s">
        <v>294</v>
      </c>
      <c r="D75" s="106">
        <f>VLOOKUP(B75,Base!E:G,3,0)</f>
        <v/>
      </c>
      <c r="E75" s="326">
        <f>IFERROR(IF(VLOOKUP(B75,Detalle!$A:$AA,$E$1,0)=0,"Sin datos",IFERROR(VLOOKUP(B75,Detalle!$A:$AA,$E$1,0),"Sin datos")),"")</f>
        <v/>
      </c>
      <c r="F75" s="91">
        <f>IFERROR(IF(VLOOKUP(B75,Detalle!$A:$AA,$F$1,0)=0,"Sin datos",IFERROR(VLOOKUP(B75,Detalle!$A:$AA,$F$1,0),"Sin datos")),"")</f>
        <v/>
      </c>
      <c r="G75" s="327">
        <f>IFERROR(IF(VLOOKUP(B75,Detalle!$A:$AA,$G$1,0)=0,"Sin datos",IFERROR(VLOOKUP(B75,Detalle!$A:$AA,$G$1,0),"Sin datos")),"")</f>
        <v/>
      </c>
      <c r="H75" s="93">
        <f>IFERROR(IF(VLOOKUP(B75,Detalle!$A:$AA,$H$1,0)=0,"Sin datos",IFERROR(VLOOKUP(B75,Detalle!$A:$AA,$H$1,0),"Sin datos")),"")</f>
        <v/>
      </c>
      <c r="I75" s="327">
        <f>IFERROR(IF(VLOOKUP(B75,Detalle!$A:$AA,$I$1,0)=0,"Sin datos",IFERROR(VLOOKUP(B75,Detalle!$A:$AA,$I$1,0),"Sin datos")),"")</f>
        <v/>
      </c>
      <c r="J75" s="93">
        <f>IFERROR(IF(VLOOKUP(B75,Detalle!$A:$AA,$J$1,0)=0,"Sin datos",IFERROR(VLOOKUP(B75,Detalle!$A:$AA,$J$1,0),"Sin datos")),"")</f>
        <v/>
      </c>
      <c r="K75" s="98" t="s">
        <v>293</v>
      </c>
      <c r="L75" s="328">
        <f>MIN(E75,G75,I75)</f>
        <v/>
      </c>
      <c r="M75" s="329">
        <f>IFERROR(IF(MIN(H75,J75)=F75,IF(G75=I75,"Escenario 5","Escenario 4"),IF(MIN(H75,J75)&lt;F75,IF(AND(F75-2&lt;=MIN(H75,J75),G75&lt;&gt;I75),"Escenario 1",IF(AND(F75-2&lt;=MIN(H75,J75),G75=I75),"Escenario 2","Escenario 3")),IF(MIN(H75,J75)&gt;F75,IF(AND(F75+2&gt;=MIN(H75,J75),G75=I75),"Escenario 7",IF(AND(F75+2&gt;=MIN(H75,J75),G75&lt;&gt;I75),"Escenario 6",IF(F75+5&lt;=MIN(H75,J75),"Escenario 9","Escenario 8"))),"error"))),"Falta info")</f>
        <v/>
      </c>
      <c r="N75" s="98">
        <f>IFERROR(VLOOKUP(M75,Base!$BJ$28:$BL$36,3,0),0)</f>
        <v/>
      </c>
      <c r="O75" s="330">
        <f>IF(LOOKUP(M75,Base!$X$8:$BG$8)=M75,VLOOKUP(B75,Base!E:BG,N75,0),0)</f>
        <v/>
      </c>
      <c r="P75" s="330" t="n"/>
      <c r="Q75" s="327">
        <f>IFERROR(IF(VLOOKUP(B75,Detalle!$A:$AA,$Q$1,0)=0,"Sin datos",IFERROR(VLOOKUP(B75,Detalle!$A:$AA,$Q$1,0),"Sin datos")),"")</f>
        <v/>
      </c>
      <c r="R75" s="93">
        <f>IFERROR(IF(VLOOKUP(B75,Detalle!$A:$AA,$R$1,0)=0,"Sin datos",IFERROR(VLOOKUP(B75,Detalle!$A:$AA,$R$1,0),"Sin datos")),"")</f>
        <v/>
      </c>
      <c r="S75" s="327">
        <f>IFERROR(IF(VLOOKUP(B75,Detalle!$A:$AA,$S$1,0)=0,"Sin datos",IFERROR(VLOOKUP(B75,Detalle!$A:$AA,$S$1,0),"Sin datos")),"")</f>
        <v/>
      </c>
      <c r="T75" s="93">
        <f>IFERROR(IF(VLOOKUP(B75,Detalle!$A:$AA,$T$1,0)=0,"Sin datos",IFERROR(VLOOKUP(B75,Detalle!$A:$AA,$T$1,0),"Sin datos")),"")</f>
        <v/>
      </c>
      <c r="U75" s="327">
        <f>IFERROR(IF(VLOOKUP(B75,Detalle!$A:$AA,$U$1,0)=0,"Sin datos",IFERROR(VLOOKUP(B75,Detalle!$A:$AA,$U$1,0),"Sin datos")),"")</f>
        <v/>
      </c>
      <c r="V75" s="93">
        <f>IFERROR(IF(VLOOKUP(B75,Detalle!$A:$AA,$V$1,0)=0,"Sin datos",IFERROR(VLOOKUP(B75,Detalle!$A:$AA,$V$1,0),"Sin datos")),"")</f>
        <v/>
      </c>
      <c r="W75" s="98">
        <f>IF(P75="",IF(MIN(Q75,S75,U75)&gt;E75,"Si","No"),IF(MIN(Q75,S75,U75)&gt;P75,"Si","No"))</f>
        <v/>
      </c>
      <c r="X75" s="328">
        <f>MIN(Q75,S75,U75)</f>
        <v/>
      </c>
      <c r="Y75" s="328">
        <f>IFERROR(IF(MIN(T75,V75)=R75,IF(S75=U75,"Escenario 5","Escenario 4"),IF(MIN(T75,V75)&lt;R75,IF(AND(R75-2&lt;=MIN(T75,V75),S75&lt;&gt;U75),"Escenario 1",IF(AND(R75-2&lt;=MIN(T75,V75),S75=U75),"Escenario 2","Escenario 3")),IF(MIN(T75,V75)&gt;R75,IF(AND(R75+2&gt;=MIN(T75,V75),S75=U75),"Escenario 7",IF(AND(R75+2&gt;=MIN(T75,V75),S75&lt;&gt;U75),"Escenario 6",IF(R75+5&lt;=MIN(T75,V75),"Escenario 9","Escenario 8"))),"error"))),"Falta info")</f>
        <v/>
      </c>
      <c r="Z75" s="98">
        <f>IFERROR(VLOOKUP(Y75,Base!$BJ$19:$BL$27,3,0),0)</f>
        <v/>
      </c>
      <c r="AA75" s="330">
        <f>IF(LOOKUP(Y75,Base!$X$8:$BG$8)=Y75,VLOOKUP(B75,Base!E:BG,Z75,0),0)</f>
        <v/>
      </c>
      <c r="AB75" s="330" t="n">
        <v>15990</v>
      </c>
      <c r="AC75" s="327">
        <f>IFERROR(IF(VLOOKUP(B75,Detalle!$A:$AA,$AC$1,0)=0,"Sin datos",IFERROR(VLOOKUP(B75,Detalle!$A:$AA,$AC$1,0),"Sin datos")),"")</f>
        <v/>
      </c>
      <c r="AD75" s="93">
        <f>IFERROR(IF(VLOOKUP(B75,Detalle!$A:$AA,$AD$1,0)=0,"Sin datos",IFERROR(VLOOKUP(B75,Detalle!$A:$AA,$AD$1,0),"Sin datos")),"")</f>
        <v/>
      </c>
      <c r="AE75" s="327">
        <f>IFERROR(IF(VLOOKUP(B75,Detalle!$A:$AA,$AE$1,0)=0,"Sin datos",IFERROR(VLOOKUP(B75,Detalle!$A:$AA,$AE$1,0),"Sin datos")),"")</f>
        <v/>
      </c>
      <c r="AF75" s="93">
        <f>IFERROR(IF(VLOOKUP(B75,Detalle!$A:$AA,$AF$1,0)=0,"Sin datos",IFERROR(VLOOKUP(B75,Detalle!$A:$AA,$AF$1,0),"Sin datos")),"")</f>
        <v/>
      </c>
      <c r="AG75" s="327">
        <f>IFERROR(IF(VLOOKUP(B75,Detalle!$A:$AA,$AG$1,0)=0,"Sin datos",IFERROR(VLOOKUP(B75,Detalle!$A:$AA,$AG$1,0),"Sin datos")),"")</f>
        <v/>
      </c>
      <c r="AH75" s="93">
        <f>IFERROR(IF(VLOOKUP(B75,Detalle!$A:$AA,$AH$1,0)=0,"Sin datos",IFERROR(VLOOKUP(B75,Detalle!$A:$AA,$AH$1,0),"Sin datos")),"")</f>
        <v/>
      </c>
      <c r="AI75" s="98">
        <f>IF(AB75="",IF(MIN(AC75,AE75,AG75)&gt;E75,"Si","No"),IF(MIN(AC75,AG75,AG75)&gt;AB75,"Si","No"))</f>
        <v/>
      </c>
      <c r="AJ75" s="328">
        <f>MIN(AC75,AE75,AG75)</f>
        <v/>
      </c>
      <c r="AK75" s="328">
        <f>IFERROR(IF(MIN(AF75,AH75)=AD75,IF(AE75=AG75,"Escenario 5","Escenario 4"),IF(MIN(AF75,AH75)&lt;AD75,IF(AND(AD75-2&lt;=MIN(AF75,AH75),AE75&lt;&gt;AG75),"Escenario 1",IF(AND(AD75-2&lt;=MIN(AF75,AH75),AE75=AG75),"Escenario 2","Escenario 3")),IF(MIN(AF75,AH75)&gt;AD75,IF(AND(AD75+2&gt;=MIN(AF75,AH75),AE75=AG75),"Escenario 7",IF(AND(AD75+2&gt;=MIN(AF75,AH75),AE75&lt;&gt;AG75),"Escenario 6",IF(AD75+5&lt;=MIN(AF75,AH75),"Escenario 9","Escenario 8"))),"error"))),"Falta info")</f>
        <v/>
      </c>
      <c r="AL75" s="98">
        <f>IFERROR(VLOOKUP(AK75,Base!$BJ$37:$BL$45,3,0),0)</f>
        <v/>
      </c>
      <c r="AM75" s="330">
        <f>IF(LOOKUP(AK75,Base!$X$8:$BG$8)=AK75,VLOOKUP(B75,Base!E:BG,AL75,0),0)</f>
        <v/>
      </c>
      <c r="AN75" s="330" t="n">
        <v>15990</v>
      </c>
      <c r="AP75" s="331">
        <f>IF(AM75&lt;=AA75,"REVISAR!","ok")</f>
        <v/>
      </c>
    </row>
    <row customHeight="1" ht="12.95" r="76" s="183" spans="1:43">
      <c r="B76" s="108" t="s">
        <v>79</v>
      </c>
      <c r="C76" s="89" t="s">
        <v>294</v>
      </c>
      <c r="D76" s="106">
        <f>VLOOKUP(B76,Base!E:G,3,0)</f>
        <v/>
      </c>
      <c r="E76" s="326">
        <f>IFERROR(IF(VLOOKUP(B76,Detalle!$A:$AA,$E$1,0)=0,"Sin datos",IFERROR(VLOOKUP(B76,Detalle!$A:$AA,$E$1,0),"Sin datos")),"")</f>
        <v/>
      </c>
      <c r="F76" s="91">
        <f>IFERROR(IF(VLOOKUP(B76,Detalle!$A:$AA,$F$1,0)=0,"Sin datos",IFERROR(VLOOKUP(B76,Detalle!$A:$AA,$F$1,0),"Sin datos")),"")</f>
        <v/>
      </c>
      <c r="G76" s="327">
        <f>IFERROR(IF(VLOOKUP(B76,Detalle!$A:$AA,$G$1,0)=0,"Sin datos",IFERROR(VLOOKUP(B76,Detalle!$A:$AA,$G$1,0),"Sin datos")),"")</f>
        <v/>
      </c>
      <c r="H76" s="93">
        <f>IFERROR(IF(VLOOKUP(B76,Detalle!$A:$AA,$H$1,0)=0,"Sin datos",IFERROR(VLOOKUP(B76,Detalle!$A:$AA,$H$1,0),"Sin datos")),"")</f>
        <v/>
      </c>
      <c r="I76" s="327">
        <f>IFERROR(IF(VLOOKUP(B76,Detalle!$A:$AA,$I$1,0)=0,"Sin datos",IFERROR(VLOOKUP(B76,Detalle!$A:$AA,$I$1,0),"Sin datos")),"")</f>
        <v/>
      </c>
      <c r="J76" s="93">
        <f>IFERROR(IF(VLOOKUP(B76,Detalle!$A:$AA,$J$1,0)=0,"Sin datos",IFERROR(VLOOKUP(B76,Detalle!$A:$AA,$J$1,0),"Sin datos")),"")</f>
        <v/>
      </c>
      <c r="K76" s="98" t="s">
        <v>293</v>
      </c>
      <c r="L76" s="328">
        <f>MIN(E76,G76,I76)</f>
        <v/>
      </c>
      <c r="M76" s="329">
        <f>IFERROR(IF(MIN(H76,J76)=F76,IF(G76=I76,"Escenario 5","Escenario 4"),IF(MIN(H76,J76)&lt;F76,IF(AND(F76-2&lt;=MIN(H76,J76),G76&lt;&gt;I76),"Escenario 1",IF(AND(F76-2&lt;=MIN(H76,J76),G76=I76),"Escenario 2","Escenario 3")),IF(MIN(H76,J76)&gt;F76,IF(AND(F76+2&gt;=MIN(H76,J76),G76=I76),"Escenario 7",IF(AND(F76+2&gt;=MIN(H76,J76),G76&lt;&gt;I76),"Escenario 6",IF(F76+5&lt;=MIN(H76,J76),"Escenario 9","Escenario 8"))),"error"))),"Falta info")</f>
        <v/>
      </c>
      <c r="N76" s="98">
        <f>IFERROR(VLOOKUP(M76,Base!$BJ$28:$BL$36,3,0),0)</f>
        <v/>
      </c>
      <c r="O76" s="330">
        <f>IF(LOOKUP(M76,Base!$X$8:$BG$8)=M76,VLOOKUP(B76,Base!E:BG,N76,0),0)</f>
        <v/>
      </c>
      <c r="P76" s="330" t="n"/>
      <c r="Q76" s="327">
        <f>IFERROR(IF(VLOOKUP(B76,Detalle!$A:$AA,$Q$1,0)=0,"Sin datos",IFERROR(VLOOKUP(B76,Detalle!$A:$AA,$Q$1,0),"Sin datos")),"")</f>
        <v/>
      </c>
      <c r="R76" s="93">
        <f>IFERROR(IF(VLOOKUP(B76,Detalle!$A:$AA,$R$1,0)=0,"Sin datos",IFERROR(VLOOKUP(B76,Detalle!$A:$AA,$R$1,0),"Sin datos")),"")</f>
        <v/>
      </c>
      <c r="S76" s="327">
        <f>IFERROR(IF(VLOOKUP(B76,Detalle!$A:$AA,$S$1,0)=0,"Sin datos",IFERROR(VLOOKUP(B76,Detalle!$A:$AA,$S$1,0),"Sin datos")),"")</f>
        <v/>
      </c>
      <c r="T76" s="93">
        <f>IFERROR(IF(VLOOKUP(B76,Detalle!$A:$AA,$T$1,0)=0,"Sin datos",IFERROR(VLOOKUP(B76,Detalle!$A:$AA,$T$1,0),"Sin datos")),"")</f>
        <v/>
      </c>
      <c r="U76" s="327">
        <f>IFERROR(IF(VLOOKUP(B76,Detalle!$A:$AA,$U$1,0)=0,"Sin datos",IFERROR(VLOOKUP(B76,Detalle!$A:$AA,$U$1,0),"Sin datos")),"")</f>
        <v/>
      </c>
      <c r="V76" s="93">
        <f>IFERROR(IF(VLOOKUP(B76,Detalle!$A:$AA,$V$1,0)=0,"Sin datos",IFERROR(VLOOKUP(B76,Detalle!$A:$AA,$V$1,0),"Sin datos")),"")</f>
        <v/>
      </c>
      <c r="W76" s="98">
        <f>IF(P76="",IF(MIN(Q76,S76,U76)&gt;E76,"Si","No"),IF(MIN(Q76,S76,U76)&gt;P76,"Si","No"))</f>
        <v/>
      </c>
      <c r="X76" s="328">
        <f>MIN(Q76,S76,U76)</f>
        <v/>
      </c>
      <c r="Y76" s="328">
        <f>IFERROR(IF(MIN(T76,V76)=R76,IF(S76=U76,"Escenario 5","Escenario 4"),IF(MIN(T76,V76)&lt;R76,IF(AND(R76-2&lt;=MIN(T76,V76),S76&lt;&gt;U76),"Escenario 1",IF(AND(R76-2&lt;=MIN(T76,V76),S76=U76),"Escenario 2","Escenario 3")),IF(MIN(T76,V76)&gt;R76,IF(AND(R76+2&gt;=MIN(T76,V76),S76=U76),"Escenario 7",IF(AND(R76+2&gt;=MIN(T76,V76),S76&lt;&gt;U76),"Escenario 6",IF(R76+5&lt;=MIN(T76,V76),"Escenario 9","Escenario 8"))),"error"))),"Falta info")</f>
        <v/>
      </c>
      <c r="Z76" s="98">
        <f>IFERROR(VLOOKUP(Y76,Base!$BJ$19:$BL$27,3,0),0)</f>
        <v/>
      </c>
      <c r="AA76" s="330">
        <f>IF(LOOKUP(Y76,Base!$X$8:$BG$8)=Y76,VLOOKUP(B76,Base!E:BG,Z76,0),0)</f>
        <v/>
      </c>
      <c r="AB76" s="330" t="n"/>
      <c r="AC76" s="327">
        <f>IFERROR(IF(VLOOKUP(B76,Detalle!$A:$AA,$AC$1,0)=0,"Sin datos",IFERROR(VLOOKUP(B76,Detalle!$A:$AA,$AC$1,0),"Sin datos")),"")</f>
        <v/>
      </c>
      <c r="AD76" s="93">
        <f>IFERROR(IF(VLOOKUP(B76,Detalle!$A:$AA,$AD$1,0)=0,"Sin datos",IFERROR(VLOOKUP(B76,Detalle!$A:$AA,$AD$1,0),"Sin datos")),"")</f>
        <v/>
      </c>
      <c r="AE76" s="327">
        <f>IFERROR(IF(VLOOKUP(B76,Detalle!$A:$AA,$AE$1,0)=0,"Sin datos",IFERROR(VLOOKUP(B76,Detalle!$A:$AA,$AE$1,0),"Sin datos")),"")</f>
        <v/>
      </c>
      <c r="AF76" s="93">
        <f>IFERROR(IF(VLOOKUP(B76,Detalle!$A:$AA,$AF$1,0)=0,"Sin datos",IFERROR(VLOOKUP(B76,Detalle!$A:$AA,$AF$1,0),"Sin datos")),"")</f>
        <v/>
      </c>
      <c r="AG76" s="327">
        <f>IFERROR(IF(VLOOKUP(B76,Detalle!$A:$AA,$AG$1,0)=0,"Sin datos",IFERROR(VLOOKUP(B76,Detalle!$A:$AA,$AG$1,0),"Sin datos")),"")</f>
        <v/>
      </c>
      <c r="AH76" s="93">
        <f>IFERROR(IF(VLOOKUP(B76,Detalle!$A:$AA,$AH$1,0)=0,"Sin datos",IFERROR(VLOOKUP(B76,Detalle!$A:$AA,$AH$1,0),"Sin datos")),"")</f>
        <v/>
      </c>
      <c r="AI76" s="98">
        <f>IF(AB76="",IF(MIN(AC76,AE76,AG76)&gt;E76,"Si","No"),IF(MIN(AC76,AG76,AG76)&gt;AB76,"Si","No"))</f>
        <v/>
      </c>
      <c r="AJ76" s="328">
        <f>MIN(AC76,AE76,AG76)</f>
        <v/>
      </c>
      <c r="AK76" s="328">
        <f>IFERROR(IF(MIN(AF76,AH76)=AD76,IF(AE76=AG76,"Escenario 5","Escenario 4"),IF(MIN(AF76,AH76)&lt;AD76,IF(AND(AD76-2&lt;=MIN(AF76,AH76),AE76&lt;&gt;AG76),"Escenario 1",IF(AND(AD76-2&lt;=MIN(AF76,AH76),AE76=AG76),"Escenario 2","Escenario 3")),IF(MIN(AF76,AH76)&gt;AD76,IF(AND(AD76+2&gt;=MIN(AF76,AH76),AE76=AG76),"Escenario 7",IF(AND(AD76+2&gt;=MIN(AF76,AH76),AE76&lt;&gt;AG76),"Escenario 6",IF(AD76+5&lt;=MIN(AF76,AH76),"Escenario 9","Escenario 8"))),"error"))),"Falta info")</f>
        <v/>
      </c>
      <c r="AL76" s="98">
        <f>IFERROR(VLOOKUP(AK76,Base!$BJ$37:$BL$45,3,0),0)</f>
        <v/>
      </c>
      <c r="AM76" s="330">
        <f>IF(LOOKUP(AK76,Base!$X$8:$BG$8)=AK76,VLOOKUP(B76,Base!E:BG,AL76,0),0)</f>
        <v/>
      </c>
      <c r="AN76" s="330" t="n">
        <v>10990</v>
      </c>
      <c r="AP76" s="331">
        <f>IF(AM76&lt;=AA76,"REVISAR!","ok")</f>
        <v/>
      </c>
    </row>
    <row customHeight="1" ht="12.95" r="77" s="183" spans="1:43">
      <c r="B77" s="108" t="s">
        <v>67</v>
      </c>
      <c r="C77" s="89" t="s">
        <v>294</v>
      </c>
      <c r="D77" s="106">
        <f>VLOOKUP(B77,Base!E:G,3,0)</f>
        <v/>
      </c>
      <c r="E77" s="326">
        <f>IFERROR(IF(VLOOKUP(B77,Detalle!$A:$AA,$E$1,0)=0,"Sin datos",IFERROR(VLOOKUP(B77,Detalle!$A:$AA,$E$1,0),"Sin datos")),"")</f>
        <v/>
      </c>
      <c r="F77" s="91">
        <f>IFERROR(IF(VLOOKUP(B77,Detalle!$A:$AA,$F$1,0)=0,"Sin datos",IFERROR(VLOOKUP(B77,Detalle!$A:$AA,$F$1,0),"Sin datos")),"")</f>
        <v/>
      </c>
      <c r="G77" s="327">
        <f>IFERROR(IF(VLOOKUP(B77,Detalle!$A:$AA,$G$1,0)=0,"Sin datos",IFERROR(VLOOKUP(B77,Detalle!$A:$AA,$G$1,0),"Sin datos")),"")</f>
        <v/>
      </c>
      <c r="H77" s="93">
        <f>IFERROR(IF(VLOOKUP(B77,Detalle!$A:$AA,$H$1,0)=0,"Sin datos",IFERROR(VLOOKUP(B77,Detalle!$A:$AA,$H$1,0),"Sin datos")),"")</f>
        <v/>
      </c>
      <c r="I77" s="327">
        <f>IFERROR(IF(VLOOKUP(B77,Detalle!$A:$AA,$I$1,0)=0,"Sin datos",IFERROR(VLOOKUP(B77,Detalle!$A:$AA,$I$1,0),"Sin datos")),"")</f>
        <v/>
      </c>
      <c r="J77" s="93">
        <f>IFERROR(IF(VLOOKUP(B77,Detalle!$A:$AA,$J$1,0)=0,"Sin datos",IFERROR(VLOOKUP(B77,Detalle!$A:$AA,$J$1,0),"Sin datos")),"")</f>
        <v/>
      </c>
      <c r="K77" s="98" t="s">
        <v>293</v>
      </c>
      <c r="L77" s="328">
        <f>MIN(E77,G77,I77)</f>
        <v/>
      </c>
      <c r="M77" s="329">
        <f>IFERROR(IF(MIN(H77,J77)=F77,IF(G77=I77,"Escenario 5","Escenario 4"),IF(MIN(H77,J77)&lt;F77,IF(AND(F77-2&lt;=MIN(H77,J77),G77&lt;&gt;I77),"Escenario 1",IF(AND(F77-2&lt;=MIN(H77,J77),G77=I77),"Escenario 2","Escenario 3")),IF(MIN(H77,J77)&gt;F77,IF(AND(F77+2&gt;=MIN(H77,J77),G77=I77),"Escenario 7",IF(AND(F77+2&gt;=MIN(H77,J77),G77&lt;&gt;I77),"Escenario 6",IF(F77+5&lt;=MIN(H77,J77),"Escenario 9","Escenario 8"))),"error"))),"Falta info")</f>
        <v/>
      </c>
      <c r="N77" s="98">
        <f>IFERROR(VLOOKUP(M77,Base!$BJ$28:$BL$36,3,0),0)</f>
        <v/>
      </c>
      <c r="O77" s="330">
        <f>IF(LOOKUP(M77,Base!$X$8:$BG$8)=M77,VLOOKUP(B77,Base!E:BG,N77,0),0)</f>
        <v/>
      </c>
      <c r="P77" s="330" t="n"/>
      <c r="Q77" s="327">
        <f>IFERROR(IF(VLOOKUP(B77,Detalle!$A:$AA,$Q$1,0)=0,"Sin datos",IFERROR(VLOOKUP(B77,Detalle!$A:$AA,$Q$1,0),"Sin datos")),"")</f>
        <v/>
      </c>
      <c r="R77" s="93">
        <f>IFERROR(IF(VLOOKUP(B77,Detalle!$A:$AA,$R$1,0)=0,"Sin datos",IFERROR(VLOOKUP(B77,Detalle!$A:$AA,$R$1,0),"Sin datos")),"")</f>
        <v/>
      </c>
      <c r="S77" s="327">
        <f>IFERROR(IF(VLOOKUP(B77,Detalle!$A:$AA,$S$1,0)=0,"Sin datos",IFERROR(VLOOKUP(B77,Detalle!$A:$AA,$S$1,0),"Sin datos")),"")</f>
        <v/>
      </c>
      <c r="T77" s="93">
        <f>IFERROR(IF(VLOOKUP(B77,Detalle!$A:$AA,$T$1,0)=0,"Sin datos",IFERROR(VLOOKUP(B77,Detalle!$A:$AA,$T$1,0),"Sin datos")),"")</f>
        <v/>
      </c>
      <c r="U77" s="327">
        <f>IFERROR(IF(VLOOKUP(B77,Detalle!$A:$AA,$U$1,0)=0,"Sin datos",IFERROR(VLOOKUP(B77,Detalle!$A:$AA,$U$1,0),"Sin datos")),"")</f>
        <v/>
      </c>
      <c r="V77" s="93">
        <f>IFERROR(IF(VLOOKUP(B77,Detalle!$A:$AA,$V$1,0)=0,"Sin datos",IFERROR(VLOOKUP(B77,Detalle!$A:$AA,$V$1,0),"Sin datos")),"")</f>
        <v/>
      </c>
      <c r="W77" s="98">
        <f>IF(P77="",IF(MIN(Q77,S77,U77)&gt;E77,"Si","No"),IF(MIN(Q77,S77,U77)&gt;P77,"Si","No"))</f>
        <v/>
      </c>
      <c r="X77" s="328">
        <f>MIN(Q77,S77,U77)</f>
        <v/>
      </c>
      <c r="Y77" s="328">
        <f>IFERROR(IF(MIN(T77,V77)=R77,IF(S77=U77,"Escenario 5","Escenario 4"),IF(MIN(T77,V77)&lt;R77,IF(AND(R77-2&lt;=MIN(T77,V77),S77&lt;&gt;U77),"Escenario 1",IF(AND(R77-2&lt;=MIN(T77,V77),S77=U77),"Escenario 2","Escenario 3")),IF(MIN(T77,V77)&gt;R77,IF(AND(R77+2&gt;=MIN(T77,V77),S77=U77),"Escenario 7",IF(AND(R77+2&gt;=MIN(T77,V77),S77&lt;&gt;U77),"Escenario 6",IF(R77+5&lt;=MIN(T77,V77),"Escenario 9","Escenario 8"))),"error"))),"Falta info")</f>
        <v/>
      </c>
      <c r="Z77" s="98">
        <f>IFERROR(VLOOKUP(Y77,Base!$BJ$19:$BL$27,3,0),0)</f>
        <v/>
      </c>
      <c r="AA77" s="330">
        <f>IF(LOOKUP(Y77,Base!$X$8:$BG$8)=Y77,VLOOKUP(B77,Base!E:BG,Z77,0),0)</f>
        <v/>
      </c>
      <c r="AB77" s="330" t="n"/>
      <c r="AC77" s="327">
        <f>IFERROR(IF(VLOOKUP(B77,Detalle!$A:$AA,$AC$1,0)=0,"Sin datos",IFERROR(VLOOKUP(B77,Detalle!$A:$AA,$AC$1,0),"Sin datos")),"")</f>
        <v/>
      </c>
      <c r="AD77" s="93">
        <f>IFERROR(IF(VLOOKUP(B77,Detalle!$A:$AA,$AD$1,0)=0,"Sin datos",IFERROR(VLOOKUP(B77,Detalle!$A:$AA,$AD$1,0),"Sin datos")),"")</f>
        <v/>
      </c>
      <c r="AE77" s="327">
        <f>IFERROR(IF(VLOOKUP(B77,Detalle!$A:$AA,$AE$1,0)=0,"Sin datos",IFERROR(VLOOKUP(B77,Detalle!$A:$AA,$AE$1,0),"Sin datos")),"")</f>
        <v/>
      </c>
      <c r="AF77" s="93">
        <f>IFERROR(IF(VLOOKUP(B77,Detalle!$A:$AA,$AF$1,0)=0,"Sin datos",IFERROR(VLOOKUP(B77,Detalle!$A:$AA,$AF$1,0),"Sin datos")),"")</f>
        <v/>
      </c>
      <c r="AG77" s="327">
        <f>IFERROR(IF(VLOOKUP(B77,Detalle!$A:$AA,$AG$1,0)=0,"Sin datos",IFERROR(VLOOKUP(B77,Detalle!$A:$AA,$AG$1,0),"Sin datos")),"")</f>
        <v/>
      </c>
      <c r="AH77" s="93">
        <f>IFERROR(IF(VLOOKUP(B77,Detalle!$A:$AA,$AH$1,0)=0,"Sin datos",IFERROR(VLOOKUP(B77,Detalle!$A:$AA,$AH$1,0),"Sin datos")),"")</f>
        <v/>
      </c>
      <c r="AI77" s="98">
        <f>IF(AB77="",IF(MIN(AC77,AE77,AG77)&gt;E77,"Si","No"),IF(MIN(AC77,AG77,AG77)&gt;AB77,"Si","No"))</f>
        <v/>
      </c>
      <c r="AJ77" s="328">
        <f>MIN(AC77,AE77,AG77)</f>
        <v/>
      </c>
      <c r="AK77" s="328">
        <f>IFERROR(IF(MIN(AF77,AH77)=AD77,IF(AE77=AG77,"Escenario 5","Escenario 4"),IF(MIN(AF77,AH77)&lt;AD77,IF(AND(AD77-2&lt;=MIN(AF77,AH77),AE77&lt;&gt;AG77),"Escenario 1",IF(AND(AD77-2&lt;=MIN(AF77,AH77),AE77=AG77),"Escenario 2","Escenario 3")),IF(MIN(AF77,AH77)&gt;AD77,IF(AND(AD77+2&gt;=MIN(AF77,AH77),AE77=AG77),"Escenario 7",IF(AND(AD77+2&gt;=MIN(AF77,AH77),AE77&lt;&gt;AG77),"Escenario 6",IF(AD77+5&lt;=MIN(AF77,AH77),"Escenario 9","Escenario 8"))),"error"))),"Falta info")</f>
        <v/>
      </c>
      <c r="AL77" s="98">
        <f>IFERROR(VLOOKUP(AK77,Base!$BJ$37:$BL$45,3,0),0)</f>
        <v/>
      </c>
      <c r="AM77" s="330">
        <f>IF(LOOKUP(AK77,Base!$X$8:$BG$8)=AK77,VLOOKUP(B77,Base!E:BG,AL77,0),0)</f>
        <v/>
      </c>
      <c r="AN77" s="330" t="n">
        <v>14490</v>
      </c>
      <c r="AP77" s="331">
        <f>IF(AM77&lt;=AA77,"REVISAR!","ok")</f>
        <v/>
      </c>
    </row>
    <row customHeight="1" ht="12.95" r="78" s="183" spans="1:43">
      <c r="B78" s="108" t="s">
        <v>81</v>
      </c>
      <c r="C78" s="89" t="s">
        <v>294</v>
      </c>
      <c r="D78" s="106">
        <f>VLOOKUP(B78,Base!E:G,3,0)</f>
        <v/>
      </c>
      <c r="E78" s="326">
        <f>IFERROR(IF(VLOOKUP(B78,Detalle!$A:$AA,$E$1,0)=0,"Sin datos",IFERROR(VLOOKUP(B78,Detalle!$A:$AA,$E$1,0),"Sin datos")),"")</f>
        <v/>
      </c>
      <c r="F78" s="91">
        <f>IFERROR(IF(VLOOKUP(B78,Detalle!$A:$AA,$F$1,0)=0,"Sin datos",IFERROR(VLOOKUP(B78,Detalle!$A:$AA,$F$1,0),"Sin datos")),"")</f>
        <v/>
      </c>
      <c r="G78" s="327">
        <f>IFERROR(IF(VLOOKUP(B78,Detalle!$A:$AA,$G$1,0)=0,"Sin datos",IFERROR(VLOOKUP(B78,Detalle!$A:$AA,$G$1,0),"Sin datos")),"")</f>
        <v/>
      </c>
      <c r="H78" s="93">
        <f>IFERROR(IF(VLOOKUP(B78,Detalle!$A:$AA,$H$1,0)=0,"Sin datos",IFERROR(VLOOKUP(B78,Detalle!$A:$AA,$H$1,0),"Sin datos")),"")</f>
        <v/>
      </c>
      <c r="I78" s="327">
        <f>IFERROR(IF(VLOOKUP(B78,Detalle!$A:$AA,$I$1,0)=0,"Sin datos",IFERROR(VLOOKUP(B78,Detalle!$A:$AA,$I$1,0),"Sin datos")),"")</f>
        <v/>
      </c>
      <c r="J78" s="93">
        <f>IFERROR(IF(VLOOKUP(B78,Detalle!$A:$AA,$J$1,0)=0,"Sin datos",IFERROR(VLOOKUP(B78,Detalle!$A:$AA,$J$1,0),"Sin datos")),"")</f>
        <v/>
      </c>
      <c r="K78" s="98" t="s">
        <v>293</v>
      </c>
      <c r="L78" s="328">
        <f>MIN(E78,G78,I78)</f>
        <v/>
      </c>
      <c r="M78" s="329">
        <f>IFERROR(IF(MIN(H78,J78)=F78,IF(G78=I78,"Escenario 5","Escenario 4"),IF(MIN(H78,J78)&lt;F78,IF(AND(F78-2&lt;=MIN(H78,J78),G78&lt;&gt;I78),"Escenario 1",IF(AND(F78-2&lt;=MIN(H78,J78),G78=I78),"Escenario 2","Escenario 3")),IF(MIN(H78,J78)&gt;F78,IF(AND(F78+2&gt;=MIN(H78,J78),G78=I78),"Escenario 7",IF(AND(F78+2&gt;=MIN(H78,J78),G78&lt;&gt;I78),"Escenario 6",IF(F78+5&lt;=MIN(H78,J78),"Escenario 9","Escenario 8"))),"error"))),"Falta info")</f>
        <v/>
      </c>
      <c r="N78" s="98">
        <f>IFERROR(VLOOKUP(M78,Base!$BJ$28:$BL$36,3,0),0)</f>
        <v/>
      </c>
      <c r="O78" s="330">
        <f>IF(LOOKUP(M78,Base!$X$8:$BG$8)=M78,VLOOKUP(B78,Base!E:BG,N78,0),0)</f>
        <v/>
      </c>
      <c r="P78" s="330" t="n"/>
      <c r="Q78" s="327">
        <f>IFERROR(IF(VLOOKUP(B78,Detalle!$A:$AA,$Q$1,0)=0,"Sin datos",IFERROR(VLOOKUP(B78,Detalle!$A:$AA,$Q$1,0),"Sin datos")),"")</f>
        <v/>
      </c>
      <c r="R78" s="93">
        <f>IFERROR(IF(VLOOKUP(B78,Detalle!$A:$AA,$R$1,0)=0,"Sin datos",IFERROR(VLOOKUP(B78,Detalle!$A:$AA,$R$1,0),"Sin datos")),"")</f>
        <v/>
      </c>
      <c r="S78" s="327">
        <f>IFERROR(IF(VLOOKUP(B78,Detalle!$A:$AA,$S$1,0)=0,"Sin datos",IFERROR(VLOOKUP(B78,Detalle!$A:$AA,$S$1,0),"Sin datos")),"")</f>
        <v/>
      </c>
      <c r="T78" s="93">
        <f>IFERROR(IF(VLOOKUP(B78,Detalle!$A:$AA,$T$1,0)=0,"Sin datos",IFERROR(VLOOKUP(B78,Detalle!$A:$AA,$T$1,0),"Sin datos")),"")</f>
        <v/>
      </c>
      <c r="U78" s="327">
        <f>IFERROR(IF(VLOOKUP(B78,Detalle!$A:$AA,$U$1,0)=0,"Sin datos",IFERROR(VLOOKUP(B78,Detalle!$A:$AA,$U$1,0),"Sin datos")),"")</f>
        <v/>
      </c>
      <c r="V78" s="93">
        <f>IFERROR(IF(VLOOKUP(B78,Detalle!$A:$AA,$V$1,0)=0,"Sin datos",IFERROR(VLOOKUP(B78,Detalle!$A:$AA,$V$1,0),"Sin datos")),"")</f>
        <v/>
      </c>
      <c r="W78" s="98">
        <f>IF(P78="",IF(MIN(Q78,S78,U78)&gt;E78,"Si","No"),IF(MIN(Q78,S78,U78)&gt;P78,"Si","No"))</f>
        <v/>
      </c>
      <c r="X78" s="328">
        <f>MIN(Q78,S78,U78)</f>
        <v/>
      </c>
      <c r="Y78" s="328">
        <f>IFERROR(IF(MIN(T78,V78)=R78,IF(S78=U78,"Escenario 5","Escenario 4"),IF(MIN(T78,V78)&lt;R78,IF(AND(R78-2&lt;=MIN(T78,V78),S78&lt;&gt;U78),"Escenario 1",IF(AND(R78-2&lt;=MIN(T78,V78),S78=U78),"Escenario 2","Escenario 3")),IF(MIN(T78,V78)&gt;R78,IF(AND(R78+2&gt;=MIN(T78,V78),S78=U78),"Escenario 7",IF(AND(R78+2&gt;=MIN(T78,V78),S78&lt;&gt;U78),"Escenario 6",IF(R78+5&lt;=MIN(T78,V78),"Escenario 9","Escenario 8"))),"error"))),"Falta info")</f>
        <v/>
      </c>
      <c r="Z78" s="98">
        <f>IFERROR(VLOOKUP(Y78,Base!$BJ$19:$BL$27,3,0),0)</f>
        <v/>
      </c>
      <c r="AA78" s="330">
        <f>IF(LOOKUP(Y78,Base!$X$8:$BG$8)=Y78,VLOOKUP(B78,Base!E:BG,Z78,0),0)</f>
        <v/>
      </c>
      <c r="AB78" s="330" t="n"/>
      <c r="AC78" s="327">
        <f>IFERROR(IF(VLOOKUP(B78,Detalle!$A:$AA,$AC$1,0)=0,"Sin datos",IFERROR(VLOOKUP(B78,Detalle!$A:$AA,$AC$1,0),"Sin datos")),"")</f>
        <v/>
      </c>
      <c r="AD78" s="93">
        <f>IFERROR(IF(VLOOKUP(B78,Detalle!$A:$AA,$AD$1,0)=0,"Sin datos",IFERROR(VLOOKUP(B78,Detalle!$A:$AA,$AD$1,0),"Sin datos")),"")</f>
        <v/>
      </c>
      <c r="AE78" s="327">
        <f>IFERROR(IF(VLOOKUP(B78,Detalle!$A:$AA,$AE$1,0)=0,"Sin datos",IFERROR(VLOOKUP(B78,Detalle!$A:$AA,$AE$1,0),"Sin datos")),"")</f>
        <v/>
      </c>
      <c r="AF78" s="93">
        <f>IFERROR(IF(VLOOKUP(B78,Detalle!$A:$AA,$AF$1,0)=0,"Sin datos",IFERROR(VLOOKUP(B78,Detalle!$A:$AA,$AF$1,0),"Sin datos")),"")</f>
        <v/>
      </c>
      <c r="AG78" s="327">
        <f>IFERROR(IF(VLOOKUP(B78,Detalle!$A:$AA,$AG$1,0)=0,"Sin datos",IFERROR(VLOOKUP(B78,Detalle!$A:$AA,$AG$1,0),"Sin datos")),"")</f>
        <v/>
      </c>
      <c r="AH78" s="93">
        <f>IFERROR(IF(VLOOKUP(B78,Detalle!$A:$AA,$AH$1,0)=0,"Sin datos",IFERROR(VLOOKUP(B78,Detalle!$A:$AA,$AH$1,0),"Sin datos")),"")</f>
        <v/>
      </c>
      <c r="AI78" s="98">
        <f>IF(AB78="",IF(MIN(AC78,AE78,AG78)&gt;E78,"Si","No"),IF(MIN(AC78,AG78,AG78)&gt;AB78,"Si","No"))</f>
        <v/>
      </c>
      <c r="AJ78" s="328">
        <f>MIN(AC78,AE78,AG78)</f>
        <v/>
      </c>
      <c r="AK78" s="328">
        <f>IFERROR(IF(MIN(AF78,AH78)=AD78,IF(AE78=AG78,"Escenario 5","Escenario 4"),IF(MIN(AF78,AH78)&lt;AD78,IF(AND(AD78-2&lt;=MIN(AF78,AH78),AE78&lt;&gt;AG78),"Escenario 1",IF(AND(AD78-2&lt;=MIN(AF78,AH78),AE78=AG78),"Escenario 2","Escenario 3")),IF(MIN(AF78,AH78)&gt;AD78,IF(AND(AD78+2&gt;=MIN(AF78,AH78),AE78=AG78),"Escenario 7",IF(AND(AD78+2&gt;=MIN(AF78,AH78),AE78&lt;&gt;AG78),"Escenario 6",IF(AD78+5&lt;=MIN(AF78,AH78),"Escenario 9","Escenario 8"))),"error"))),"Falta info")</f>
        <v/>
      </c>
      <c r="AL78" s="98">
        <f>IFERROR(VLOOKUP(AK78,Base!$BJ$37:$BL$45,3,0),0)</f>
        <v/>
      </c>
      <c r="AM78" s="330">
        <f>IF(LOOKUP(AK78,Base!$X$8:$BG$8)=AK78,VLOOKUP(B78,Base!E:BG,AL78,0),0)</f>
        <v/>
      </c>
      <c r="AN78" s="330" t="n">
        <v>12990</v>
      </c>
      <c r="AP78" s="331">
        <f>IF(AM78&lt;=AA78,"REVISAR!","ok")</f>
        <v/>
      </c>
    </row>
    <row customHeight="1" ht="12.95" r="79" s="183" spans="1:43">
      <c r="B79" s="108" t="s">
        <v>48</v>
      </c>
      <c r="C79" s="89" t="s">
        <v>294</v>
      </c>
      <c r="D79" s="106">
        <f>VLOOKUP(B79,Base!E:G,3,0)</f>
        <v/>
      </c>
      <c r="E79" s="326">
        <f>IFERROR(IF(VLOOKUP(B79,Detalle!$A:$AA,$E$1,0)=0,"Sin datos",IFERROR(VLOOKUP(B79,Detalle!$A:$AA,$E$1,0),"Sin datos")),"")</f>
        <v/>
      </c>
      <c r="F79" s="91">
        <f>IFERROR(IF(VLOOKUP(B79,Detalle!$A:$AA,$F$1,0)=0,"Sin datos",IFERROR(VLOOKUP(B79,Detalle!$A:$AA,$F$1,0),"Sin datos")),"")</f>
        <v/>
      </c>
      <c r="G79" s="327">
        <f>IFERROR(IF(VLOOKUP(B79,Detalle!$A:$AA,$G$1,0)=0,"Sin datos",IFERROR(VLOOKUP(B79,Detalle!$A:$AA,$G$1,0),"Sin datos")),"")</f>
        <v/>
      </c>
      <c r="H79" s="93">
        <f>IFERROR(IF(VLOOKUP(B79,Detalle!$A:$AA,$H$1,0)=0,"Sin datos",IFERROR(VLOOKUP(B79,Detalle!$A:$AA,$H$1,0),"Sin datos")),"")</f>
        <v/>
      </c>
      <c r="I79" s="327">
        <f>IFERROR(IF(VLOOKUP(B79,Detalle!$A:$AA,$I$1,0)=0,"Sin datos",IFERROR(VLOOKUP(B79,Detalle!$A:$AA,$I$1,0),"Sin datos")),"")</f>
        <v/>
      </c>
      <c r="J79" s="93">
        <f>IFERROR(IF(VLOOKUP(B79,Detalle!$A:$AA,$J$1,0)=0,"Sin datos",IFERROR(VLOOKUP(B79,Detalle!$A:$AA,$J$1,0),"Sin datos")),"")</f>
        <v/>
      </c>
      <c r="K79" s="98" t="s">
        <v>293</v>
      </c>
      <c r="L79" s="328">
        <f>MIN(E79,G79,I79)</f>
        <v/>
      </c>
      <c r="M79" s="329">
        <f>IFERROR(IF(MIN(H79,J79)=F79,IF(G79=I79,"Escenario 5","Escenario 4"),IF(MIN(H79,J79)&lt;F79,IF(AND(F79-2&lt;=MIN(H79,J79),G79&lt;&gt;I79),"Escenario 1",IF(AND(F79-2&lt;=MIN(H79,J79),G79=I79),"Escenario 2","Escenario 3")),IF(MIN(H79,J79)&gt;F79,IF(AND(F79+2&gt;=MIN(H79,J79),G79=I79),"Escenario 7",IF(AND(F79+2&gt;=MIN(H79,J79),G79&lt;&gt;I79),"Escenario 6",IF(F79+5&lt;=MIN(H79,J79),"Escenario 9","Escenario 8"))),"error"))),"Falta info")</f>
        <v/>
      </c>
      <c r="N79" s="98">
        <f>IFERROR(VLOOKUP(M79,Base!$BJ$28:$BL$36,3,0),0)</f>
        <v/>
      </c>
      <c r="O79" s="330">
        <f>IF(LOOKUP(M79,Base!$X$8:$BG$8)=M79,VLOOKUP(B79,Base!E:BG,N79,0),0)</f>
        <v/>
      </c>
      <c r="P79" s="330" t="n"/>
      <c r="Q79" s="327">
        <f>IFERROR(IF(VLOOKUP(B79,Detalle!$A:$AA,$Q$1,0)=0,"Sin datos",IFERROR(VLOOKUP(B79,Detalle!$A:$AA,$Q$1,0),"Sin datos")),"")</f>
        <v/>
      </c>
      <c r="R79" s="93">
        <f>IFERROR(IF(VLOOKUP(B79,Detalle!$A:$AA,$R$1,0)=0,"Sin datos",IFERROR(VLOOKUP(B79,Detalle!$A:$AA,$R$1,0),"Sin datos")),"")</f>
        <v/>
      </c>
      <c r="S79" s="327">
        <f>IFERROR(IF(VLOOKUP(B79,Detalle!$A:$AA,$S$1,0)=0,"Sin datos",IFERROR(VLOOKUP(B79,Detalle!$A:$AA,$S$1,0),"Sin datos")),"")</f>
        <v/>
      </c>
      <c r="T79" s="93">
        <f>IFERROR(IF(VLOOKUP(B79,Detalle!$A:$AA,$T$1,0)=0,"Sin datos",IFERROR(VLOOKUP(B79,Detalle!$A:$AA,$T$1,0),"Sin datos")),"")</f>
        <v/>
      </c>
      <c r="U79" s="327">
        <f>IFERROR(IF(VLOOKUP(B79,Detalle!$A:$AA,$U$1,0)=0,"Sin datos",IFERROR(VLOOKUP(B79,Detalle!$A:$AA,$U$1,0),"Sin datos")),"")</f>
        <v/>
      </c>
      <c r="V79" s="93">
        <f>IFERROR(IF(VLOOKUP(B79,Detalle!$A:$AA,$V$1,0)=0,"Sin datos",IFERROR(VLOOKUP(B79,Detalle!$A:$AA,$V$1,0),"Sin datos")),"")</f>
        <v/>
      </c>
      <c r="W79" s="98">
        <f>IF(P79="",IF(MIN(Q79,S79,U79)&gt;E79,"Si","No"),IF(MIN(Q79,S79,U79)&gt;P79,"Si","No"))</f>
        <v/>
      </c>
      <c r="X79" s="328">
        <f>MIN(Q79,S79,U79)</f>
        <v/>
      </c>
      <c r="Y79" s="328">
        <f>IFERROR(IF(MIN(T79,V79)=R79,IF(S79=U79,"Escenario 5","Escenario 4"),IF(MIN(T79,V79)&lt;R79,IF(AND(R79-2&lt;=MIN(T79,V79),S79&lt;&gt;U79),"Escenario 1",IF(AND(R79-2&lt;=MIN(T79,V79),S79=U79),"Escenario 2","Escenario 3")),IF(MIN(T79,V79)&gt;R79,IF(AND(R79+2&gt;=MIN(T79,V79),S79=U79),"Escenario 7",IF(AND(R79+2&gt;=MIN(T79,V79),S79&lt;&gt;U79),"Escenario 6",IF(R79+5&lt;=MIN(T79,V79),"Escenario 9","Escenario 8"))),"error"))),"Falta info")</f>
        <v/>
      </c>
      <c r="Z79" s="98">
        <f>IFERROR(VLOOKUP(Y79,Base!$BJ$19:$BL$27,3,0),0)</f>
        <v/>
      </c>
      <c r="AA79" s="330">
        <f>IF(LOOKUP(Y79,Base!$X$8:$BG$8)=Y79,VLOOKUP(B79,Base!E:BG,Z79,0),0)</f>
        <v/>
      </c>
      <c r="AB79" s="330" t="n">
        <v>9990</v>
      </c>
      <c r="AC79" s="327">
        <f>IFERROR(IF(VLOOKUP(B79,Detalle!$A:$AA,$AC$1,0)=0,"Sin datos",IFERROR(VLOOKUP(B79,Detalle!$A:$AA,$AC$1,0),"Sin datos")),"")</f>
        <v/>
      </c>
      <c r="AD79" s="93">
        <f>IFERROR(IF(VLOOKUP(B79,Detalle!$A:$AA,$AD$1,0)=0,"Sin datos",IFERROR(VLOOKUP(B79,Detalle!$A:$AA,$AD$1,0),"Sin datos")),"")</f>
        <v/>
      </c>
      <c r="AE79" s="327">
        <f>IFERROR(IF(VLOOKUP(B79,Detalle!$A:$AA,$AE$1,0)=0,"Sin datos",IFERROR(VLOOKUP(B79,Detalle!$A:$AA,$AE$1,0),"Sin datos")),"")</f>
        <v/>
      </c>
      <c r="AF79" s="93">
        <f>IFERROR(IF(VLOOKUP(B79,Detalle!$A:$AA,$AF$1,0)=0,"Sin datos",IFERROR(VLOOKUP(B79,Detalle!$A:$AA,$AF$1,0),"Sin datos")),"")</f>
        <v/>
      </c>
      <c r="AG79" s="327">
        <f>IFERROR(IF(VLOOKUP(B79,Detalle!$A:$AA,$AG$1,0)=0,"Sin datos",IFERROR(VLOOKUP(B79,Detalle!$A:$AA,$AG$1,0),"Sin datos")),"")</f>
        <v/>
      </c>
      <c r="AH79" s="93">
        <f>IFERROR(IF(VLOOKUP(B79,Detalle!$A:$AA,$AH$1,0)=0,"Sin datos",IFERROR(VLOOKUP(B79,Detalle!$A:$AA,$AH$1,0),"Sin datos")),"")</f>
        <v/>
      </c>
      <c r="AI79" s="98">
        <f>IF(AB79="",IF(MIN(AC79,AE79,AG79)&gt;E79,"Si","No"),IF(MIN(AC79,AG79,AG79)&gt;AB79,"Si","No"))</f>
        <v/>
      </c>
      <c r="AJ79" s="328">
        <f>MIN(AC79,AE79,AG79)</f>
        <v/>
      </c>
      <c r="AK79" s="328">
        <f>IFERROR(IF(MIN(AF79,AH79)=AD79,IF(AE79=AG79,"Escenario 5","Escenario 4"),IF(MIN(AF79,AH79)&lt;AD79,IF(AND(AD79-2&lt;=MIN(AF79,AH79),AE79&lt;&gt;AG79),"Escenario 1",IF(AND(AD79-2&lt;=MIN(AF79,AH79),AE79=AG79),"Escenario 2","Escenario 3")),IF(MIN(AF79,AH79)&gt;AD79,IF(AND(AD79+2&gt;=MIN(AF79,AH79),AE79=AG79),"Escenario 7",IF(AND(AD79+2&gt;=MIN(AF79,AH79),AE79&lt;&gt;AG79),"Escenario 6",IF(AD79+5&lt;=MIN(AF79,AH79),"Escenario 9","Escenario 8"))),"error"))),"Falta info")</f>
        <v/>
      </c>
      <c r="AL79" s="98">
        <f>IFERROR(VLOOKUP(AK79,Base!$BJ$37:$BL$45,3,0),0)</f>
        <v/>
      </c>
      <c r="AM79" s="330">
        <f>IF(LOOKUP(AK79,Base!$X$8:$BG$8)=AK79,VLOOKUP(B79,Base!E:BG,AL79,0),0)</f>
        <v/>
      </c>
      <c r="AN79" s="330" t="n"/>
      <c r="AP79" s="331" t="n"/>
    </row>
    <row customHeight="1" ht="12.95" r="80" s="183" spans="1:43">
      <c r="B80" s="108" t="s">
        <v>130</v>
      </c>
      <c r="C80" s="89" t="s">
        <v>258</v>
      </c>
      <c r="D80" s="106">
        <f>VLOOKUP(B80,Base!E:G,3,0)</f>
        <v/>
      </c>
      <c r="E80" s="326">
        <f>IFERROR(IF(VLOOKUP(B80,Detalle!$A:$AA,$E$1,0)=0,"Sin datos",IFERROR(VLOOKUP(B80,Detalle!$A:$AA,$E$1,0),"Sin datos")),"")</f>
        <v/>
      </c>
      <c r="F80" s="91">
        <f>IFERROR(IF(VLOOKUP(B80,Detalle!$A:$AA,$F$1,0)=0,"Sin datos",IFERROR(VLOOKUP(B80,Detalle!$A:$AA,$F$1,0),"Sin datos")),"")</f>
        <v/>
      </c>
      <c r="G80" s="327">
        <f>IFERROR(IF(VLOOKUP(B80,Detalle!$A:$AA,$G$1,0)=0,"Sin datos",IFERROR(VLOOKUP(B80,Detalle!$A:$AA,$G$1,0),"Sin datos")),"")</f>
        <v/>
      </c>
      <c r="H80" s="93">
        <f>IFERROR(IF(VLOOKUP(B80,Detalle!$A:$AA,$H$1,0)=0,"Sin datos",IFERROR(VLOOKUP(B80,Detalle!$A:$AA,$H$1,0),"Sin datos")),"")</f>
        <v/>
      </c>
      <c r="I80" s="327">
        <f>IFERROR(IF(VLOOKUP(B80,Detalle!$A:$AA,$I$1,0)=0,"Sin datos",IFERROR(VLOOKUP(B80,Detalle!$A:$AA,$I$1,0),"Sin datos")),"")</f>
        <v/>
      </c>
      <c r="J80" s="93">
        <f>IFERROR(IF(VLOOKUP(B80,Detalle!$A:$AA,$J$1,0)=0,"Sin datos",IFERROR(VLOOKUP(B80,Detalle!$A:$AA,$J$1,0),"Sin datos")),"")</f>
        <v/>
      </c>
      <c r="K80" s="98" t="s">
        <v>293</v>
      </c>
      <c r="L80" s="328">
        <f>MIN(E80,G80,I80)</f>
        <v/>
      </c>
      <c r="M80" s="329">
        <f>IFERROR(IF(MIN(H80,J80)=F80,IF(G80=I80,"Escenario 5","Escenario 4"),IF(MIN(H80,J80)&lt;F80,IF(AND(F80-2&lt;=MIN(H80,J80),G80&lt;&gt;I80),"Escenario 1",IF(AND(F80-2&lt;=MIN(H80,J80),G80=I80),"Escenario 2","Escenario 3")),IF(MIN(H80,J80)&gt;F80,IF(AND(F80+2&gt;=MIN(H80,J80),G80=I80),"Escenario 7",IF(AND(F80+2&gt;=MIN(H80,J80),G80&lt;&gt;I80),"Escenario 6",IF(F80+5&lt;=MIN(H80,J80),"Escenario 9","Escenario 8"))),"error"))),"Falta info")</f>
        <v/>
      </c>
      <c r="N80" s="98">
        <f>IFERROR(VLOOKUP(M80,Base!$BJ$28:$BL$36,3,0),0)</f>
        <v/>
      </c>
      <c r="O80" s="330">
        <f>IF(LOOKUP(M80,Base!$X$8:$BG$8)=M80,VLOOKUP(B80,Base!E:BG,N80,0),0)</f>
        <v/>
      </c>
      <c r="P80" s="330" t="n">
        <v>3990</v>
      </c>
      <c r="Q80" s="327">
        <f>IFERROR(IF(VLOOKUP(B80,Detalle!$A:$AA,$Q$1,0)=0,"Sin datos",IFERROR(VLOOKUP(B80,Detalle!$A:$AA,$Q$1,0),"Sin datos")),"")</f>
        <v/>
      </c>
      <c r="R80" s="93">
        <f>IFERROR(IF(VLOOKUP(B80,Detalle!$A:$AA,$R$1,0)=0,"Sin datos",IFERROR(VLOOKUP(B80,Detalle!$A:$AA,$R$1,0),"Sin datos")),"")</f>
        <v/>
      </c>
      <c r="S80" s="327">
        <f>IFERROR(IF(VLOOKUP(B80,Detalle!$A:$AA,$S$1,0)=0,"Sin datos",IFERROR(VLOOKUP(B80,Detalle!$A:$AA,$S$1,0),"Sin datos")),"")</f>
        <v/>
      </c>
      <c r="T80" s="93">
        <f>IFERROR(IF(VLOOKUP(B80,Detalle!$A:$AA,$T$1,0)=0,"Sin datos",IFERROR(VLOOKUP(B80,Detalle!$A:$AA,$T$1,0),"Sin datos")),"")</f>
        <v/>
      </c>
      <c r="U80" s="327">
        <f>IFERROR(IF(VLOOKUP(B80,Detalle!$A:$AA,$U$1,0)=0,"Sin datos",IFERROR(VLOOKUP(B80,Detalle!$A:$AA,$U$1,0),"Sin datos")),"")</f>
        <v/>
      </c>
      <c r="V80" s="93">
        <f>IFERROR(IF(VLOOKUP(B80,Detalle!$A:$AA,$V$1,0)=0,"Sin datos",IFERROR(VLOOKUP(B80,Detalle!$A:$AA,$V$1,0),"Sin datos")),"")</f>
        <v/>
      </c>
      <c r="W80" s="98">
        <f>IF(P80="",IF(MIN(Q80,S80,U80)&gt;E80,"Si","No"),IF(MIN(Q80,S80,U80)&gt;P80,"Si","No"))</f>
        <v/>
      </c>
      <c r="X80" s="328">
        <f>MIN(Q80,S80,U80)</f>
        <v/>
      </c>
      <c r="Y80" s="328">
        <f>IFERROR(IF(MIN(T80,V80)=R80,IF(S80=U80,"Escenario 5","Escenario 4"),IF(MIN(T80,V80)&lt;R80,IF(AND(R80-2&lt;=MIN(T80,V80),S80&lt;&gt;U80),"Escenario 1",IF(AND(R80-2&lt;=MIN(T80,V80),S80=U80),"Escenario 2","Escenario 3")),IF(MIN(T80,V80)&gt;R80,IF(AND(R80+2&gt;=MIN(T80,V80),S80=U80),"Escenario 7",IF(AND(R80+2&gt;=MIN(T80,V80),S80&lt;&gt;U80),"Escenario 6",IF(R80+5&lt;=MIN(T80,V80),"Escenario 9","Escenario 8"))),"error"))),"Falta info")</f>
        <v/>
      </c>
      <c r="Z80" s="98">
        <f>IFERROR(VLOOKUP(Y80,Base!$BJ$19:$BL$27,3,0),0)</f>
        <v/>
      </c>
      <c r="AA80" s="330">
        <f>IF(LOOKUP(Y80,Base!$X$8:$BG$8)=Y80,VLOOKUP(B80,Base!E:BG,Z80,0),0)</f>
        <v/>
      </c>
      <c r="AB80" s="330" t="n">
        <v>9490</v>
      </c>
      <c r="AC80" s="327">
        <f>IFERROR(IF(VLOOKUP(B80,Detalle!$A:$AA,$AC$1,0)=0,"Sin datos",IFERROR(VLOOKUP(B80,Detalle!$A:$AA,$AC$1,0),"Sin datos")),"")</f>
        <v/>
      </c>
      <c r="AD80" s="93">
        <f>IFERROR(IF(VLOOKUP(B80,Detalle!$A:$AA,$AD$1,0)=0,"Sin datos",IFERROR(VLOOKUP(B80,Detalle!$A:$AA,$AD$1,0),"Sin datos")),"")</f>
        <v/>
      </c>
      <c r="AE80" s="327">
        <f>IFERROR(IF(VLOOKUP(B80,Detalle!$A:$AA,$AE$1,0)=0,"Sin datos",IFERROR(VLOOKUP(B80,Detalle!$A:$AA,$AE$1,0),"Sin datos")),"")</f>
        <v/>
      </c>
      <c r="AF80" s="93">
        <f>IFERROR(IF(VLOOKUP(B80,Detalle!$A:$AA,$AF$1,0)=0,"Sin datos",IFERROR(VLOOKUP(B80,Detalle!$A:$AA,$AF$1,0),"Sin datos")),"")</f>
        <v/>
      </c>
      <c r="AG80" s="327">
        <f>IFERROR(IF(VLOOKUP(B80,Detalle!$A:$AA,$AG$1,0)=0,"Sin datos",IFERROR(VLOOKUP(B80,Detalle!$A:$AA,$AG$1,0),"Sin datos")),"")</f>
        <v/>
      </c>
      <c r="AH80" s="93">
        <f>IFERROR(IF(VLOOKUP(B80,Detalle!$A:$AA,$AH$1,0)=0,"Sin datos",IFERROR(VLOOKUP(B80,Detalle!$A:$AA,$AH$1,0),"Sin datos")),"")</f>
        <v/>
      </c>
      <c r="AI80" s="98">
        <f>IF(AB80="",IF(MIN(AC80,AE80,AG80)&gt;E80,"Si","No"),IF(MIN(AC80,AG80,AG80)&gt;AB80,"Si","No"))</f>
        <v/>
      </c>
      <c r="AJ80" s="328">
        <f>MIN(AC80,AE80,AG80)</f>
        <v/>
      </c>
      <c r="AK80" s="328">
        <f>IFERROR(IF(MIN(AF80,AH80)=AD80,IF(AE80=AG80,"Escenario 5","Escenario 4"),IF(MIN(AF80,AH80)&lt;AD80,IF(AND(AD80-2&lt;=MIN(AF80,AH80),AE80&lt;&gt;AG80),"Escenario 1",IF(AND(AD80-2&lt;=MIN(AF80,AH80),AE80=AG80),"Escenario 2","Escenario 3")),IF(MIN(AF80,AH80)&gt;AD80,IF(AND(AD80+2&gt;=MIN(AF80,AH80),AE80=AG80),"Escenario 7",IF(AND(AD80+2&gt;=MIN(AF80,AH80),AE80&lt;&gt;AG80),"Escenario 6",IF(AD80+5&lt;=MIN(AF80,AH80),"Escenario 9","Escenario 8"))),"error"))),"Falta info")</f>
        <v/>
      </c>
      <c r="AL80" s="98">
        <f>IFERROR(VLOOKUP(AK80,Base!$BJ$37:$BL$45,3,0),0)</f>
        <v/>
      </c>
      <c r="AM80" s="330">
        <f>IF(LOOKUP(AK80,Base!$X$8:$BG$8)=AK80,VLOOKUP(B80,Base!E:BG,AL80,0),0)</f>
        <v/>
      </c>
      <c r="AN80" s="330" t="n"/>
      <c r="AO80" s="331" t="n"/>
      <c r="AP80" s="331" t="n"/>
    </row>
    <row customHeight="1" ht="12.95" r="81" s="183" spans="1:43">
      <c r="B81" s="108" t="s">
        <v>76</v>
      </c>
      <c r="C81" s="89" t="s">
        <v>294</v>
      </c>
      <c r="D81" s="106">
        <f>VLOOKUP(B81,Base!E:G,3,0)</f>
        <v/>
      </c>
      <c r="E81" s="326">
        <f>IFERROR(IF(VLOOKUP(B81,Detalle!$A:$AA,$E$1,0)=0,"Sin datos",IFERROR(VLOOKUP(B81,Detalle!$A:$AA,$E$1,0),"Sin datos")),"")</f>
        <v/>
      </c>
      <c r="F81" s="91">
        <f>IFERROR(IF(VLOOKUP(B81,Detalle!$A:$AA,$F$1,0)=0,"Sin datos",IFERROR(VLOOKUP(B81,Detalle!$A:$AA,$F$1,0),"Sin datos")),"")</f>
        <v/>
      </c>
      <c r="G81" s="327">
        <f>IFERROR(IF(VLOOKUP(B81,Detalle!$A:$AA,$G$1,0)=0,"Sin datos",IFERROR(VLOOKUP(B81,Detalle!$A:$AA,$G$1,0),"Sin datos")),"")</f>
        <v/>
      </c>
      <c r="H81" s="93">
        <f>IFERROR(IF(VLOOKUP(B81,Detalle!$A:$AA,$H$1,0)=0,"Sin datos",IFERROR(VLOOKUP(B81,Detalle!$A:$AA,$H$1,0),"Sin datos")),"")</f>
        <v/>
      </c>
      <c r="I81" s="327">
        <f>IFERROR(IF(VLOOKUP(B81,Detalle!$A:$AA,$I$1,0)=0,"Sin datos",IFERROR(VLOOKUP(B81,Detalle!$A:$AA,$I$1,0),"Sin datos")),"")</f>
        <v/>
      </c>
      <c r="J81" s="93">
        <f>IFERROR(IF(VLOOKUP(B81,Detalle!$A:$AA,$J$1,0)=0,"Sin datos",IFERROR(VLOOKUP(B81,Detalle!$A:$AA,$J$1,0),"Sin datos")),"")</f>
        <v/>
      </c>
      <c r="K81" s="98" t="s">
        <v>293</v>
      </c>
      <c r="L81" s="328">
        <f>MIN(E81,G81,I81)</f>
        <v/>
      </c>
      <c r="M81" s="329">
        <f>IFERROR(IF(MIN(H81,J81)=F81,IF(G81=I81,"Escenario 5","Escenario 4"),IF(MIN(H81,J81)&lt;F81,IF(AND(F81-2&lt;=MIN(H81,J81),G81&lt;&gt;I81),"Escenario 1",IF(AND(F81-2&lt;=MIN(H81,J81),G81=I81),"Escenario 2","Escenario 3")),IF(MIN(H81,J81)&gt;F81,IF(AND(F81+2&gt;=MIN(H81,J81),G81=I81),"Escenario 7",IF(AND(F81+2&gt;=MIN(H81,J81),G81&lt;&gt;I81),"Escenario 6",IF(F81+5&lt;=MIN(H81,J81),"Escenario 9","Escenario 8"))),"error"))),"Falta info")</f>
        <v/>
      </c>
      <c r="N81" s="98">
        <f>IFERROR(VLOOKUP(M81,Base!$BJ$28:$BL$36,3,0),0)</f>
        <v/>
      </c>
      <c r="O81" s="330">
        <f>IF(LOOKUP(M81,Base!$X$8:$BG$8)=M81,VLOOKUP(B81,Base!E:BG,N81,0),0)</f>
        <v/>
      </c>
      <c r="P81" s="330" t="n"/>
      <c r="Q81" s="327">
        <f>IFERROR(IF(VLOOKUP(B81,Detalle!$A:$AA,$Q$1,0)=0,"Sin datos",IFERROR(VLOOKUP(B81,Detalle!$A:$AA,$Q$1,0),"Sin datos")),"")</f>
        <v/>
      </c>
      <c r="R81" s="93">
        <f>IFERROR(IF(VLOOKUP(B81,Detalle!$A:$AA,$R$1,0)=0,"Sin datos",IFERROR(VLOOKUP(B81,Detalle!$A:$AA,$R$1,0),"Sin datos")),"")</f>
        <v/>
      </c>
      <c r="S81" s="327">
        <f>IFERROR(IF(VLOOKUP(B81,Detalle!$A:$AA,$S$1,0)=0,"Sin datos",IFERROR(VLOOKUP(B81,Detalle!$A:$AA,$S$1,0),"Sin datos")),"")</f>
        <v/>
      </c>
      <c r="T81" s="93">
        <f>IFERROR(IF(VLOOKUP(B81,Detalle!$A:$AA,$T$1,0)=0,"Sin datos",IFERROR(VLOOKUP(B81,Detalle!$A:$AA,$T$1,0),"Sin datos")),"")</f>
        <v/>
      </c>
      <c r="U81" s="327">
        <f>IFERROR(IF(VLOOKUP(B81,Detalle!$A:$AA,$U$1,0)=0,"Sin datos",IFERROR(VLOOKUP(B81,Detalle!$A:$AA,$U$1,0),"Sin datos")),"")</f>
        <v/>
      </c>
      <c r="V81" s="93">
        <f>IFERROR(IF(VLOOKUP(B81,Detalle!$A:$AA,$V$1,0)=0,"Sin datos",IFERROR(VLOOKUP(B81,Detalle!$A:$AA,$V$1,0),"Sin datos")),"")</f>
        <v/>
      </c>
      <c r="W81" s="98">
        <f>IF(P81="",IF(MIN(Q81,S81,U81)&gt;E81,"Si","No"),IF(MIN(Q81,S81,U81)&gt;P81,"Si","No"))</f>
        <v/>
      </c>
      <c r="X81" s="328">
        <f>MIN(Q81,S81,U81)</f>
        <v/>
      </c>
      <c r="Y81" s="328">
        <f>IFERROR(IF(MIN(T81,V81)=R81,IF(S81=U81,"Escenario 5","Escenario 4"),IF(MIN(T81,V81)&lt;R81,IF(AND(R81-2&lt;=MIN(T81,V81),S81&lt;&gt;U81),"Escenario 1",IF(AND(R81-2&lt;=MIN(T81,V81),S81=U81),"Escenario 2","Escenario 3")),IF(MIN(T81,V81)&gt;R81,IF(AND(R81+2&gt;=MIN(T81,V81),S81=U81),"Escenario 7",IF(AND(R81+2&gt;=MIN(T81,V81),S81&lt;&gt;U81),"Escenario 6",IF(R81+5&lt;=MIN(T81,V81),"Escenario 9","Escenario 8"))),"error"))),"Falta info")</f>
        <v/>
      </c>
      <c r="Z81" s="98">
        <f>IFERROR(VLOOKUP(Y81,Base!$BJ$19:$BL$27,3,0),0)</f>
        <v/>
      </c>
      <c r="AA81" s="330">
        <f>IF(LOOKUP(Y81,Base!$X$8:$BG$8)=Y81,VLOOKUP(B81,Base!E:BG,Z81,0),0)</f>
        <v/>
      </c>
      <c r="AB81" s="330" t="n"/>
      <c r="AC81" s="327">
        <f>IFERROR(IF(VLOOKUP(B81,Detalle!$A:$AA,$AC$1,0)=0,"Sin datos",IFERROR(VLOOKUP(B81,Detalle!$A:$AA,$AC$1,0),"Sin datos")),"")</f>
        <v/>
      </c>
      <c r="AD81" s="93">
        <f>IFERROR(IF(VLOOKUP(B81,Detalle!$A:$AA,$AD$1,0)=0,"Sin datos",IFERROR(VLOOKUP(B81,Detalle!$A:$AA,$AD$1,0),"Sin datos")),"")</f>
        <v/>
      </c>
      <c r="AE81" s="327">
        <f>IFERROR(IF(VLOOKUP(B81,Detalle!$A:$AA,$AE$1,0)=0,"Sin datos",IFERROR(VLOOKUP(B81,Detalle!$A:$AA,$AE$1,0),"Sin datos")),"")</f>
        <v/>
      </c>
      <c r="AF81" s="93">
        <f>IFERROR(IF(VLOOKUP(B81,Detalle!$A:$AA,$AF$1,0)=0,"Sin datos",IFERROR(VLOOKUP(B81,Detalle!$A:$AA,$AF$1,0),"Sin datos")),"")</f>
        <v/>
      </c>
      <c r="AG81" s="327">
        <f>IFERROR(IF(VLOOKUP(B81,Detalle!$A:$AA,$AG$1,0)=0,"Sin datos",IFERROR(VLOOKUP(B81,Detalle!$A:$AA,$AG$1,0),"Sin datos")),"")</f>
        <v/>
      </c>
      <c r="AH81" s="93">
        <f>IFERROR(IF(VLOOKUP(B81,Detalle!$A:$AA,$AH$1,0)=0,"Sin datos",IFERROR(VLOOKUP(B81,Detalle!$A:$AA,$AH$1,0),"Sin datos")),"")</f>
        <v/>
      </c>
      <c r="AI81" s="98">
        <f>IF(AB81="",IF(MIN(AC81,AE81,AG81)&gt;E81,"Si","No"),IF(MIN(AC81,AG81,AG81)&gt;AB81,"Si","No"))</f>
        <v/>
      </c>
      <c r="AJ81" s="328">
        <f>MIN(AC81,AE81,AG81)</f>
        <v/>
      </c>
      <c r="AK81" s="328">
        <f>IFERROR(IF(MIN(AF81,AH81)=AD81,IF(AE81=AG81,"Escenario 5","Escenario 4"),IF(MIN(AF81,AH81)&lt;AD81,IF(AND(AD81-2&lt;=MIN(AF81,AH81),AE81&lt;&gt;AG81),"Escenario 1",IF(AND(AD81-2&lt;=MIN(AF81,AH81),AE81=AG81),"Escenario 2","Escenario 3")),IF(MIN(AF81,AH81)&gt;AD81,IF(AND(AD81+2&gt;=MIN(AF81,AH81),AE81=AG81),"Escenario 7",IF(AND(AD81+2&gt;=MIN(AF81,AH81),AE81&lt;&gt;AG81),"Escenario 6",IF(AD81+5&lt;=MIN(AF81,AH81),"Escenario 9","Escenario 8"))),"error"))),"Falta info")</f>
        <v/>
      </c>
      <c r="AL81" s="98">
        <f>IFERROR(VLOOKUP(AK81,Base!$BJ$37:$BL$45,3,0),0)</f>
        <v/>
      </c>
      <c r="AM81" s="330">
        <f>IF(LOOKUP(AK81,Base!$X$8:$BG$8)=AK81,VLOOKUP(B81,Base!E:BG,AL81,0),0)</f>
        <v/>
      </c>
      <c r="AN81" s="330" t="n"/>
      <c r="AP81" s="331">
        <f>IF(AM81&lt;=AA81,"REVISAR!","ok")</f>
        <v/>
      </c>
    </row>
    <row customHeight="1" ht="12.95" r="82" s="183" spans="1:43">
      <c r="B82" s="108" t="s">
        <v>88</v>
      </c>
      <c r="C82" s="89" t="s">
        <v>294</v>
      </c>
      <c r="D82" s="106">
        <f>VLOOKUP(B82,Base!E:G,3,0)</f>
        <v/>
      </c>
      <c r="E82" s="326">
        <f>IFERROR(IF(VLOOKUP(B82,Detalle!$A:$AA,$E$1,0)=0,"Sin datos",IFERROR(VLOOKUP(B82,Detalle!$A:$AA,$E$1,0),"Sin datos")),"")</f>
        <v/>
      </c>
      <c r="F82" s="91">
        <f>IFERROR(IF(VLOOKUP(B82,Detalle!$A:$AA,$F$1,0)=0,"Sin datos",IFERROR(VLOOKUP(B82,Detalle!$A:$AA,$F$1,0),"Sin datos")),"")</f>
        <v/>
      </c>
      <c r="G82" s="327">
        <f>IFERROR(IF(VLOOKUP(B82,Detalle!$A:$AA,$G$1,0)=0,"Sin datos",IFERROR(VLOOKUP(B82,Detalle!$A:$AA,$G$1,0),"Sin datos")),"")</f>
        <v/>
      </c>
      <c r="H82" s="93">
        <f>IFERROR(IF(VLOOKUP(B82,Detalle!$A:$AA,$H$1,0)=0,"Sin datos",IFERROR(VLOOKUP(B82,Detalle!$A:$AA,$H$1,0),"Sin datos")),"")</f>
        <v/>
      </c>
      <c r="I82" s="327">
        <f>IFERROR(IF(VLOOKUP(B82,Detalle!$A:$AA,$I$1,0)=0,"Sin datos",IFERROR(VLOOKUP(B82,Detalle!$A:$AA,$I$1,0),"Sin datos")),"")</f>
        <v/>
      </c>
      <c r="J82" s="93">
        <f>IFERROR(IF(VLOOKUP(B82,Detalle!$A:$AA,$J$1,0)=0,"Sin datos",IFERROR(VLOOKUP(B82,Detalle!$A:$AA,$J$1,0),"Sin datos")),"")</f>
        <v/>
      </c>
      <c r="K82" s="98" t="s">
        <v>293</v>
      </c>
      <c r="L82" s="328">
        <f>MIN(E82,G82,I82)</f>
        <v/>
      </c>
      <c r="M82" s="329">
        <f>IFERROR(IF(MIN(H82,J82)=F82,IF(G82=I82,"Escenario 5","Escenario 4"),IF(MIN(H82,J82)&lt;F82,IF(AND(F82-2&lt;=MIN(H82,J82),G82&lt;&gt;I82),"Escenario 1",IF(AND(F82-2&lt;=MIN(H82,J82),G82=I82),"Escenario 2","Escenario 3")),IF(MIN(H82,J82)&gt;F82,IF(AND(F82+2&gt;=MIN(H82,J82),G82=I82),"Escenario 7",IF(AND(F82+2&gt;=MIN(H82,J82),G82&lt;&gt;I82),"Escenario 6",IF(F82+5&lt;=MIN(H82,J82),"Escenario 9","Escenario 8"))),"error"))),"Falta info")</f>
        <v/>
      </c>
      <c r="N82" s="98">
        <f>IFERROR(VLOOKUP(M82,Base!$BJ$28:$BL$36,3,0),0)</f>
        <v/>
      </c>
      <c r="O82" s="330">
        <f>IF(LOOKUP(M82,Base!$X$8:$BG$8)=M82,VLOOKUP(B82,Base!E:BG,N82,0),0)</f>
        <v/>
      </c>
      <c r="P82" s="330" t="n"/>
      <c r="Q82" s="327">
        <f>IFERROR(IF(VLOOKUP(B82,Detalle!$A:$AA,$Q$1,0)=0,"Sin datos",IFERROR(VLOOKUP(B82,Detalle!$A:$AA,$Q$1,0),"Sin datos")),"")</f>
        <v/>
      </c>
      <c r="R82" s="93">
        <f>IFERROR(IF(VLOOKUP(B82,Detalle!$A:$AA,$R$1,0)=0,"Sin datos",IFERROR(VLOOKUP(B82,Detalle!$A:$AA,$R$1,0),"Sin datos")),"")</f>
        <v/>
      </c>
      <c r="S82" s="327">
        <f>IFERROR(IF(VLOOKUP(B82,Detalle!$A:$AA,$S$1,0)=0,"Sin datos",IFERROR(VLOOKUP(B82,Detalle!$A:$AA,$S$1,0),"Sin datos")),"")</f>
        <v/>
      </c>
      <c r="T82" s="93">
        <f>IFERROR(IF(VLOOKUP(B82,Detalle!$A:$AA,$T$1,0)=0,"Sin datos",IFERROR(VLOOKUP(B82,Detalle!$A:$AA,$T$1,0),"Sin datos")),"")</f>
        <v/>
      </c>
      <c r="U82" s="327">
        <f>IFERROR(IF(VLOOKUP(B82,Detalle!$A:$AA,$U$1,0)=0,"Sin datos",IFERROR(VLOOKUP(B82,Detalle!$A:$AA,$U$1,0),"Sin datos")),"")</f>
        <v/>
      </c>
      <c r="V82" s="93">
        <f>IFERROR(IF(VLOOKUP(B82,Detalle!$A:$AA,$V$1,0)=0,"Sin datos",IFERROR(VLOOKUP(B82,Detalle!$A:$AA,$V$1,0),"Sin datos")),"")</f>
        <v/>
      </c>
      <c r="W82" s="98">
        <f>IF(P82="",IF(MIN(Q82,S82,U82)&gt;E82,"Si","No"),IF(MIN(Q82,S82,U82)&gt;P82,"Si","No"))</f>
        <v/>
      </c>
      <c r="X82" s="328">
        <f>MIN(Q82,S82,U82)</f>
        <v/>
      </c>
      <c r="Y82" s="328">
        <f>IFERROR(IF(MIN(T82,V82)=R82,IF(S82=U82,"Escenario 5","Escenario 4"),IF(MIN(T82,V82)&lt;R82,IF(AND(R82-2&lt;=MIN(T82,V82),S82&lt;&gt;U82),"Escenario 1",IF(AND(R82-2&lt;=MIN(T82,V82),S82=U82),"Escenario 2","Escenario 3")),IF(MIN(T82,V82)&gt;R82,IF(AND(R82+2&gt;=MIN(T82,V82),S82=U82),"Escenario 7",IF(AND(R82+2&gt;=MIN(T82,V82),S82&lt;&gt;U82),"Escenario 6",IF(R82+5&lt;=MIN(T82,V82),"Escenario 9","Escenario 8"))),"error"))),"Falta info")</f>
        <v/>
      </c>
      <c r="Z82" s="98">
        <f>IFERROR(VLOOKUP(Y82,Base!$BJ$19:$BL$27,3,0),0)</f>
        <v/>
      </c>
      <c r="AA82" s="330">
        <f>IF(LOOKUP(Y82,Base!$X$8:$BG$8)=Y82,VLOOKUP(B82,Base!E:BG,Z82,0),0)</f>
        <v/>
      </c>
      <c r="AB82" s="330" t="n"/>
      <c r="AC82" s="327">
        <f>IFERROR(IF(VLOOKUP(B82,Detalle!$A:$AA,$AC$1,0)=0,"Sin datos",IFERROR(VLOOKUP(B82,Detalle!$A:$AA,$AC$1,0),"Sin datos")),"")</f>
        <v/>
      </c>
      <c r="AD82" s="93">
        <f>IFERROR(IF(VLOOKUP(B82,Detalle!$A:$AA,$AD$1,0)=0,"Sin datos",IFERROR(VLOOKUP(B82,Detalle!$A:$AA,$AD$1,0),"Sin datos")),"")</f>
        <v/>
      </c>
      <c r="AE82" s="327">
        <f>IFERROR(IF(VLOOKUP(B82,Detalle!$A:$AA,$AE$1,0)=0,"Sin datos",IFERROR(VLOOKUP(B82,Detalle!$A:$AA,$AE$1,0),"Sin datos")),"")</f>
        <v/>
      </c>
      <c r="AF82" s="93">
        <f>IFERROR(IF(VLOOKUP(B82,Detalle!$A:$AA,$AF$1,0)=0,"Sin datos",IFERROR(VLOOKUP(B82,Detalle!$A:$AA,$AF$1,0),"Sin datos")),"")</f>
        <v/>
      </c>
      <c r="AG82" s="327">
        <f>IFERROR(IF(VLOOKUP(B82,Detalle!$A:$AA,$AG$1,0)=0,"Sin datos",IFERROR(VLOOKUP(B82,Detalle!$A:$AA,$AG$1,0),"Sin datos")),"")</f>
        <v/>
      </c>
      <c r="AH82" s="93">
        <f>IFERROR(IF(VLOOKUP(B82,Detalle!$A:$AA,$AH$1,0)=0,"Sin datos",IFERROR(VLOOKUP(B82,Detalle!$A:$AA,$AH$1,0),"Sin datos")),"")</f>
        <v/>
      </c>
      <c r="AI82" s="98">
        <f>IF(AB82="",IF(MIN(AC82,AE82,AG82)&gt;E82,"Si","No"),IF(MIN(AC82,AG82,AG82)&gt;AB82,"Si","No"))</f>
        <v/>
      </c>
      <c r="AJ82" s="328">
        <f>MIN(AC82,AE82,AG82)</f>
        <v/>
      </c>
      <c r="AK82" s="328">
        <f>IFERROR(IF(MIN(AF82,AH82)=AD82,IF(AE82=AG82,"Escenario 5","Escenario 4"),IF(MIN(AF82,AH82)&lt;AD82,IF(AND(AD82-2&lt;=MIN(AF82,AH82),AE82&lt;&gt;AG82),"Escenario 1",IF(AND(AD82-2&lt;=MIN(AF82,AH82),AE82=AG82),"Escenario 2","Escenario 3")),IF(MIN(AF82,AH82)&gt;AD82,IF(AND(AD82+2&gt;=MIN(AF82,AH82),AE82=AG82),"Escenario 7",IF(AND(AD82+2&gt;=MIN(AF82,AH82),AE82&lt;&gt;AG82),"Escenario 6",IF(AD82+5&lt;=MIN(AF82,AH82),"Escenario 9","Escenario 8"))),"error"))),"Falta info")</f>
        <v/>
      </c>
      <c r="AL82" s="98">
        <f>IFERROR(VLOOKUP(AK82,Base!$BJ$37:$BL$45,3,0),0)</f>
        <v/>
      </c>
      <c r="AM82" s="330">
        <f>IF(LOOKUP(AK82,Base!$X$8:$BG$8)=AK82,VLOOKUP(B82,Base!E:BG,AL82,0),0)</f>
        <v/>
      </c>
      <c r="AN82" s="330" t="n"/>
      <c r="AP82" s="331">
        <f>IF(AM82&lt;=AA82,"REVISAR!","ok")</f>
        <v/>
      </c>
    </row>
    <row customHeight="1" ht="12.95" r="83" s="183" spans="1:43">
      <c r="B83" s="108" t="s">
        <v>97</v>
      </c>
      <c r="C83" s="89" t="s">
        <v>294</v>
      </c>
      <c r="D83" s="106">
        <f>VLOOKUP(B83,Base!E:G,3,0)</f>
        <v/>
      </c>
      <c r="E83" s="326">
        <f>IFERROR(IF(VLOOKUP(B83,Detalle!$A:$AA,$E$1,0)=0,"Sin datos",IFERROR(VLOOKUP(B83,Detalle!$A:$AA,$E$1,0),"Sin datos")),"")</f>
        <v/>
      </c>
      <c r="F83" s="91">
        <f>IFERROR(IF(VLOOKUP(B83,Detalle!$A:$AA,$F$1,0)=0,"Sin datos",IFERROR(VLOOKUP(B83,Detalle!$A:$AA,$F$1,0),"Sin datos")),"")</f>
        <v/>
      </c>
      <c r="G83" s="327">
        <f>IFERROR(IF(VLOOKUP(B83,Detalle!$A:$AA,$G$1,0)=0,"Sin datos",IFERROR(VLOOKUP(B83,Detalle!$A:$AA,$G$1,0),"Sin datos")),"")</f>
        <v/>
      </c>
      <c r="H83" s="93">
        <f>IFERROR(IF(VLOOKUP(B83,Detalle!$A:$AA,$H$1,0)=0,"Sin datos",IFERROR(VLOOKUP(B83,Detalle!$A:$AA,$H$1,0),"Sin datos")),"")</f>
        <v/>
      </c>
      <c r="I83" s="327">
        <f>IFERROR(IF(VLOOKUP(B83,Detalle!$A:$AA,$I$1,0)=0,"Sin datos",IFERROR(VLOOKUP(B83,Detalle!$A:$AA,$I$1,0),"Sin datos")),"")</f>
        <v/>
      </c>
      <c r="J83" s="93">
        <f>IFERROR(IF(VLOOKUP(B83,Detalle!$A:$AA,$J$1,0)=0,"Sin datos",IFERROR(VLOOKUP(B83,Detalle!$A:$AA,$J$1,0),"Sin datos")),"")</f>
        <v/>
      </c>
      <c r="K83" s="98" t="s">
        <v>293</v>
      </c>
      <c r="L83" s="328">
        <f>MIN(E83,G83,I83)</f>
        <v/>
      </c>
      <c r="M83" s="329">
        <f>IFERROR(IF(MIN(H83,J83)=F83,IF(G83=I83,"Escenario 5","Escenario 4"),IF(MIN(H83,J83)&lt;F83,IF(AND(F83-2&lt;=MIN(H83,J83),G83&lt;&gt;I83),"Escenario 1",IF(AND(F83-2&lt;=MIN(H83,J83),G83=I83),"Escenario 2","Escenario 3")),IF(MIN(H83,J83)&gt;F83,IF(AND(F83+2&gt;=MIN(H83,J83),G83=I83),"Escenario 7",IF(AND(F83+2&gt;=MIN(H83,J83),G83&lt;&gt;I83),"Escenario 6",IF(F83+5&lt;=MIN(H83,J83),"Escenario 9","Escenario 8"))),"error"))),"Falta info")</f>
        <v/>
      </c>
      <c r="N83" s="98">
        <f>IFERROR(VLOOKUP(M83,Base!$BJ$28:$BL$36,3,0),0)</f>
        <v/>
      </c>
      <c r="O83" s="330">
        <f>IF(LOOKUP(M83,Base!$X$8:$BG$8)=M83,VLOOKUP(B83,Base!E:BG,N83,0),0)</f>
        <v/>
      </c>
      <c r="P83" s="330" t="n"/>
      <c r="Q83" s="327">
        <f>IFERROR(IF(VLOOKUP(B83,Detalle!$A:$AA,$Q$1,0)=0,"Sin datos",IFERROR(VLOOKUP(B83,Detalle!$A:$AA,$Q$1,0),"Sin datos")),"")</f>
        <v/>
      </c>
      <c r="R83" s="93">
        <f>IFERROR(IF(VLOOKUP(B83,Detalle!$A:$AA,$R$1,0)=0,"Sin datos",IFERROR(VLOOKUP(B83,Detalle!$A:$AA,$R$1,0),"Sin datos")),"")</f>
        <v/>
      </c>
      <c r="S83" s="327">
        <f>IFERROR(IF(VLOOKUP(B83,Detalle!$A:$AA,$S$1,0)=0,"Sin datos",IFERROR(VLOOKUP(B83,Detalle!$A:$AA,$S$1,0),"Sin datos")),"")</f>
        <v/>
      </c>
      <c r="T83" s="93">
        <f>IFERROR(IF(VLOOKUP(B83,Detalle!$A:$AA,$T$1,0)=0,"Sin datos",IFERROR(VLOOKUP(B83,Detalle!$A:$AA,$T$1,0),"Sin datos")),"")</f>
        <v/>
      </c>
      <c r="U83" s="327">
        <f>IFERROR(IF(VLOOKUP(B83,Detalle!$A:$AA,$U$1,0)=0,"Sin datos",IFERROR(VLOOKUP(B83,Detalle!$A:$AA,$U$1,0),"Sin datos")),"")</f>
        <v/>
      </c>
      <c r="V83" s="93">
        <f>IFERROR(IF(VLOOKUP(B83,Detalle!$A:$AA,$V$1,0)=0,"Sin datos",IFERROR(VLOOKUP(B83,Detalle!$A:$AA,$V$1,0),"Sin datos")),"")</f>
        <v/>
      </c>
      <c r="W83" s="98">
        <f>IF(P83="",IF(MIN(Q83,S83,U83)&gt;E83,"Si","No"),IF(MIN(Q83,S83,U83)&gt;P83,"Si","No"))</f>
        <v/>
      </c>
      <c r="X83" s="328">
        <f>MIN(Q83,S83,U83)</f>
        <v/>
      </c>
      <c r="Y83" s="328">
        <f>IFERROR(IF(MIN(T83,V83)=R83,IF(S83=U83,"Escenario 5","Escenario 4"),IF(MIN(T83,V83)&lt;R83,IF(AND(R83-2&lt;=MIN(T83,V83),S83&lt;&gt;U83),"Escenario 1",IF(AND(R83-2&lt;=MIN(T83,V83),S83=U83),"Escenario 2","Escenario 3")),IF(MIN(T83,V83)&gt;R83,IF(AND(R83+2&gt;=MIN(T83,V83),S83=U83),"Escenario 7",IF(AND(R83+2&gt;=MIN(T83,V83),S83&lt;&gt;U83),"Escenario 6",IF(R83+5&lt;=MIN(T83,V83),"Escenario 9","Escenario 8"))),"error"))),"Falta info")</f>
        <v/>
      </c>
      <c r="Z83" s="98">
        <f>IFERROR(VLOOKUP(Y83,Base!$BJ$19:$BL$27,3,0),0)</f>
        <v/>
      </c>
      <c r="AA83" s="330">
        <f>IF(LOOKUP(Y83,Base!$X$8:$BG$8)=Y83,VLOOKUP(B83,Base!E:BG,Z83,0),0)</f>
        <v/>
      </c>
      <c r="AB83" s="330" t="n"/>
      <c r="AC83" s="327">
        <f>IFERROR(IF(VLOOKUP(B83,Detalle!$A:$AA,$AC$1,0)=0,"Sin datos",IFERROR(VLOOKUP(B83,Detalle!$A:$AA,$AC$1,0),"Sin datos")),"")</f>
        <v/>
      </c>
      <c r="AD83" s="93">
        <f>IFERROR(IF(VLOOKUP(B83,Detalle!$A:$AA,$AD$1,0)=0,"Sin datos",IFERROR(VLOOKUP(B83,Detalle!$A:$AA,$AD$1,0),"Sin datos")),"")</f>
        <v/>
      </c>
      <c r="AE83" s="327">
        <f>IFERROR(IF(VLOOKUP(B83,Detalle!$A:$AA,$AE$1,0)=0,"Sin datos",IFERROR(VLOOKUP(B83,Detalle!$A:$AA,$AE$1,0),"Sin datos")),"")</f>
        <v/>
      </c>
      <c r="AF83" s="93">
        <f>IFERROR(IF(VLOOKUP(B83,Detalle!$A:$AA,$AF$1,0)=0,"Sin datos",IFERROR(VLOOKUP(B83,Detalle!$A:$AA,$AF$1,0),"Sin datos")),"")</f>
        <v/>
      </c>
      <c r="AG83" s="327">
        <f>IFERROR(IF(VLOOKUP(B83,Detalle!$A:$AA,$AG$1,0)=0,"Sin datos",IFERROR(VLOOKUP(B83,Detalle!$A:$AA,$AG$1,0),"Sin datos")),"")</f>
        <v/>
      </c>
      <c r="AH83" s="93">
        <f>IFERROR(IF(VLOOKUP(B83,Detalle!$A:$AA,$AH$1,0)=0,"Sin datos",IFERROR(VLOOKUP(B83,Detalle!$A:$AA,$AH$1,0),"Sin datos")),"")</f>
        <v/>
      </c>
      <c r="AI83" s="98">
        <f>IF(AB83="",IF(MIN(AC83,AE83,AG83)&gt;E83,"Si","No"),IF(MIN(AC83,AG83,AG83)&gt;AB83,"Si","No"))</f>
        <v/>
      </c>
      <c r="AJ83" s="328">
        <f>MIN(AC83,AE83,AG83)</f>
        <v/>
      </c>
      <c r="AK83" s="328">
        <f>IFERROR(IF(MIN(AF83,AH83)=AD83,IF(AE83=AG83,"Escenario 5","Escenario 4"),IF(MIN(AF83,AH83)&lt;AD83,IF(AND(AD83-2&lt;=MIN(AF83,AH83),AE83&lt;&gt;AG83),"Escenario 1",IF(AND(AD83-2&lt;=MIN(AF83,AH83),AE83=AG83),"Escenario 2","Escenario 3")),IF(MIN(AF83,AH83)&gt;AD83,IF(AND(AD83+2&gt;=MIN(AF83,AH83),AE83=AG83),"Escenario 7",IF(AND(AD83+2&gt;=MIN(AF83,AH83),AE83&lt;&gt;AG83),"Escenario 6",IF(AD83+5&lt;=MIN(AF83,AH83),"Escenario 9","Escenario 8"))),"error"))),"Falta info")</f>
        <v/>
      </c>
      <c r="AL83" s="98">
        <f>IFERROR(VLOOKUP(AK83,Base!$BJ$37:$BL$45,3,0),0)</f>
        <v/>
      </c>
      <c r="AM83" s="330">
        <f>IF(LOOKUP(AK83,Base!$X$8:$BG$8)=AK83,VLOOKUP(B83,Base!E:BG,AL83,0),0)</f>
        <v/>
      </c>
      <c r="AN83" s="330" t="n"/>
      <c r="AP83" s="331">
        <f>IF(AM83&lt;=AA83,"REVISAR!","ok")</f>
        <v/>
      </c>
    </row>
    <row customHeight="1" ht="12.95" r="84" s="183" spans="1:43">
      <c r="B84" s="108" t="s">
        <v>53</v>
      </c>
      <c r="C84" s="89" t="s">
        <v>294</v>
      </c>
      <c r="D84" s="106">
        <f>VLOOKUP(B84,Base!E:G,3,0)</f>
        <v/>
      </c>
      <c r="E84" s="326">
        <f>IFERROR(IF(VLOOKUP(B84,Detalle!$A:$AA,$E$1,0)=0,"Sin datos",IFERROR(VLOOKUP(B84,Detalle!$A:$AA,$E$1,0),"Sin datos")),"")</f>
        <v/>
      </c>
      <c r="F84" s="91">
        <f>IFERROR(IF(VLOOKUP(B84,Detalle!$A:$AA,$F$1,0)=0,"Sin datos",IFERROR(VLOOKUP(B84,Detalle!$A:$AA,$F$1,0),"Sin datos")),"")</f>
        <v/>
      </c>
      <c r="G84" s="327">
        <f>IFERROR(IF(VLOOKUP(B84,Detalle!$A:$AA,$G$1,0)=0,"Sin datos",IFERROR(VLOOKUP(B84,Detalle!$A:$AA,$G$1,0),"Sin datos")),"")</f>
        <v/>
      </c>
      <c r="H84" s="93">
        <f>IFERROR(IF(VLOOKUP(B84,Detalle!$A:$AA,$H$1,0)=0,"Sin datos",IFERROR(VLOOKUP(B84,Detalle!$A:$AA,$H$1,0),"Sin datos")),"")</f>
        <v/>
      </c>
      <c r="I84" s="327">
        <f>IFERROR(IF(VLOOKUP(B84,Detalle!$A:$AA,$I$1,0)=0,"Sin datos",IFERROR(VLOOKUP(B84,Detalle!$A:$AA,$I$1,0),"Sin datos")),"")</f>
        <v/>
      </c>
      <c r="J84" s="93">
        <f>IFERROR(IF(VLOOKUP(B84,Detalle!$A:$AA,$J$1,0)=0,"Sin datos",IFERROR(VLOOKUP(B84,Detalle!$A:$AA,$J$1,0),"Sin datos")),"")</f>
        <v/>
      </c>
      <c r="K84" s="98" t="s">
        <v>293</v>
      </c>
      <c r="L84" s="328">
        <f>MIN(E84,G84,I84)</f>
        <v/>
      </c>
      <c r="M84" s="329">
        <f>IFERROR(IF(MIN(H84,J84)=F84,IF(G84=I84,"Escenario 5","Escenario 4"),IF(MIN(H84,J84)&lt;F84,IF(AND(F84-2&lt;=MIN(H84,J84),G84&lt;&gt;I84),"Escenario 1",IF(AND(F84-2&lt;=MIN(H84,J84),G84=I84),"Escenario 2","Escenario 3")),IF(MIN(H84,J84)&gt;F84,IF(AND(F84+2&gt;=MIN(H84,J84),G84=I84),"Escenario 7",IF(AND(F84+2&gt;=MIN(H84,J84),G84&lt;&gt;I84),"Escenario 6",IF(F84+5&lt;=MIN(H84,J84),"Escenario 9","Escenario 8"))),"error"))),"Falta info")</f>
        <v/>
      </c>
      <c r="N84" s="98">
        <f>IFERROR(VLOOKUP(M84,Base!$BJ$28:$BL$36,3,0),0)</f>
        <v/>
      </c>
      <c r="O84" s="330">
        <f>IF(LOOKUP(M84,Base!$X$8:$BG$8)=M84,VLOOKUP(B84,Base!E:BG,N84,0),0)</f>
        <v/>
      </c>
      <c r="P84" s="330" t="n"/>
      <c r="Q84" s="327">
        <f>IFERROR(IF(VLOOKUP(B84,Detalle!$A:$AA,$Q$1,0)=0,"Sin datos",IFERROR(VLOOKUP(B84,Detalle!$A:$AA,$Q$1,0),"Sin datos")),"")</f>
        <v/>
      </c>
      <c r="R84" s="93">
        <f>IFERROR(IF(VLOOKUP(B84,Detalle!$A:$AA,$R$1,0)=0,"Sin datos",IFERROR(VLOOKUP(B84,Detalle!$A:$AA,$R$1,0),"Sin datos")),"")</f>
        <v/>
      </c>
      <c r="S84" s="327">
        <f>IFERROR(IF(VLOOKUP(B84,Detalle!$A:$AA,$S$1,0)=0,"Sin datos",IFERROR(VLOOKUP(B84,Detalle!$A:$AA,$S$1,0),"Sin datos")),"")</f>
        <v/>
      </c>
      <c r="T84" s="93">
        <f>IFERROR(IF(VLOOKUP(B84,Detalle!$A:$AA,$T$1,0)=0,"Sin datos",IFERROR(VLOOKUP(B84,Detalle!$A:$AA,$T$1,0),"Sin datos")),"")</f>
        <v/>
      </c>
      <c r="U84" s="327">
        <f>IFERROR(IF(VLOOKUP(B84,Detalle!$A:$AA,$U$1,0)=0,"Sin datos",IFERROR(VLOOKUP(B84,Detalle!$A:$AA,$U$1,0),"Sin datos")),"")</f>
        <v/>
      </c>
      <c r="V84" s="93">
        <f>IFERROR(IF(VLOOKUP(B84,Detalle!$A:$AA,$V$1,0)=0,"Sin datos",IFERROR(VLOOKUP(B84,Detalle!$A:$AA,$V$1,0),"Sin datos")),"")</f>
        <v/>
      </c>
      <c r="W84" s="98">
        <f>IF(P84="",IF(MIN(Q84,S84,U84)&gt;E84,"Si","No"),IF(MIN(Q84,S84,U84)&gt;P84,"Si","No"))</f>
        <v/>
      </c>
      <c r="X84" s="328">
        <f>MIN(Q84,S84,U84)</f>
        <v/>
      </c>
      <c r="Y84" s="328">
        <f>IFERROR(IF(MIN(T84,V84)=R84,IF(S84=U84,"Escenario 5","Escenario 4"),IF(MIN(T84,V84)&lt;R84,IF(AND(R84-2&lt;=MIN(T84,V84),S84&lt;&gt;U84),"Escenario 1",IF(AND(R84-2&lt;=MIN(T84,V84),S84=U84),"Escenario 2","Escenario 3")),IF(MIN(T84,V84)&gt;R84,IF(AND(R84+2&gt;=MIN(T84,V84),S84=U84),"Escenario 7",IF(AND(R84+2&gt;=MIN(T84,V84),S84&lt;&gt;U84),"Escenario 6",IF(R84+5&lt;=MIN(T84,V84),"Escenario 9","Escenario 8"))),"error"))),"Falta info")</f>
        <v/>
      </c>
      <c r="Z84" s="98">
        <f>IFERROR(VLOOKUP(Y84,Base!$BJ$19:$BL$27,3,0),0)</f>
        <v/>
      </c>
      <c r="AA84" s="330">
        <f>IF(LOOKUP(Y84,Base!$X$8:$BG$8)=Y84,VLOOKUP(B84,Base!E:BG,Z84,0),0)</f>
        <v/>
      </c>
      <c r="AB84" s="330" t="n"/>
      <c r="AC84" s="327">
        <f>IFERROR(IF(VLOOKUP(B84,Detalle!$A:$AA,$AC$1,0)=0,"Sin datos",IFERROR(VLOOKUP(B84,Detalle!$A:$AA,$AC$1,0),"Sin datos")),"")</f>
        <v/>
      </c>
      <c r="AD84" s="93">
        <f>IFERROR(IF(VLOOKUP(B84,Detalle!$A:$AA,$AD$1,0)=0,"Sin datos",IFERROR(VLOOKUP(B84,Detalle!$A:$AA,$AD$1,0),"Sin datos")),"")</f>
        <v/>
      </c>
      <c r="AE84" s="327">
        <f>IFERROR(IF(VLOOKUP(B84,Detalle!$A:$AA,$AE$1,0)=0,"Sin datos",IFERROR(VLOOKUP(B84,Detalle!$A:$AA,$AE$1,0),"Sin datos")),"")</f>
        <v/>
      </c>
      <c r="AF84" s="93">
        <f>IFERROR(IF(VLOOKUP(B84,Detalle!$A:$AA,$AF$1,0)=0,"Sin datos",IFERROR(VLOOKUP(B84,Detalle!$A:$AA,$AF$1,0),"Sin datos")),"")</f>
        <v/>
      </c>
      <c r="AG84" s="327">
        <f>IFERROR(IF(VLOOKUP(B84,Detalle!$A:$AA,$AG$1,0)=0,"Sin datos",IFERROR(VLOOKUP(B84,Detalle!$A:$AA,$AG$1,0),"Sin datos")),"")</f>
        <v/>
      </c>
      <c r="AH84" s="93">
        <f>IFERROR(IF(VLOOKUP(B84,Detalle!$A:$AA,$AH$1,0)=0,"Sin datos",IFERROR(VLOOKUP(B84,Detalle!$A:$AA,$AH$1,0),"Sin datos")),"")</f>
        <v/>
      </c>
      <c r="AI84" s="98">
        <f>IF(AB84="",IF(MIN(AC84,AE84,AG84)&gt;E84,"Si","No"),IF(MIN(AC84,AG84,AG84)&gt;AB84,"Si","No"))</f>
        <v/>
      </c>
      <c r="AJ84" s="328">
        <f>MIN(AC84,AE84,AG84)</f>
        <v/>
      </c>
      <c r="AK84" s="328">
        <f>IFERROR(IF(MIN(AF84,AH84)=AD84,IF(AE84=AG84,"Escenario 5","Escenario 4"),IF(MIN(AF84,AH84)&lt;AD84,IF(AND(AD84-2&lt;=MIN(AF84,AH84),AE84&lt;&gt;AG84),"Escenario 1",IF(AND(AD84-2&lt;=MIN(AF84,AH84),AE84=AG84),"Escenario 2","Escenario 3")),IF(MIN(AF84,AH84)&gt;AD84,IF(AND(AD84+2&gt;=MIN(AF84,AH84),AE84=AG84),"Escenario 7",IF(AND(AD84+2&gt;=MIN(AF84,AH84),AE84&lt;&gt;AG84),"Escenario 6",IF(AD84+5&lt;=MIN(AF84,AH84),"Escenario 9","Escenario 8"))),"error"))),"Falta info")</f>
        <v/>
      </c>
      <c r="AL84" s="98">
        <f>IFERROR(VLOOKUP(AK84,Base!$BJ$37:$BL$45,3,0),0)</f>
        <v/>
      </c>
      <c r="AM84" s="330">
        <f>IF(LOOKUP(AK84,Base!$X$8:$BG$8)=AK84,VLOOKUP(B84,Base!E:BG,AL84,0),0)</f>
        <v/>
      </c>
      <c r="AN84" s="330" t="n">
        <v>16990</v>
      </c>
      <c r="AP84" s="331">
        <f>IF(AM84&lt;=AA84,"REVISAR!","ok")</f>
        <v/>
      </c>
    </row>
    <row customHeight="1" ht="12.95" r="85" s="183" spans="1:43">
      <c r="B85" s="108" t="s">
        <v>57</v>
      </c>
      <c r="C85" s="89" t="s">
        <v>294</v>
      </c>
      <c r="D85" s="106">
        <f>VLOOKUP(B85,Base!E:G,3,0)</f>
        <v/>
      </c>
      <c r="E85" s="326">
        <f>IFERROR(IF(VLOOKUP(B85,Detalle!$A:$AA,$E$1,0)=0,"Sin datos",IFERROR(VLOOKUP(B85,Detalle!$A:$AA,$E$1,0),"Sin datos")),"")</f>
        <v/>
      </c>
      <c r="F85" s="91">
        <f>IFERROR(IF(VLOOKUP(B85,Detalle!$A:$AA,$F$1,0)=0,"Sin datos",IFERROR(VLOOKUP(B85,Detalle!$A:$AA,$F$1,0),"Sin datos")),"")</f>
        <v/>
      </c>
      <c r="G85" s="327">
        <f>IFERROR(IF(VLOOKUP(B85,Detalle!$A:$AA,$G$1,0)=0,"Sin datos",IFERROR(VLOOKUP(B85,Detalle!$A:$AA,$G$1,0),"Sin datos")),"")</f>
        <v/>
      </c>
      <c r="H85" s="93">
        <f>IFERROR(IF(VLOOKUP(B85,Detalle!$A:$AA,$H$1,0)=0,"Sin datos",IFERROR(VLOOKUP(B85,Detalle!$A:$AA,$H$1,0),"Sin datos")),"")</f>
        <v/>
      </c>
      <c r="I85" s="327">
        <f>IFERROR(IF(VLOOKUP(B85,Detalle!$A:$AA,$I$1,0)=0,"Sin datos",IFERROR(VLOOKUP(B85,Detalle!$A:$AA,$I$1,0),"Sin datos")),"")</f>
        <v/>
      </c>
      <c r="J85" s="93">
        <f>IFERROR(IF(VLOOKUP(B85,Detalle!$A:$AA,$J$1,0)=0,"Sin datos",IFERROR(VLOOKUP(B85,Detalle!$A:$AA,$J$1,0),"Sin datos")),"")</f>
        <v/>
      </c>
      <c r="K85" s="98" t="s">
        <v>293</v>
      </c>
      <c r="L85" s="328">
        <f>MIN(E85,G85,I85)</f>
        <v/>
      </c>
      <c r="M85" s="329">
        <f>IFERROR(IF(MIN(H85,J85)=F85,IF(G85=I85,"Escenario 5","Escenario 4"),IF(MIN(H85,J85)&lt;F85,IF(AND(F85-2&lt;=MIN(H85,J85),G85&lt;&gt;I85),"Escenario 1",IF(AND(F85-2&lt;=MIN(H85,J85),G85=I85),"Escenario 2","Escenario 3")),IF(MIN(H85,J85)&gt;F85,IF(AND(F85+2&gt;=MIN(H85,J85),G85=I85),"Escenario 7",IF(AND(F85+2&gt;=MIN(H85,J85),G85&lt;&gt;I85),"Escenario 6",IF(F85+5&lt;=MIN(H85,J85),"Escenario 9","Escenario 8"))),"error"))),"Falta info")</f>
        <v/>
      </c>
      <c r="N85" s="98">
        <f>IFERROR(VLOOKUP(M85,Base!$BJ$28:$BL$36,3,0),0)</f>
        <v/>
      </c>
      <c r="O85" s="330">
        <f>IF(LOOKUP(M85,Base!$X$8:$BG$8)=M85,VLOOKUP(B85,Base!E:BG,N85,0),0)</f>
        <v/>
      </c>
      <c r="P85" s="330" t="n"/>
      <c r="Q85" s="327">
        <f>IFERROR(IF(VLOOKUP(B85,Detalle!$A:$AA,$Q$1,0)=0,"Sin datos",IFERROR(VLOOKUP(B85,Detalle!$A:$AA,$Q$1,0),"Sin datos")),"")</f>
        <v/>
      </c>
      <c r="R85" s="93">
        <f>IFERROR(IF(VLOOKUP(B85,Detalle!$A:$AA,$R$1,0)=0,"Sin datos",IFERROR(VLOOKUP(B85,Detalle!$A:$AA,$R$1,0),"Sin datos")),"")</f>
        <v/>
      </c>
      <c r="S85" s="327">
        <f>IFERROR(IF(VLOOKUP(B85,Detalle!$A:$AA,$S$1,0)=0,"Sin datos",IFERROR(VLOOKUP(B85,Detalle!$A:$AA,$S$1,0),"Sin datos")),"")</f>
        <v/>
      </c>
      <c r="T85" s="93">
        <f>IFERROR(IF(VLOOKUP(B85,Detalle!$A:$AA,$T$1,0)=0,"Sin datos",IFERROR(VLOOKUP(B85,Detalle!$A:$AA,$T$1,0),"Sin datos")),"")</f>
        <v/>
      </c>
      <c r="U85" s="327">
        <f>IFERROR(IF(VLOOKUP(B85,Detalle!$A:$AA,$U$1,0)=0,"Sin datos",IFERROR(VLOOKUP(B85,Detalle!$A:$AA,$U$1,0),"Sin datos")),"")</f>
        <v/>
      </c>
      <c r="V85" s="93">
        <f>IFERROR(IF(VLOOKUP(B85,Detalle!$A:$AA,$V$1,0)=0,"Sin datos",IFERROR(VLOOKUP(B85,Detalle!$A:$AA,$V$1,0),"Sin datos")),"")</f>
        <v/>
      </c>
      <c r="W85" s="98">
        <f>IF(P85="",IF(MIN(Q85,S85,U85)&gt;E85,"Si","No"),IF(MIN(Q85,S85,U85)&gt;P85,"Si","No"))</f>
        <v/>
      </c>
      <c r="X85" s="328">
        <f>MIN(Q85,S85,U85)</f>
        <v/>
      </c>
      <c r="Y85" s="328">
        <f>IFERROR(IF(MIN(T85,V85)=R85,IF(S85=U85,"Escenario 5","Escenario 4"),IF(MIN(T85,V85)&lt;R85,IF(AND(R85-2&lt;=MIN(T85,V85),S85&lt;&gt;U85),"Escenario 1",IF(AND(R85-2&lt;=MIN(T85,V85),S85=U85),"Escenario 2","Escenario 3")),IF(MIN(T85,V85)&gt;R85,IF(AND(R85+2&gt;=MIN(T85,V85),S85=U85),"Escenario 7",IF(AND(R85+2&gt;=MIN(T85,V85),S85&lt;&gt;U85),"Escenario 6",IF(R85+5&lt;=MIN(T85,V85),"Escenario 9","Escenario 8"))),"error"))),"Falta info")</f>
        <v/>
      </c>
      <c r="Z85" s="98">
        <f>IFERROR(VLOOKUP(Y85,Base!$BJ$19:$BL$27,3,0),0)</f>
        <v/>
      </c>
      <c r="AA85" s="330">
        <f>IF(LOOKUP(Y85,Base!$X$8:$BG$8)=Y85,VLOOKUP(B85,Base!E:BG,Z85,0),0)</f>
        <v/>
      </c>
      <c r="AB85" s="330" t="n"/>
      <c r="AC85" s="327">
        <f>IFERROR(IF(VLOOKUP(B85,Detalle!$A:$AA,$AC$1,0)=0,"Sin datos",IFERROR(VLOOKUP(B85,Detalle!$A:$AA,$AC$1,0),"Sin datos")),"")</f>
        <v/>
      </c>
      <c r="AD85" s="93">
        <f>IFERROR(IF(VLOOKUP(B85,Detalle!$A:$AA,$AD$1,0)=0,"Sin datos",IFERROR(VLOOKUP(B85,Detalle!$A:$AA,$AD$1,0),"Sin datos")),"")</f>
        <v/>
      </c>
      <c r="AE85" s="327">
        <f>IFERROR(IF(VLOOKUP(B85,Detalle!$A:$AA,$AE$1,0)=0,"Sin datos",IFERROR(VLOOKUP(B85,Detalle!$A:$AA,$AE$1,0),"Sin datos")),"")</f>
        <v/>
      </c>
      <c r="AF85" s="93">
        <f>IFERROR(IF(VLOOKUP(B85,Detalle!$A:$AA,$AF$1,0)=0,"Sin datos",IFERROR(VLOOKUP(B85,Detalle!$A:$AA,$AF$1,0),"Sin datos")),"")</f>
        <v/>
      </c>
      <c r="AG85" s="327">
        <f>IFERROR(IF(VLOOKUP(B85,Detalle!$A:$AA,$AG$1,0)=0,"Sin datos",IFERROR(VLOOKUP(B85,Detalle!$A:$AA,$AG$1,0),"Sin datos")),"")</f>
        <v/>
      </c>
      <c r="AH85" s="93">
        <f>IFERROR(IF(VLOOKUP(B85,Detalle!$A:$AA,$AH$1,0)=0,"Sin datos",IFERROR(VLOOKUP(B85,Detalle!$A:$AA,$AH$1,0),"Sin datos")),"")</f>
        <v/>
      </c>
      <c r="AI85" s="98">
        <f>IF(AB85="",IF(MIN(AC85,AE85,AG85)&gt;E85,"Si","No"),IF(MIN(AC85,AG85,AG85)&gt;AB85,"Si","No"))</f>
        <v/>
      </c>
      <c r="AJ85" s="328">
        <f>MIN(AC85,AE85,AG85)</f>
        <v/>
      </c>
      <c r="AK85" s="328">
        <f>IFERROR(IF(MIN(AF85,AH85)=AD85,IF(AE85=AG85,"Escenario 5","Escenario 4"),IF(MIN(AF85,AH85)&lt;AD85,IF(AND(AD85-2&lt;=MIN(AF85,AH85),AE85&lt;&gt;AG85),"Escenario 1",IF(AND(AD85-2&lt;=MIN(AF85,AH85),AE85=AG85),"Escenario 2","Escenario 3")),IF(MIN(AF85,AH85)&gt;AD85,IF(AND(AD85+2&gt;=MIN(AF85,AH85),AE85=AG85),"Escenario 7",IF(AND(AD85+2&gt;=MIN(AF85,AH85),AE85&lt;&gt;AG85),"Escenario 6",IF(AD85+5&lt;=MIN(AF85,AH85),"Escenario 9","Escenario 8"))),"error"))),"Falta info")</f>
        <v/>
      </c>
      <c r="AL85" s="98">
        <f>IFERROR(VLOOKUP(AK85,Base!$BJ$37:$BL$45,3,0),0)</f>
        <v/>
      </c>
      <c r="AM85" s="330">
        <f>IF(LOOKUP(AK85,Base!$X$8:$BG$8)=AK85,VLOOKUP(B85,Base!E:BG,AL85,0),0)</f>
        <v/>
      </c>
      <c r="AN85" s="330" t="n">
        <v>16990</v>
      </c>
      <c r="AP85" s="331">
        <f>IF(AM85&lt;=AA85,"REVISAR!","ok")</f>
        <v/>
      </c>
    </row>
    <row customHeight="1" ht="12.95" r="86" s="183" spans="1:43">
      <c r="B86" s="108" t="s">
        <v>55</v>
      </c>
      <c r="C86" s="89" t="s">
        <v>294</v>
      </c>
      <c r="D86" s="106">
        <f>VLOOKUP(B86,Base!E:G,3,0)</f>
        <v/>
      </c>
      <c r="E86" s="326">
        <f>IFERROR(IF(VLOOKUP(B86,Detalle!$A:$AA,$E$1,0)=0,"Sin datos",IFERROR(VLOOKUP(B86,Detalle!$A:$AA,$E$1,0),"Sin datos")),"")</f>
        <v/>
      </c>
      <c r="F86" s="91">
        <f>IFERROR(IF(VLOOKUP(B86,Detalle!$A:$AA,$F$1,0)=0,"Sin datos",IFERROR(VLOOKUP(B86,Detalle!$A:$AA,$F$1,0),"Sin datos")),"")</f>
        <v/>
      </c>
      <c r="G86" s="327">
        <f>IFERROR(IF(VLOOKUP(B86,Detalle!$A:$AA,$G$1,0)=0,"Sin datos",IFERROR(VLOOKUP(B86,Detalle!$A:$AA,$G$1,0),"Sin datos")),"")</f>
        <v/>
      </c>
      <c r="H86" s="93">
        <f>IFERROR(IF(VLOOKUP(B86,Detalle!$A:$AA,$H$1,0)=0,"Sin datos",IFERROR(VLOOKUP(B86,Detalle!$A:$AA,$H$1,0),"Sin datos")),"")</f>
        <v/>
      </c>
      <c r="I86" s="327">
        <f>IFERROR(IF(VLOOKUP(B86,Detalle!$A:$AA,$I$1,0)=0,"Sin datos",IFERROR(VLOOKUP(B86,Detalle!$A:$AA,$I$1,0),"Sin datos")),"")</f>
        <v/>
      </c>
      <c r="J86" s="93">
        <f>IFERROR(IF(VLOOKUP(B86,Detalle!$A:$AA,$J$1,0)=0,"Sin datos",IFERROR(VLOOKUP(B86,Detalle!$A:$AA,$J$1,0),"Sin datos")),"")</f>
        <v/>
      </c>
      <c r="K86" s="98" t="s">
        <v>293</v>
      </c>
      <c r="L86" s="328">
        <f>MIN(E86,G86,I86)</f>
        <v/>
      </c>
      <c r="M86" s="329">
        <f>IFERROR(IF(MIN(H86,J86)=F86,IF(G86=I86,"Escenario 5","Escenario 4"),IF(MIN(H86,J86)&lt;F86,IF(AND(F86-2&lt;=MIN(H86,J86),G86&lt;&gt;I86),"Escenario 1",IF(AND(F86-2&lt;=MIN(H86,J86),G86=I86),"Escenario 2","Escenario 3")),IF(MIN(H86,J86)&gt;F86,IF(AND(F86+2&gt;=MIN(H86,J86),G86=I86),"Escenario 7",IF(AND(F86+2&gt;=MIN(H86,J86),G86&lt;&gt;I86),"Escenario 6",IF(F86+5&lt;=MIN(H86,J86),"Escenario 9","Escenario 8"))),"error"))),"Falta info")</f>
        <v/>
      </c>
      <c r="N86" s="98">
        <f>IFERROR(VLOOKUP(M86,Base!$BJ$28:$BL$36,3,0),0)</f>
        <v/>
      </c>
      <c r="O86" s="330">
        <f>IF(LOOKUP(M86,Base!$X$8:$BG$8)=M86,VLOOKUP(B86,Base!E:BG,N86,0),0)</f>
        <v/>
      </c>
      <c r="P86" s="330" t="n"/>
      <c r="Q86" s="327">
        <f>IFERROR(IF(VLOOKUP(B86,Detalle!$A:$AA,$Q$1,0)=0,"Sin datos",IFERROR(VLOOKUP(B86,Detalle!$A:$AA,$Q$1,0),"Sin datos")),"")</f>
        <v/>
      </c>
      <c r="R86" s="93">
        <f>IFERROR(IF(VLOOKUP(B86,Detalle!$A:$AA,$R$1,0)=0,"Sin datos",IFERROR(VLOOKUP(B86,Detalle!$A:$AA,$R$1,0),"Sin datos")),"")</f>
        <v/>
      </c>
      <c r="S86" s="327">
        <f>IFERROR(IF(VLOOKUP(B86,Detalle!$A:$AA,$S$1,0)=0,"Sin datos",IFERROR(VLOOKUP(B86,Detalle!$A:$AA,$S$1,0),"Sin datos")),"")</f>
        <v/>
      </c>
      <c r="T86" s="93">
        <f>IFERROR(IF(VLOOKUP(B86,Detalle!$A:$AA,$T$1,0)=0,"Sin datos",IFERROR(VLOOKUP(B86,Detalle!$A:$AA,$T$1,0),"Sin datos")),"")</f>
        <v/>
      </c>
      <c r="U86" s="327">
        <f>IFERROR(IF(VLOOKUP(B86,Detalle!$A:$AA,$U$1,0)=0,"Sin datos",IFERROR(VLOOKUP(B86,Detalle!$A:$AA,$U$1,0),"Sin datos")),"")</f>
        <v/>
      </c>
      <c r="V86" s="93">
        <f>IFERROR(IF(VLOOKUP(B86,Detalle!$A:$AA,$V$1,0)=0,"Sin datos",IFERROR(VLOOKUP(B86,Detalle!$A:$AA,$V$1,0),"Sin datos")),"")</f>
        <v/>
      </c>
      <c r="W86" s="98">
        <f>IF(P86="",IF(MIN(Q86,S86,U86)&gt;E86,"Si","No"),IF(MIN(Q86,S86,U86)&gt;P86,"Si","No"))</f>
        <v/>
      </c>
      <c r="X86" s="328">
        <f>MIN(Q86,S86,U86)</f>
        <v/>
      </c>
      <c r="Y86" s="328">
        <f>IFERROR(IF(MIN(T86,V86)=R86,IF(S86=U86,"Escenario 5","Escenario 4"),IF(MIN(T86,V86)&lt;R86,IF(AND(R86-2&lt;=MIN(T86,V86),S86&lt;&gt;U86),"Escenario 1",IF(AND(R86-2&lt;=MIN(T86,V86),S86=U86),"Escenario 2","Escenario 3")),IF(MIN(T86,V86)&gt;R86,IF(AND(R86+2&gt;=MIN(T86,V86),S86=U86),"Escenario 7",IF(AND(R86+2&gt;=MIN(T86,V86),S86&lt;&gt;U86),"Escenario 6",IF(R86+5&lt;=MIN(T86,V86),"Escenario 9","Escenario 8"))),"error"))),"Falta info")</f>
        <v/>
      </c>
      <c r="Z86" s="98">
        <f>IFERROR(VLOOKUP(Y86,Base!$BJ$19:$BL$27,3,0),0)</f>
        <v/>
      </c>
      <c r="AA86" s="330">
        <f>IF(LOOKUP(Y86,Base!$X$8:$BG$8)=Y86,VLOOKUP(B86,Base!E:BG,Z86,0),0)</f>
        <v/>
      </c>
      <c r="AB86" s="330" t="n"/>
      <c r="AC86" s="327">
        <f>IFERROR(IF(VLOOKUP(B86,Detalle!$A:$AA,$AC$1,0)=0,"Sin datos",IFERROR(VLOOKUP(B86,Detalle!$A:$AA,$AC$1,0),"Sin datos")),"")</f>
        <v/>
      </c>
      <c r="AD86" s="93">
        <f>IFERROR(IF(VLOOKUP(B86,Detalle!$A:$AA,$AD$1,0)=0,"Sin datos",IFERROR(VLOOKUP(B86,Detalle!$A:$AA,$AD$1,0),"Sin datos")),"")</f>
        <v/>
      </c>
      <c r="AE86" s="327">
        <f>IFERROR(IF(VLOOKUP(B86,Detalle!$A:$AA,$AE$1,0)=0,"Sin datos",IFERROR(VLOOKUP(B86,Detalle!$A:$AA,$AE$1,0),"Sin datos")),"")</f>
        <v/>
      </c>
      <c r="AF86" s="93">
        <f>IFERROR(IF(VLOOKUP(B86,Detalle!$A:$AA,$AF$1,0)=0,"Sin datos",IFERROR(VLOOKUP(B86,Detalle!$A:$AA,$AF$1,0),"Sin datos")),"")</f>
        <v/>
      </c>
      <c r="AG86" s="327">
        <f>IFERROR(IF(VLOOKUP(B86,Detalle!$A:$AA,$AG$1,0)=0,"Sin datos",IFERROR(VLOOKUP(B86,Detalle!$A:$AA,$AG$1,0),"Sin datos")),"")</f>
        <v/>
      </c>
      <c r="AH86" s="93">
        <f>IFERROR(IF(VLOOKUP(B86,Detalle!$A:$AA,$AH$1,0)=0,"Sin datos",IFERROR(VLOOKUP(B86,Detalle!$A:$AA,$AH$1,0),"Sin datos")),"")</f>
        <v/>
      </c>
      <c r="AI86" s="98">
        <f>IF(AB86="",IF(MIN(AC86,AE86,AG86)&gt;E86,"Si","No"),IF(MIN(AC86,AG86,AG86)&gt;AB86,"Si","No"))</f>
        <v/>
      </c>
      <c r="AJ86" s="328">
        <f>MIN(AC86,AE86,AG86)</f>
        <v/>
      </c>
      <c r="AK86" s="328">
        <f>IFERROR(IF(MIN(AF86,AH86)=AD86,IF(AE86=AG86,"Escenario 5","Escenario 4"),IF(MIN(AF86,AH86)&lt;AD86,IF(AND(AD86-2&lt;=MIN(AF86,AH86),AE86&lt;&gt;AG86),"Escenario 1",IF(AND(AD86-2&lt;=MIN(AF86,AH86),AE86=AG86),"Escenario 2","Escenario 3")),IF(MIN(AF86,AH86)&gt;AD86,IF(AND(AD86+2&gt;=MIN(AF86,AH86),AE86=AG86),"Escenario 7",IF(AND(AD86+2&gt;=MIN(AF86,AH86),AE86&lt;&gt;AG86),"Escenario 6",IF(AD86+5&lt;=MIN(AF86,AH86),"Escenario 9","Escenario 8"))),"error"))),"Falta info")</f>
        <v/>
      </c>
      <c r="AL86" s="98">
        <f>IFERROR(VLOOKUP(AK86,Base!$BJ$37:$BL$45,3,0),0)</f>
        <v/>
      </c>
      <c r="AM86" s="330">
        <f>IF(LOOKUP(AK86,Base!$X$8:$BG$8)=AK86,VLOOKUP(B86,Base!E:BG,AL86,0),0)</f>
        <v/>
      </c>
      <c r="AN86" s="330" t="n">
        <v>16990</v>
      </c>
      <c r="AP86" s="331">
        <f>IF(AM86&lt;=AA86,"REVISAR!","ok")</f>
        <v/>
      </c>
    </row>
    <row customHeight="1" ht="12.95" r="87" s="183" spans="1:43">
      <c r="B87" s="108" t="s">
        <v>103</v>
      </c>
      <c r="C87" s="89" t="s">
        <v>294</v>
      </c>
      <c r="D87" s="106">
        <f>VLOOKUP(B87,Base!E:G,3,0)</f>
        <v/>
      </c>
      <c r="E87" s="326">
        <f>IFERROR(IF(VLOOKUP(B87,Detalle!$A:$AA,$E$1,0)=0,"Sin datos",IFERROR(VLOOKUP(B87,Detalle!$A:$AA,$E$1,0),"Sin datos")),"")</f>
        <v/>
      </c>
      <c r="F87" s="91">
        <f>IFERROR(IF(VLOOKUP(B87,Detalle!$A:$AA,$F$1,0)=0,"Sin datos",IFERROR(VLOOKUP(B87,Detalle!$A:$AA,$F$1,0),"Sin datos")),"")</f>
        <v/>
      </c>
      <c r="G87" s="327">
        <f>IFERROR(IF(VLOOKUP(B87,Detalle!$A:$AA,$G$1,0)=0,"Sin datos",IFERROR(VLOOKUP(B87,Detalle!$A:$AA,$G$1,0),"Sin datos")),"")</f>
        <v/>
      </c>
      <c r="H87" s="93">
        <f>IFERROR(IF(VLOOKUP(B87,Detalle!$A:$AA,$H$1,0)=0,"Sin datos",IFERROR(VLOOKUP(B87,Detalle!$A:$AA,$H$1,0),"Sin datos")),"")</f>
        <v/>
      </c>
      <c r="I87" s="327">
        <f>IFERROR(IF(VLOOKUP(B87,Detalle!$A:$AA,$I$1,0)=0,"Sin datos",IFERROR(VLOOKUP(B87,Detalle!$A:$AA,$I$1,0),"Sin datos")),"")</f>
        <v/>
      </c>
      <c r="J87" s="93">
        <f>IFERROR(IF(VLOOKUP(B87,Detalle!$A:$AA,$J$1,0)=0,"Sin datos",IFERROR(VLOOKUP(B87,Detalle!$A:$AA,$J$1,0),"Sin datos")),"")</f>
        <v/>
      </c>
      <c r="K87" s="98" t="s">
        <v>293</v>
      </c>
      <c r="L87" s="328">
        <f>MIN(E87,G87,I87)</f>
        <v/>
      </c>
      <c r="M87" s="329">
        <f>IFERROR(IF(MIN(H87,J87)=F87,IF(G87=I87,"Escenario 5","Escenario 4"),IF(MIN(H87,J87)&lt;F87,IF(AND(F87-2&lt;=MIN(H87,J87),G87&lt;&gt;I87),"Escenario 1",IF(AND(F87-2&lt;=MIN(H87,J87),G87=I87),"Escenario 2","Escenario 3")),IF(MIN(H87,J87)&gt;F87,IF(AND(F87+2&gt;=MIN(H87,J87),G87=I87),"Escenario 7",IF(AND(F87+2&gt;=MIN(H87,J87),G87&lt;&gt;I87),"Escenario 6",IF(F87+5&lt;=MIN(H87,J87),"Escenario 9","Escenario 8"))),"error"))),"Falta info")</f>
        <v/>
      </c>
      <c r="N87" s="98">
        <f>IFERROR(VLOOKUP(M87,Base!$BJ$28:$BL$36,3,0),0)</f>
        <v/>
      </c>
      <c r="O87" s="330">
        <f>IF(LOOKUP(M87,Base!$X$8:$BG$8)=M87,VLOOKUP(B87,Base!E:BG,N87,0),0)</f>
        <v/>
      </c>
      <c r="P87" s="330" t="n"/>
      <c r="Q87" s="327">
        <f>IFERROR(IF(VLOOKUP(B87,Detalle!$A:$AA,$Q$1,0)=0,"Sin datos",IFERROR(VLOOKUP(B87,Detalle!$A:$AA,$Q$1,0),"Sin datos")),"")</f>
        <v/>
      </c>
      <c r="R87" s="93">
        <f>IFERROR(IF(VLOOKUP(B87,Detalle!$A:$AA,$R$1,0)=0,"Sin datos",IFERROR(VLOOKUP(B87,Detalle!$A:$AA,$R$1,0),"Sin datos")),"")</f>
        <v/>
      </c>
      <c r="S87" s="327">
        <f>IFERROR(IF(VLOOKUP(B87,Detalle!$A:$AA,$S$1,0)=0,"Sin datos",IFERROR(VLOOKUP(B87,Detalle!$A:$AA,$S$1,0),"Sin datos")),"")</f>
        <v/>
      </c>
      <c r="T87" s="93">
        <f>IFERROR(IF(VLOOKUP(B87,Detalle!$A:$AA,$T$1,0)=0,"Sin datos",IFERROR(VLOOKUP(B87,Detalle!$A:$AA,$T$1,0),"Sin datos")),"")</f>
        <v/>
      </c>
      <c r="U87" s="327">
        <f>IFERROR(IF(VLOOKUP(B87,Detalle!$A:$AA,$U$1,0)=0,"Sin datos",IFERROR(VLOOKUP(B87,Detalle!$A:$AA,$U$1,0),"Sin datos")),"")</f>
        <v/>
      </c>
      <c r="V87" s="93">
        <f>IFERROR(IF(VLOOKUP(B87,Detalle!$A:$AA,$V$1,0)=0,"Sin datos",IFERROR(VLOOKUP(B87,Detalle!$A:$AA,$V$1,0),"Sin datos")),"")</f>
        <v/>
      </c>
      <c r="W87" s="98">
        <f>IF(P87="",IF(MIN(Q87,S87,U87)&gt;E87,"Si","No"),IF(MIN(Q87,S87,U87)&gt;P87,"Si","No"))</f>
        <v/>
      </c>
      <c r="X87" s="328">
        <f>MIN(Q87,S87,U87)</f>
        <v/>
      </c>
      <c r="Y87" s="328">
        <f>IFERROR(IF(MIN(T87,V87)=R87,IF(S87=U87,"Escenario 5","Escenario 4"),IF(MIN(T87,V87)&lt;R87,IF(AND(R87-2&lt;=MIN(T87,V87),S87&lt;&gt;U87),"Escenario 1",IF(AND(R87-2&lt;=MIN(T87,V87),S87=U87),"Escenario 2","Escenario 3")),IF(MIN(T87,V87)&gt;R87,IF(AND(R87+2&gt;=MIN(T87,V87),S87=U87),"Escenario 7",IF(AND(R87+2&gt;=MIN(T87,V87),S87&lt;&gt;U87),"Escenario 6",IF(R87+5&lt;=MIN(T87,V87),"Escenario 9","Escenario 8"))),"error"))),"Falta info")</f>
        <v/>
      </c>
      <c r="Z87" s="98">
        <f>IFERROR(VLOOKUP(Y87,Base!$BJ$19:$BL$27,3,0),0)</f>
        <v/>
      </c>
      <c r="AA87" s="330">
        <f>IF(LOOKUP(Y87,Base!$X$8:$BG$8)=Y87,VLOOKUP(B87,Base!E:BG,Z87,0),0)</f>
        <v/>
      </c>
      <c r="AB87" s="330" t="n"/>
      <c r="AC87" s="327">
        <f>IFERROR(IF(VLOOKUP(B87,Detalle!$A:$AA,$AC$1,0)=0,"Sin datos",IFERROR(VLOOKUP(B87,Detalle!$A:$AA,$AC$1,0),"Sin datos")),"")</f>
        <v/>
      </c>
      <c r="AD87" s="93">
        <f>IFERROR(IF(VLOOKUP(B87,Detalle!$A:$AA,$AD$1,0)=0,"Sin datos",IFERROR(VLOOKUP(B87,Detalle!$A:$AA,$AD$1,0),"Sin datos")),"")</f>
        <v/>
      </c>
      <c r="AE87" s="327">
        <f>IFERROR(IF(VLOOKUP(B87,Detalle!$A:$AA,$AE$1,0)=0,"Sin datos",IFERROR(VLOOKUP(B87,Detalle!$A:$AA,$AE$1,0),"Sin datos")),"")</f>
        <v/>
      </c>
      <c r="AF87" s="93">
        <f>IFERROR(IF(VLOOKUP(B87,Detalle!$A:$AA,$AF$1,0)=0,"Sin datos",IFERROR(VLOOKUP(B87,Detalle!$A:$AA,$AF$1,0),"Sin datos")),"")</f>
        <v/>
      </c>
      <c r="AG87" s="327">
        <f>IFERROR(IF(VLOOKUP(B87,Detalle!$A:$AA,$AG$1,0)=0,"Sin datos",IFERROR(VLOOKUP(B87,Detalle!$A:$AA,$AG$1,0),"Sin datos")),"")</f>
        <v/>
      </c>
      <c r="AH87" s="93">
        <f>IFERROR(IF(VLOOKUP(B87,Detalle!$A:$AA,$AH$1,0)=0,"Sin datos",IFERROR(VLOOKUP(B87,Detalle!$A:$AA,$AH$1,0),"Sin datos")),"")</f>
        <v/>
      </c>
      <c r="AI87" s="98">
        <f>IF(AB87="",IF(MIN(AC87,AE87,AG87)&gt;E87,"Si","No"),IF(MIN(AC87,AG87,AG87)&gt;AB87,"Si","No"))</f>
        <v/>
      </c>
      <c r="AJ87" s="328">
        <f>MIN(AC87,AE87,AG87)</f>
        <v/>
      </c>
      <c r="AK87" s="328">
        <f>IFERROR(IF(MIN(AF87,AH87)=AD87,IF(AE87=AG87,"Escenario 5","Escenario 4"),IF(MIN(AF87,AH87)&lt;AD87,IF(AND(AD87-2&lt;=MIN(AF87,AH87),AE87&lt;&gt;AG87),"Escenario 1",IF(AND(AD87-2&lt;=MIN(AF87,AH87),AE87=AG87),"Escenario 2","Escenario 3")),IF(MIN(AF87,AH87)&gt;AD87,IF(AND(AD87+2&gt;=MIN(AF87,AH87),AE87=AG87),"Escenario 7",IF(AND(AD87+2&gt;=MIN(AF87,AH87),AE87&lt;&gt;AG87),"Escenario 6",IF(AD87+5&lt;=MIN(AF87,AH87),"Escenario 9","Escenario 8"))),"error"))),"Falta info")</f>
        <v/>
      </c>
      <c r="AL87" s="98">
        <f>IFERROR(VLOOKUP(AK87,Base!$BJ$37:$BL$45,3,0),0)</f>
        <v/>
      </c>
      <c r="AM87" s="330">
        <f>IF(LOOKUP(AK87,Base!$X$8:$BG$8)=AK87,VLOOKUP(B87,Base!E:BG,AL87,0),0)</f>
        <v/>
      </c>
      <c r="AN87" s="330" t="n">
        <v>16990</v>
      </c>
      <c r="AP87" s="331">
        <f>IF(AM87&lt;=AA87,"REVISAR!","ok")</f>
        <v/>
      </c>
    </row>
    <row customHeight="1" ht="12.95" r="88" s="183" spans="1:43">
      <c r="B88" s="108" t="s">
        <v>60</v>
      </c>
      <c r="C88" s="89" t="s">
        <v>294</v>
      </c>
      <c r="D88" s="106">
        <f>VLOOKUP(B88,Base!E:G,3,0)</f>
        <v/>
      </c>
      <c r="E88" s="326">
        <f>IFERROR(IF(VLOOKUP(B88,Detalle!$A:$AA,$E$1,0)=0,"Sin datos",IFERROR(VLOOKUP(B88,Detalle!$A:$AA,$E$1,0),"Sin datos")),"")</f>
        <v/>
      </c>
      <c r="F88" s="91">
        <f>IFERROR(IF(VLOOKUP(B88,Detalle!$A:$AA,$F$1,0)=0,"Sin datos",IFERROR(VLOOKUP(B88,Detalle!$A:$AA,$F$1,0),"Sin datos")),"")</f>
        <v/>
      </c>
      <c r="G88" s="327">
        <f>IFERROR(IF(VLOOKUP(B88,Detalle!$A:$AA,$G$1,0)=0,"Sin datos",IFERROR(VLOOKUP(B88,Detalle!$A:$AA,$G$1,0),"Sin datos")),"")</f>
        <v/>
      </c>
      <c r="H88" s="93">
        <f>IFERROR(IF(VLOOKUP(B88,Detalle!$A:$AA,$H$1,0)=0,"Sin datos",IFERROR(VLOOKUP(B88,Detalle!$A:$AA,$H$1,0),"Sin datos")),"")</f>
        <v/>
      </c>
      <c r="I88" s="327">
        <f>IFERROR(IF(VLOOKUP(B88,Detalle!$A:$AA,$I$1,0)=0,"Sin datos",IFERROR(VLOOKUP(B88,Detalle!$A:$AA,$I$1,0),"Sin datos")),"")</f>
        <v/>
      </c>
      <c r="J88" s="93">
        <f>IFERROR(IF(VLOOKUP(B88,Detalle!$A:$AA,$J$1,0)=0,"Sin datos",IFERROR(VLOOKUP(B88,Detalle!$A:$AA,$J$1,0),"Sin datos")),"")</f>
        <v/>
      </c>
      <c r="K88" s="98" t="s">
        <v>293</v>
      </c>
      <c r="L88" s="328">
        <f>MIN(E88,G88,I88)</f>
        <v/>
      </c>
      <c r="M88" s="329">
        <f>IFERROR(IF(MIN(H88,J88)=F88,IF(G88=I88,"Escenario 5","Escenario 4"),IF(MIN(H88,J88)&lt;F88,IF(AND(F88-2&lt;=MIN(H88,J88),G88&lt;&gt;I88),"Escenario 1",IF(AND(F88-2&lt;=MIN(H88,J88),G88=I88),"Escenario 2","Escenario 3")),IF(MIN(H88,J88)&gt;F88,IF(AND(F88+2&gt;=MIN(H88,J88),G88=I88),"Escenario 7",IF(AND(F88+2&gt;=MIN(H88,J88),G88&lt;&gt;I88),"Escenario 6",IF(F88+5&lt;=MIN(H88,J88),"Escenario 9","Escenario 8"))),"error"))),"Falta info")</f>
        <v/>
      </c>
      <c r="N88" s="98">
        <f>IFERROR(VLOOKUP(M88,Base!$BJ$28:$BL$36,3,0),0)</f>
        <v/>
      </c>
      <c r="O88" s="330">
        <f>IF(LOOKUP(M88,Base!$X$8:$BG$8)=M88,VLOOKUP(B88,Base!E:BG,N88,0),0)</f>
        <v/>
      </c>
      <c r="P88" s="330" t="n"/>
      <c r="Q88" s="327">
        <f>IFERROR(IF(VLOOKUP(B88,Detalle!$A:$AA,$Q$1,0)=0,"Sin datos",IFERROR(VLOOKUP(B88,Detalle!$A:$AA,$Q$1,0),"Sin datos")),"")</f>
        <v/>
      </c>
      <c r="R88" s="93">
        <f>IFERROR(IF(VLOOKUP(B88,Detalle!$A:$AA,$R$1,0)=0,"Sin datos",IFERROR(VLOOKUP(B88,Detalle!$A:$AA,$R$1,0),"Sin datos")),"")</f>
        <v/>
      </c>
      <c r="S88" s="327">
        <f>IFERROR(IF(VLOOKUP(B88,Detalle!$A:$AA,$S$1,0)=0,"Sin datos",IFERROR(VLOOKUP(B88,Detalle!$A:$AA,$S$1,0),"Sin datos")),"")</f>
        <v/>
      </c>
      <c r="T88" s="93">
        <f>IFERROR(IF(VLOOKUP(B88,Detalle!$A:$AA,$T$1,0)=0,"Sin datos",IFERROR(VLOOKUP(B88,Detalle!$A:$AA,$T$1,0),"Sin datos")),"")</f>
        <v/>
      </c>
      <c r="U88" s="327">
        <f>IFERROR(IF(VLOOKUP(B88,Detalle!$A:$AA,$U$1,0)=0,"Sin datos",IFERROR(VLOOKUP(B88,Detalle!$A:$AA,$U$1,0),"Sin datos")),"")</f>
        <v/>
      </c>
      <c r="V88" s="93">
        <f>IFERROR(IF(VLOOKUP(B88,Detalle!$A:$AA,$V$1,0)=0,"Sin datos",IFERROR(VLOOKUP(B88,Detalle!$A:$AA,$V$1,0),"Sin datos")),"")</f>
        <v/>
      </c>
      <c r="W88" s="98">
        <f>IF(P88="",IF(MIN(Q88,S88,U88)&gt;E88,"Si","No"),IF(MIN(Q88,S88,U88)&gt;P88,"Si","No"))</f>
        <v/>
      </c>
      <c r="X88" s="328">
        <f>MIN(Q88,S88,U88)</f>
        <v/>
      </c>
      <c r="Y88" s="328">
        <f>IFERROR(IF(MIN(T88,V88)=R88,IF(S88=U88,"Escenario 5","Escenario 4"),IF(MIN(T88,V88)&lt;R88,IF(AND(R88-2&lt;=MIN(T88,V88),S88&lt;&gt;U88),"Escenario 1",IF(AND(R88-2&lt;=MIN(T88,V88),S88=U88),"Escenario 2","Escenario 3")),IF(MIN(T88,V88)&gt;R88,IF(AND(R88+2&gt;=MIN(T88,V88),S88=U88),"Escenario 7",IF(AND(R88+2&gt;=MIN(T88,V88),S88&lt;&gt;U88),"Escenario 6",IF(R88+5&lt;=MIN(T88,V88),"Escenario 9","Escenario 8"))),"error"))),"Falta info")</f>
        <v/>
      </c>
      <c r="Z88" s="98">
        <f>IFERROR(VLOOKUP(Y88,Base!$BJ$19:$BL$27,3,0),0)</f>
        <v/>
      </c>
      <c r="AA88" s="330">
        <f>IF(LOOKUP(Y88,Base!$X$8:$BG$8)=Y88,VLOOKUP(B88,Base!E:BG,Z88,0),0)</f>
        <v/>
      </c>
      <c r="AB88" s="330" t="n"/>
      <c r="AC88" s="327">
        <f>IFERROR(IF(VLOOKUP(B88,Detalle!$A:$AA,$AC$1,0)=0,"Sin datos",IFERROR(VLOOKUP(B88,Detalle!$A:$AA,$AC$1,0),"Sin datos")),"")</f>
        <v/>
      </c>
      <c r="AD88" s="93">
        <f>IFERROR(IF(VLOOKUP(B88,Detalle!$A:$AA,$AD$1,0)=0,"Sin datos",IFERROR(VLOOKUP(B88,Detalle!$A:$AA,$AD$1,0),"Sin datos")),"")</f>
        <v/>
      </c>
      <c r="AE88" s="327">
        <f>IFERROR(IF(VLOOKUP(B88,Detalle!$A:$AA,$AE$1,0)=0,"Sin datos",IFERROR(VLOOKUP(B88,Detalle!$A:$AA,$AE$1,0),"Sin datos")),"")</f>
        <v/>
      </c>
      <c r="AF88" s="93">
        <f>IFERROR(IF(VLOOKUP(B88,Detalle!$A:$AA,$AF$1,0)=0,"Sin datos",IFERROR(VLOOKUP(B88,Detalle!$A:$AA,$AF$1,0),"Sin datos")),"")</f>
        <v/>
      </c>
      <c r="AG88" s="327">
        <f>IFERROR(IF(VLOOKUP(B88,Detalle!$A:$AA,$AG$1,0)=0,"Sin datos",IFERROR(VLOOKUP(B88,Detalle!$A:$AA,$AG$1,0),"Sin datos")),"")</f>
        <v/>
      </c>
      <c r="AH88" s="93">
        <f>IFERROR(IF(VLOOKUP(B88,Detalle!$A:$AA,$AH$1,0)=0,"Sin datos",IFERROR(VLOOKUP(B88,Detalle!$A:$AA,$AH$1,0),"Sin datos")),"")</f>
        <v/>
      </c>
      <c r="AI88" s="98">
        <f>IF(AB88="",IF(MIN(AC88,AE88,AG88)&gt;E88,"Si","No"),IF(MIN(AC88,AG88,AG88)&gt;AB88,"Si","No"))</f>
        <v/>
      </c>
      <c r="AJ88" s="328">
        <f>MIN(AC88,AE88,AG88)</f>
        <v/>
      </c>
      <c r="AK88" s="328">
        <f>IFERROR(IF(MIN(AF88,AH88)=AD88,IF(AE88=AG88,"Escenario 5","Escenario 4"),IF(MIN(AF88,AH88)&lt;AD88,IF(AND(AD88-2&lt;=MIN(AF88,AH88),AE88&lt;&gt;AG88),"Escenario 1",IF(AND(AD88-2&lt;=MIN(AF88,AH88),AE88=AG88),"Escenario 2","Escenario 3")),IF(MIN(AF88,AH88)&gt;AD88,IF(AND(AD88+2&gt;=MIN(AF88,AH88),AE88=AG88),"Escenario 7",IF(AND(AD88+2&gt;=MIN(AF88,AH88),AE88&lt;&gt;AG88),"Escenario 6",IF(AD88+5&lt;=MIN(AF88,AH88),"Escenario 9","Escenario 8"))),"error"))),"Falta info")</f>
        <v/>
      </c>
      <c r="AL88" s="98">
        <f>IFERROR(VLOOKUP(AK88,Base!$BJ$37:$BL$45,3,0),0)</f>
        <v/>
      </c>
      <c r="AM88" s="330">
        <f>IF(LOOKUP(AK88,Base!$X$8:$BG$8)=AK88,VLOOKUP(B88,Base!E:BG,AL88,0),0)</f>
        <v/>
      </c>
      <c r="AN88" s="330" t="n"/>
      <c r="AP88" s="331">
        <f>IF(AM88&lt;=AA88,"REVISAR!","ok")</f>
        <v/>
      </c>
    </row>
    <row customHeight="1" ht="12.95" r="89" s="183" spans="1:43">
      <c r="B89" s="108" t="s">
        <v>59</v>
      </c>
      <c r="C89" s="89" t="s">
        <v>294</v>
      </c>
      <c r="D89" s="106">
        <f>VLOOKUP(B89,Base!E:G,3,0)</f>
        <v/>
      </c>
      <c r="E89" s="326">
        <f>IFERROR(IF(VLOOKUP(B89,Detalle!$A:$AA,$E$1,0)=0,"Sin datos",IFERROR(VLOOKUP(B89,Detalle!$A:$AA,$E$1,0),"Sin datos")),"")</f>
        <v/>
      </c>
      <c r="F89" s="91">
        <f>IFERROR(IF(VLOOKUP(B89,Detalle!$A:$AA,$F$1,0)=0,"Sin datos",IFERROR(VLOOKUP(B89,Detalle!$A:$AA,$F$1,0),"Sin datos")),"")</f>
        <v/>
      </c>
      <c r="G89" s="327">
        <f>IFERROR(IF(VLOOKUP(B89,Detalle!$A:$AA,$G$1,0)=0,"Sin datos",IFERROR(VLOOKUP(B89,Detalle!$A:$AA,$G$1,0),"Sin datos")),"")</f>
        <v/>
      </c>
      <c r="H89" s="93">
        <f>IFERROR(IF(VLOOKUP(B89,Detalle!$A:$AA,$H$1,0)=0,"Sin datos",IFERROR(VLOOKUP(B89,Detalle!$A:$AA,$H$1,0),"Sin datos")),"")</f>
        <v/>
      </c>
      <c r="I89" s="327">
        <f>IFERROR(IF(VLOOKUP(B89,Detalle!$A:$AA,$I$1,0)=0,"Sin datos",IFERROR(VLOOKUP(B89,Detalle!$A:$AA,$I$1,0),"Sin datos")),"")</f>
        <v/>
      </c>
      <c r="J89" s="93">
        <f>IFERROR(IF(VLOOKUP(B89,Detalle!$A:$AA,$J$1,0)=0,"Sin datos",IFERROR(VLOOKUP(B89,Detalle!$A:$AA,$J$1,0),"Sin datos")),"")</f>
        <v/>
      </c>
      <c r="K89" s="98" t="s">
        <v>293</v>
      </c>
      <c r="L89" s="328">
        <f>MIN(E89,G89,I89)</f>
        <v/>
      </c>
      <c r="M89" s="329">
        <f>IFERROR(IF(MIN(H89,J89)=F89,IF(G89=I89,"Escenario 5","Escenario 4"),IF(MIN(H89,J89)&lt;F89,IF(AND(F89-2&lt;=MIN(H89,J89),G89&lt;&gt;I89),"Escenario 1",IF(AND(F89-2&lt;=MIN(H89,J89),G89=I89),"Escenario 2","Escenario 3")),IF(MIN(H89,J89)&gt;F89,IF(AND(F89+2&gt;=MIN(H89,J89),G89=I89),"Escenario 7",IF(AND(F89+2&gt;=MIN(H89,J89),G89&lt;&gt;I89),"Escenario 6",IF(F89+5&lt;=MIN(H89,J89),"Escenario 9","Escenario 8"))),"error"))),"Falta info")</f>
        <v/>
      </c>
      <c r="N89" s="98">
        <f>IFERROR(VLOOKUP(M89,Base!$BJ$28:$BL$36,3,0),0)</f>
        <v/>
      </c>
      <c r="O89" s="330">
        <f>IF(LOOKUP(M89,Base!$X$8:$BG$8)=M89,VLOOKUP(B89,Base!E:BG,N89,0),0)</f>
        <v/>
      </c>
      <c r="P89" s="330" t="n"/>
      <c r="Q89" s="327">
        <f>IFERROR(IF(VLOOKUP(B89,Detalle!$A:$AA,$Q$1,0)=0,"Sin datos",IFERROR(VLOOKUP(B89,Detalle!$A:$AA,$Q$1,0),"Sin datos")),"")</f>
        <v/>
      </c>
      <c r="R89" s="93">
        <f>IFERROR(IF(VLOOKUP(B89,Detalle!$A:$AA,$R$1,0)=0,"Sin datos",IFERROR(VLOOKUP(B89,Detalle!$A:$AA,$R$1,0),"Sin datos")),"")</f>
        <v/>
      </c>
      <c r="S89" s="327">
        <f>IFERROR(IF(VLOOKUP(B89,Detalle!$A:$AA,$S$1,0)=0,"Sin datos",IFERROR(VLOOKUP(B89,Detalle!$A:$AA,$S$1,0),"Sin datos")),"")</f>
        <v/>
      </c>
      <c r="T89" s="93">
        <f>IFERROR(IF(VLOOKUP(B89,Detalle!$A:$AA,$T$1,0)=0,"Sin datos",IFERROR(VLOOKUP(B89,Detalle!$A:$AA,$T$1,0),"Sin datos")),"")</f>
        <v/>
      </c>
      <c r="U89" s="327">
        <f>IFERROR(IF(VLOOKUP(B89,Detalle!$A:$AA,$U$1,0)=0,"Sin datos",IFERROR(VLOOKUP(B89,Detalle!$A:$AA,$U$1,0),"Sin datos")),"")</f>
        <v/>
      </c>
      <c r="V89" s="93">
        <f>IFERROR(IF(VLOOKUP(B89,Detalle!$A:$AA,$V$1,0)=0,"Sin datos",IFERROR(VLOOKUP(B89,Detalle!$A:$AA,$V$1,0),"Sin datos")),"")</f>
        <v/>
      </c>
      <c r="W89" s="98">
        <f>IF(P89="",IF(MIN(Q89,S89,U89)&gt;E89,"Si","No"),IF(MIN(Q89,S89,U89)&gt;P89,"Si","No"))</f>
        <v/>
      </c>
      <c r="X89" s="328">
        <f>MIN(Q89,S89,U89)</f>
        <v/>
      </c>
      <c r="Y89" s="328">
        <f>IFERROR(IF(MIN(T89,V89)=R89,IF(S89=U89,"Escenario 5","Escenario 4"),IF(MIN(T89,V89)&lt;R89,IF(AND(R89-2&lt;=MIN(T89,V89),S89&lt;&gt;U89),"Escenario 1",IF(AND(R89-2&lt;=MIN(T89,V89),S89=U89),"Escenario 2","Escenario 3")),IF(MIN(T89,V89)&gt;R89,IF(AND(R89+2&gt;=MIN(T89,V89),S89=U89),"Escenario 7",IF(AND(R89+2&gt;=MIN(T89,V89),S89&lt;&gt;U89),"Escenario 6",IF(R89+5&lt;=MIN(T89,V89),"Escenario 9","Escenario 8"))),"error"))),"Falta info")</f>
        <v/>
      </c>
      <c r="Z89" s="98">
        <f>IFERROR(VLOOKUP(Y89,Base!$BJ$19:$BL$27,3,0),0)</f>
        <v/>
      </c>
      <c r="AA89" s="330">
        <f>IF(LOOKUP(Y89,Base!$X$8:$BG$8)=Y89,VLOOKUP(B89,Base!E:BG,Z89,0),0)</f>
        <v/>
      </c>
      <c r="AB89" s="330" t="n">
        <v>13990</v>
      </c>
      <c r="AC89" s="327">
        <f>IFERROR(IF(VLOOKUP(B89,Detalle!$A:$AA,$AC$1,0)=0,"Sin datos",IFERROR(VLOOKUP(B89,Detalle!$A:$AA,$AC$1,0),"Sin datos")),"")</f>
        <v/>
      </c>
      <c r="AD89" s="93">
        <f>IFERROR(IF(VLOOKUP(B89,Detalle!$A:$AA,$AD$1,0)=0,"Sin datos",IFERROR(VLOOKUP(B89,Detalle!$A:$AA,$AD$1,0),"Sin datos")),"")</f>
        <v/>
      </c>
      <c r="AE89" s="327">
        <f>IFERROR(IF(VLOOKUP(B89,Detalle!$A:$AA,$AE$1,0)=0,"Sin datos",IFERROR(VLOOKUP(B89,Detalle!$A:$AA,$AE$1,0),"Sin datos")),"")</f>
        <v/>
      </c>
      <c r="AF89" s="93">
        <f>IFERROR(IF(VLOOKUP(B89,Detalle!$A:$AA,$AF$1,0)=0,"Sin datos",IFERROR(VLOOKUP(B89,Detalle!$A:$AA,$AF$1,0),"Sin datos")),"")</f>
        <v/>
      </c>
      <c r="AG89" s="327">
        <f>IFERROR(IF(VLOOKUP(B89,Detalle!$A:$AA,$AG$1,0)=0,"Sin datos",IFERROR(VLOOKUP(B89,Detalle!$A:$AA,$AG$1,0),"Sin datos")),"")</f>
        <v/>
      </c>
      <c r="AH89" s="93">
        <f>IFERROR(IF(VLOOKUP(B89,Detalle!$A:$AA,$AH$1,0)=0,"Sin datos",IFERROR(VLOOKUP(B89,Detalle!$A:$AA,$AH$1,0),"Sin datos")),"")</f>
        <v/>
      </c>
      <c r="AI89" s="98">
        <f>IF(AB89="",IF(MIN(AC89,AE89,AG89)&gt;E89,"Si","No"),IF(MIN(AC89,AG89,AG89)&gt;AB89,"Si","No"))</f>
        <v/>
      </c>
      <c r="AJ89" s="328">
        <f>MIN(AC89,AE89,AG89)</f>
        <v/>
      </c>
      <c r="AK89" s="328">
        <f>IFERROR(IF(MIN(AF89,AH89)=AD89,IF(AE89=AG89,"Escenario 5","Escenario 4"),IF(MIN(AF89,AH89)&lt;AD89,IF(AND(AD89-2&lt;=MIN(AF89,AH89),AE89&lt;&gt;AG89),"Escenario 1",IF(AND(AD89-2&lt;=MIN(AF89,AH89),AE89=AG89),"Escenario 2","Escenario 3")),IF(MIN(AF89,AH89)&gt;AD89,IF(AND(AD89+2&gt;=MIN(AF89,AH89),AE89=AG89),"Escenario 7",IF(AND(AD89+2&gt;=MIN(AF89,AH89),AE89&lt;&gt;AG89),"Escenario 6",IF(AD89+5&lt;=MIN(AF89,AH89),"Escenario 9","Escenario 8"))),"error"))),"Falta info")</f>
        <v/>
      </c>
      <c r="AL89" s="98">
        <f>IFERROR(VLOOKUP(AK89,Base!$BJ$37:$BL$45,3,0),0)</f>
        <v/>
      </c>
      <c r="AM89" s="330">
        <f>IF(LOOKUP(AK89,Base!$X$8:$BG$8)=AK89,VLOOKUP(B89,Base!E:BG,AL89,0),0)</f>
        <v/>
      </c>
      <c r="AN89" s="330" t="n"/>
      <c r="AP89" s="331" t="n"/>
    </row>
    <row customHeight="1" ht="12.95" r="90" s="183" spans="1:43">
      <c r="B90" s="108" t="s">
        <v>78</v>
      </c>
      <c r="C90" s="89" t="s">
        <v>294</v>
      </c>
      <c r="D90" s="106">
        <f>VLOOKUP(B90,Base!E:G,3,0)</f>
        <v/>
      </c>
      <c r="E90" s="326">
        <f>IFERROR(IF(VLOOKUP(B90,Detalle!$A:$AA,$E$1,0)=0,"Sin datos",IFERROR(VLOOKUP(B90,Detalle!$A:$AA,$E$1,0),"Sin datos")),"")</f>
        <v/>
      </c>
      <c r="F90" s="91">
        <f>IFERROR(IF(VLOOKUP(B90,Detalle!$A:$AA,$F$1,0)=0,"Sin datos",IFERROR(VLOOKUP(B90,Detalle!$A:$AA,$F$1,0),"Sin datos")),"")</f>
        <v/>
      </c>
      <c r="G90" s="327">
        <f>IFERROR(IF(VLOOKUP(B90,Detalle!$A:$AA,$G$1,0)=0,"Sin datos",IFERROR(VLOOKUP(B90,Detalle!$A:$AA,$G$1,0),"Sin datos")),"")</f>
        <v/>
      </c>
      <c r="H90" s="93">
        <f>IFERROR(IF(VLOOKUP(B90,Detalle!$A:$AA,$H$1,0)=0,"Sin datos",IFERROR(VLOOKUP(B90,Detalle!$A:$AA,$H$1,0),"Sin datos")),"")</f>
        <v/>
      </c>
      <c r="I90" s="327">
        <f>IFERROR(IF(VLOOKUP(B90,Detalle!$A:$AA,$I$1,0)=0,"Sin datos",IFERROR(VLOOKUP(B90,Detalle!$A:$AA,$I$1,0),"Sin datos")),"")</f>
        <v/>
      </c>
      <c r="J90" s="93">
        <f>IFERROR(IF(VLOOKUP(B90,Detalle!$A:$AA,$J$1,0)=0,"Sin datos",IFERROR(VLOOKUP(B90,Detalle!$A:$AA,$J$1,0),"Sin datos")),"")</f>
        <v/>
      </c>
      <c r="K90" s="98" t="s">
        <v>293</v>
      </c>
      <c r="L90" s="328">
        <f>MIN(E90,G90,I90)</f>
        <v/>
      </c>
      <c r="M90" s="329">
        <f>IFERROR(IF(MIN(H90,J90)=F90,IF(G90=I90,"Escenario 5","Escenario 4"),IF(MIN(H90,J90)&lt;F90,IF(AND(F90-2&lt;=MIN(H90,J90),G90&lt;&gt;I90),"Escenario 1",IF(AND(F90-2&lt;=MIN(H90,J90),G90=I90),"Escenario 2","Escenario 3")),IF(MIN(H90,J90)&gt;F90,IF(AND(F90+2&gt;=MIN(H90,J90),G90=I90),"Escenario 7",IF(AND(F90+2&gt;=MIN(H90,J90),G90&lt;&gt;I90),"Escenario 6",IF(F90+5&lt;=MIN(H90,J90),"Escenario 9","Escenario 8"))),"error"))),"Falta info")</f>
        <v/>
      </c>
      <c r="N90" s="98">
        <f>IFERROR(VLOOKUP(M90,Base!$BJ$28:$BL$36,3,0),0)</f>
        <v/>
      </c>
      <c r="O90" s="330">
        <f>IF(LOOKUP(M90,Base!$X$8:$BG$8)=M90,VLOOKUP(B90,Base!E:BG,N90,0),0)</f>
        <v/>
      </c>
      <c r="P90" s="330" t="n"/>
      <c r="Q90" s="327">
        <f>IFERROR(IF(VLOOKUP(B90,Detalle!$A:$AA,$Q$1,0)=0,"Sin datos",IFERROR(VLOOKUP(B90,Detalle!$A:$AA,$Q$1,0),"Sin datos")),"")</f>
        <v/>
      </c>
      <c r="R90" s="93">
        <f>IFERROR(IF(VLOOKUP(B90,Detalle!$A:$AA,$R$1,0)=0,"Sin datos",IFERROR(VLOOKUP(B90,Detalle!$A:$AA,$R$1,0),"Sin datos")),"")</f>
        <v/>
      </c>
      <c r="S90" s="327">
        <f>IFERROR(IF(VLOOKUP(B90,Detalle!$A:$AA,$S$1,0)=0,"Sin datos",IFERROR(VLOOKUP(B90,Detalle!$A:$AA,$S$1,0),"Sin datos")),"")</f>
        <v/>
      </c>
      <c r="T90" s="93">
        <f>IFERROR(IF(VLOOKUP(B90,Detalle!$A:$AA,$T$1,0)=0,"Sin datos",IFERROR(VLOOKUP(B90,Detalle!$A:$AA,$T$1,0),"Sin datos")),"")</f>
        <v/>
      </c>
      <c r="U90" s="327">
        <f>IFERROR(IF(VLOOKUP(B90,Detalle!$A:$AA,$U$1,0)=0,"Sin datos",IFERROR(VLOOKUP(B90,Detalle!$A:$AA,$U$1,0),"Sin datos")),"")</f>
        <v/>
      </c>
      <c r="V90" s="93">
        <f>IFERROR(IF(VLOOKUP(B90,Detalle!$A:$AA,$V$1,0)=0,"Sin datos",IFERROR(VLOOKUP(B90,Detalle!$A:$AA,$V$1,0),"Sin datos")),"")</f>
        <v/>
      </c>
      <c r="W90" s="98">
        <f>IF(P90="",IF(MIN(Q90,S90,U90)&gt;E90,"Si","No"),IF(MIN(Q90,S90,U90)&gt;P90,"Si","No"))</f>
        <v/>
      </c>
      <c r="X90" s="328">
        <f>MIN(Q90,S90,U90)</f>
        <v/>
      </c>
      <c r="Y90" s="328">
        <f>IFERROR(IF(MIN(T90,V90)=R90,IF(S90=U90,"Escenario 5","Escenario 4"),IF(MIN(T90,V90)&lt;R90,IF(AND(R90-2&lt;=MIN(T90,V90),S90&lt;&gt;U90),"Escenario 1",IF(AND(R90-2&lt;=MIN(T90,V90),S90=U90),"Escenario 2","Escenario 3")),IF(MIN(T90,V90)&gt;R90,IF(AND(R90+2&gt;=MIN(T90,V90),S90=U90),"Escenario 7",IF(AND(R90+2&gt;=MIN(T90,V90),S90&lt;&gt;U90),"Escenario 6",IF(R90+5&lt;=MIN(T90,V90),"Escenario 9","Escenario 8"))),"error"))),"Falta info")</f>
        <v/>
      </c>
      <c r="Z90" s="98">
        <f>IFERROR(VLOOKUP(Y90,Base!$BJ$19:$BL$27,3,0),0)</f>
        <v/>
      </c>
      <c r="AA90" s="330">
        <f>IF(LOOKUP(Y90,Base!$X$8:$BG$8)=Y90,VLOOKUP(B90,Base!E:BG,Z90,0),0)</f>
        <v/>
      </c>
      <c r="AB90" s="330" t="n"/>
      <c r="AC90" s="327">
        <f>IFERROR(IF(VLOOKUP(B90,Detalle!$A:$AA,$AC$1,0)=0,"Sin datos",IFERROR(VLOOKUP(B90,Detalle!$A:$AA,$AC$1,0),"Sin datos")),"")</f>
        <v/>
      </c>
      <c r="AD90" s="93">
        <f>IFERROR(IF(VLOOKUP(B90,Detalle!$A:$AA,$AD$1,0)=0,"Sin datos",IFERROR(VLOOKUP(B90,Detalle!$A:$AA,$AD$1,0),"Sin datos")),"")</f>
        <v/>
      </c>
      <c r="AE90" s="327">
        <f>IFERROR(IF(VLOOKUP(B90,Detalle!$A:$AA,$AE$1,0)=0,"Sin datos",IFERROR(VLOOKUP(B90,Detalle!$A:$AA,$AE$1,0),"Sin datos")),"")</f>
        <v/>
      </c>
      <c r="AF90" s="93">
        <f>IFERROR(IF(VLOOKUP(B90,Detalle!$A:$AA,$AF$1,0)=0,"Sin datos",IFERROR(VLOOKUP(B90,Detalle!$A:$AA,$AF$1,0),"Sin datos")),"")</f>
        <v/>
      </c>
      <c r="AG90" s="327">
        <f>IFERROR(IF(VLOOKUP(B90,Detalle!$A:$AA,$AG$1,0)=0,"Sin datos",IFERROR(VLOOKUP(B90,Detalle!$A:$AA,$AG$1,0),"Sin datos")),"")</f>
        <v/>
      </c>
      <c r="AH90" s="93">
        <f>IFERROR(IF(VLOOKUP(B90,Detalle!$A:$AA,$AH$1,0)=0,"Sin datos",IFERROR(VLOOKUP(B90,Detalle!$A:$AA,$AH$1,0),"Sin datos")),"")</f>
        <v/>
      </c>
      <c r="AI90" s="98">
        <f>IF(AB90="",IF(MIN(AC90,AE90,AG90)&gt;E90,"Si","No"),IF(MIN(AC90,AG90,AG90)&gt;AB90,"Si","No"))</f>
        <v/>
      </c>
      <c r="AJ90" s="328">
        <f>MIN(AC90,AE90,AG90)</f>
        <v/>
      </c>
      <c r="AK90" s="328">
        <f>IFERROR(IF(MIN(AF90,AH90)=AD90,IF(AE90=AG90,"Escenario 5","Escenario 4"),IF(MIN(AF90,AH90)&lt;AD90,IF(AND(AD90-2&lt;=MIN(AF90,AH90),AE90&lt;&gt;AG90),"Escenario 1",IF(AND(AD90-2&lt;=MIN(AF90,AH90),AE90=AG90),"Escenario 2","Escenario 3")),IF(MIN(AF90,AH90)&gt;AD90,IF(AND(AD90+2&gt;=MIN(AF90,AH90),AE90=AG90),"Escenario 7",IF(AND(AD90+2&gt;=MIN(AF90,AH90),AE90&lt;&gt;AG90),"Escenario 6",IF(AD90+5&lt;=MIN(AF90,AH90),"Escenario 9","Escenario 8"))),"error"))),"Falta info")</f>
        <v/>
      </c>
      <c r="AL90" s="98">
        <f>IFERROR(VLOOKUP(AK90,Base!$BJ$37:$BL$45,3,0),0)</f>
        <v/>
      </c>
      <c r="AM90" s="330">
        <f>IF(LOOKUP(AK90,Base!$X$8:$BG$8)=AK90,VLOOKUP(B90,Base!E:BG,AL90,0),0)</f>
        <v/>
      </c>
      <c r="AN90" s="330" t="n"/>
      <c r="AP90" s="331">
        <f>IF(AM90&lt;=AA90,"REVISAR!","ok")</f>
        <v/>
      </c>
    </row>
    <row customHeight="1" ht="12.95" r="91" s="183" spans="1:43">
      <c r="B91" s="108" t="s">
        <v>56</v>
      </c>
      <c r="C91" s="89" t="s">
        <v>294</v>
      </c>
      <c r="D91" s="106">
        <f>VLOOKUP(B91,Base!E:G,3,0)</f>
        <v/>
      </c>
      <c r="E91" s="326">
        <f>IFERROR(IF(VLOOKUP(B91,Detalle!$A:$AA,$E$1,0)=0,"Sin datos",IFERROR(VLOOKUP(B91,Detalle!$A:$AA,$E$1,0),"Sin datos")),"")</f>
        <v/>
      </c>
      <c r="F91" s="91">
        <f>IFERROR(IF(VLOOKUP(B91,Detalle!$A:$AA,$F$1,0)=0,"Sin datos",IFERROR(VLOOKUP(B91,Detalle!$A:$AA,$F$1,0),"Sin datos")),"")</f>
        <v/>
      </c>
      <c r="G91" s="327">
        <f>IFERROR(IF(VLOOKUP(B91,Detalle!$A:$AA,$G$1,0)=0,"Sin datos",IFERROR(VLOOKUP(B91,Detalle!$A:$AA,$G$1,0),"Sin datos")),"")</f>
        <v/>
      </c>
      <c r="H91" s="93">
        <f>IFERROR(IF(VLOOKUP(B91,Detalle!$A:$AA,$H$1,0)=0,"Sin datos",IFERROR(VLOOKUP(B91,Detalle!$A:$AA,$H$1,0),"Sin datos")),"")</f>
        <v/>
      </c>
      <c r="I91" s="327">
        <f>IFERROR(IF(VLOOKUP(B91,Detalle!$A:$AA,$I$1,0)=0,"Sin datos",IFERROR(VLOOKUP(B91,Detalle!$A:$AA,$I$1,0),"Sin datos")),"")</f>
        <v/>
      </c>
      <c r="J91" s="93">
        <f>IFERROR(IF(VLOOKUP(B91,Detalle!$A:$AA,$J$1,0)=0,"Sin datos",IFERROR(VLOOKUP(B91,Detalle!$A:$AA,$J$1,0),"Sin datos")),"")</f>
        <v/>
      </c>
      <c r="K91" s="98" t="s">
        <v>293</v>
      </c>
      <c r="L91" s="328">
        <f>MIN(E91,G91,I91)</f>
        <v/>
      </c>
      <c r="M91" s="329">
        <f>IFERROR(IF(MIN(H91,J91)=F91,IF(G91=I91,"Escenario 5","Escenario 4"),IF(MIN(H91,J91)&lt;F91,IF(AND(F91-2&lt;=MIN(H91,J91),G91&lt;&gt;I91),"Escenario 1",IF(AND(F91-2&lt;=MIN(H91,J91),G91=I91),"Escenario 2","Escenario 3")),IF(MIN(H91,J91)&gt;F91,IF(AND(F91+2&gt;=MIN(H91,J91),G91=I91),"Escenario 7",IF(AND(F91+2&gt;=MIN(H91,J91),G91&lt;&gt;I91),"Escenario 6",IF(F91+5&lt;=MIN(H91,J91),"Escenario 9","Escenario 8"))),"error"))),"Falta info")</f>
        <v/>
      </c>
      <c r="N91" s="98">
        <f>IFERROR(VLOOKUP(M91,Base!$BJ$28:$BL$36,3,0),0)</f>
        <v/>
      </c>
      <c r="O91" s="330">
        <f>IF(LOOKUP(M91,Base!$X$8:$BG$8)=M91,VLOOKUP(B91,Base!E:BG,N91,0),0)</f>
        <v/>
      </c>
      <c r="P91" s="330" t="n"/>
      <c r="Q91" s="327">
        <f>IFERROR(IF(VLOOKUP(B91,Detalle!$A:$AA,$Q$1,0)=0,"Sin datos",IFERROR(VLOOKUP(B91,Detalle!$A:$AA,$Q$1,0),"Sin datos")),"")</f>
        <v/>
      </c>
      <c r="R91" s="93">
        <f>IFERROR(IF(VLOOKUP(B91,Detalle!$A:$AA,$R$1,0)=0,"Sin datos",IFERROR(VLOOKUP(B91,Detalle!$A:$AA,$R$1,0),"Sin datos")),"")</f>
        <v/>
      </c>
      <c r="S91" s="327">
        <f>IFERROR(IF(VLOOKUP(B91,Detalle!$A:$AA,$S$1,0)=0,"Sin datos",IFERROR(VLOOKUP(B91,Detalle!$A:$AA,$S$1,0),"Sin datos")),"")</f>
        <v/>
      </c>
      <c r="T91" s="93">
        <f>IFERROR(IF(VLOOKUP(B91,Detalle!$A:$AA,$T$1,0)=0,"Sin datos",IFERROR(VLOOKUP(B91,Detalle!$A:$AA,$T$1,0),"Sin datos")),"")</f>
        <v/>
      </c>
      <c r="U91" s="327">
        <f>IFERROR(IF(VLOOKUP(B91,Detalle!$A:$AA,$U$1,0)=0,"Sin datos",IFERROR(VLOOKUP(B91,Detalle!$A:$AA,$U$1,0),"Sin datos")),"")</f>
        <v/>
      </c>
      <c r="V91" s="93">
        <f>IFERROR(IF(VLOOKUP(B91,Detalle!$A:$AA,$V$1,0)=0,"Sin datos",IFERROR(VLOOKUP(B91,Detalle!$A:$AA,$V$1,0),"Sin datos")),"")</f>
        <v/>
      </c>
      <c r="W91" s="98">
        <f>IF(P91="",IF(MIN(Q91,S91,U91)&gt;E91,"Si","No"),IF(MIN(Q91,S91,U91)&gt;P91,"Si","No"))</f>
        <v/>
      </c>
      <c r="X91" s="328">
        <f>MIN(Q91,S91,U91)</f>
        <v/>
      </c>
      <c r="Y91" s="328">
        <f>IFERROR(IF(MIN(T91,V91)=R91,IF(S91=U91,"Escenario 5","Escenario 4"),IF(MIN(T91,V91)&lt;R91,IF(AND(R91-2&lt;=MIN(T91,V91),S91&lt;&gt;U91),"Escenario 1",IF(AND(R91-2&lt;=MIN(T91,V91),S91=U91),"Escenario 2","Escenario 3")),IF(MIN(T91,V91)&gt;R91,IF(AND(R91+2&gt;=MIN(T91,V91),S91=U91),"Escenario 7",IF(AND(R91+2&gt;=MIN(T91,V91),S91&lt;&gt;U91),"Escenario 6",IF(R91+5&lt;=MIN(T91,V91),"Escenario 9","Escenario 8"))),"error"))),"Falta info")</f>
        <v/>
      </c>
      <c r="Z91" s="98">
        <f>IFERROR(VLOOKUP(Y91,Base!$BJ$19:$BL$27,3,0),0)</f>
        <v/>
      </c>
      <c r="AA91" s="330">
        <f>IF(LOOKUP(Y91,Base!$X$8:$BG$8)=Y91,VLOOKUP(B91,Base!E:BG,Z91,0),0)</f>
        <v/>
      </c>
      <c r="AB91" s="330" t="n"/>
      <c r="AC91" s="327">
        <f>IFERROR(IF(VLOOKUP(B91,Detalle!$A:$AA,$AC$1,0)=0,"Sin datos",IFERROR(VLOOKUP(B91,Detalle!$A:$AA,$AC$1,0),"Sin datos")),"")</f>
        <v/>
      </c>
      <c r="AD91" s="93">
        <f>IFERROR(IF(VLOOKUP(B91,Detalle!$A:$AA,$AD$1,0)=0,"Sin datos",IFERROR(VLOOKUP(B91,Detalle!$A:$AA,$AD$1,0),"Sin datos")),"")</f>
        <v/>
      </c>
      <c r="AE91" s="327">
        <f>IFERROR(IF(VLOOKUP(B91,Detalle!$A:$AA,$AE$1,0)=0,"Sin datos",IFERROR(VLOOKUP(B91,Detalle!$A:$AA,$AE$1,0),"Sin datos")),"")</f>
        <v/>
      </c>
      <c r="AF91" s="93">
        <f>IFERROR(IF(VLOOKUP(B91,Detalle!$A:$AA,$AF$1,0)=0,"Sin datos",IFERROR(VLOOKUP(B91,Detalle!$A:$AA,$AF$1,0),"Sin datos")),"")</f>
        <v/>
      </c>
      <c r="AG91" s="327">
        <f>IFERROR(IF(VLOOKUP(B91,Detalle!$A:$AA,$AG$1,0)=0,"Sin datos",IFERROR(VLOOKUP(B91,Detalle!$A:$AA,$AG$1,0),"Sin datos")),"")</f>
        <v/>
      </c>
      <c r="AH91" s="93">
        <f>IFERROR(IF(VLOOKUP(B91,Detalle!$A:$AA,$AH$1,0)=0,"Sin datos",IFERROR(VLOOKUP(B91,Detalle!$A:$AA,$AH$1,0),"Sin datos")),"")</f>
        <v/>
      </c>
      <c r="AI91" s="98">
        <f>IF(AB91="",IF(MIN(AC91,AE91,AG91)&gt;E91,"Si","No"),IF(MIN(AC91,AG91,AG91)&gt;AB91,"Si","No"))</f>
        <v/>
      </c>
      <c r="AJ91" s="328">
        <f>MIN(AC91,AE91,AG91)</f>
        <v/>
      </c>
      <c r="AK91" s="328">
        <f>IFERROR(IF(MIN(AF91,AH91)=AD91,IF(AE91=AG91,"Escenario 5","Escenario 4"),IF(MIN(AF91,AH91)&lt;AD91,IF(AND(AD91-2&lt;=MIN(AF91,AH91),AE91&lt;&gt;AG91),"Escenario 1",IF(AND(AD91-2&lt;=MIN(AF91,AH91),AE91=AG91),"Escenario 2","Escenario 3")),IF(MIN(AF91,AH91)&gt;AD91,IF(AND(AD91+2&gt;=MIN(AF91,AH91),AE91=AG91),"Escenario 7",IF(AND(AD91+2&gt;=MIN(AF91,AH91),AE91&lt;&gt;AG91),"Escenario 6",IF(AD91+5&lt;=MIN(AF91,AH91),"Escenario 9","Escenario 8"))),"error"))),"Falta info")</f>
        <v/>
      </c>
      <c r="AL91" s="98">
        <f>IFERROR(VLOOKUP(AK91,Base!$BJ$37:$BL$45,3,0),0)</f>
        <v/>
      </c>
      <c r="AM91" s="330">
        <f>IF(LOOKUP(AK91,Base!$X$8:$BG$8)=AK91,VLOOKUP(B91,Base!E:BG,AL91,0),0)</f>
        <v/>
      </c>
      <c r="AN91" s="330" t="n">
        <v>15990</v>
      </c>
      <c r="AP91" s="331">
        <f>IF(AM91&lt;=AA91,"REVISAR!","ok")</f>
        <v/>
      </c>
    </row>
    <row customHeight="1" ht="12.95" r="92" s="183" spans="1:43">
      <c r="B92" s="108" t="s">
        <v>92</v>
      </c>
      <c r="C92" s="89" t="s">
        <v>294</v>
      </c>
      <c r="D92" s="106">
        <f>VLOOKUP(B92,Base!E:G,3,0)</f>
        <v/>
      </c>
      <c r="E92" s="326">
        <f>IFERROR(IF(VLOOKUP(B92,Detalle!$A:$AA,$E$1,0)=0,"Sin datos",IFERROR(VLOOKUP(B92,Detalle!$A:$AA,$E$1,0),"Sin datos")),"")</f>
        <v/>
      </c>
      <c r="F92" s="91">
        <f>IFERROR(IF(VLOOKUP(B92,Detalle!$A:$AA,$F$1,0)=0,"Sin datos",IFERROR(VLOOKUP(B92,Detalle!$A:$AA,$F$1,0),"Sin datos")),"")</f>
        <v/>
      </c>
      <c r="G92" s="327">
        <f>IFERROR(IF(VLOOKUP(B92,Detalle!$A:$AA,$G$1,0)=0,"Sin datos",IFERROR(VLOOKUP(B92,Detalle!$A:$AA,$G$1,0),"Sin datos")),"")</f>
        <v/>
      </c>
      <c r="H92" s="93">
        <f>IFERROR(IF(VLOOKUP(B92,Detalle!$A:$AA,$H$1,0)=0,"Sin datos",IFERROR(VLOOKUP(B92,Detalle!$A:$AA,$H$1,0),"Sin datos")),"")</f>
        <v/>
      </c>
      <c r="I92" s="327">
        <f>IFERROR(IF(VLOOKUP(B92,Detalle!$A:$AA,$I$1,0)=0,"Sin datos",IFERROR(VLOOKUP(B92,Detalle!$A:$AA,$I$1,0),"Sin datos")),"")</f>
        <v/>
      </c>
      <c r="J92" s="93">
        <f>IFERROR(IF(VLOOKUP(B92,Detalle!$A:$AA,$J$1,0)=0,"Sin datos",IFERROR(VLOOKUP(B92,Detalle!$A:$AA,$J$1,0),"Sin datos")),"")</f>
        <v/>
      </c>
      <c r="K92" s="98" t="s">
        <v>293</v>
      </c>
      <c r="L92" s="328">
        <f>MIN(E92,G92,I92)</f>
        <v/>
      </c>
      <c r="M92" s="329">
        <f>IFERROR(IF(MIN(H92,J92)=F92,IF(G92=I92,"Escenario 5","Escenario 4"),IF(MIN(H92,J92)&lt;F92,IF(AND(F92-2&lt;=MIN(H92,J92),G92&lt;&gt;I92),"Escenario 1",IF(AND(F92-2&lt;=MIN(H92,J92),G92=I92),"Escenario 2","Escenario 3")),IF(MIN(H92,J92)&gt;F92,IF(AND(F92+2&gt;=MIN(H92,J92),G92=I92),"Escenario 7",IF(AND(F92+2&gt;=MIN(H92,J92),G92&lt;&gt;I92),"Escenario 6",IF(F92+5&lt;=MIN(H92,J92),"Escenario 9","Escenario 8"))),"error"))),"Falta info")</f>
        <v/>
      </c>
      <c r="N92" s="98">
        <f>IFERROR(VLOOKUP(M92,Base!$BJ$28:$BL$36,3,0),0)</f>
        <v/>
      </c>
      <c r="O92" s="330">
        <f>IF(LOOKUP(M92,Base!$X$8:$BG$8)=M92,VLOOKUP(B92,Base!E:BG,N92,0),0)</f>
        <v/>
      </c>
      <c r="P92" s="330" t="n">
        <v>6490</v>
      </c>
      <c r="Q92" s="327">
        <f>IFERROR(IF(VLOOKUP(B92,Detalle!$A:$AA,$Q$1,0)=0,"Sin datos",IFERROR(VLOOKUP(B92,Detalle!$A:$AA,$Q$1,0),"Sin datos")),"")</f>
        <v/>
      </c>
      <c r="R92" s="93">
        <f>IFERROR(IF(VLOOKUP(B92,Detalle!$A:$AA,$R$1,0)=0,"Sin datos",IFERROR(VLOOKUP(B92,Detalle!$A:$AA,$R$1,0),"Sin datos")),"")</f>
        <v/>
      </c>
      <c r="S92" s="327">
        <f>IFERROR(IF(VLOOKUP(B92,Detalle!$A:$AA,$S$1,0)=0,"Sin datos",IFERROR(VLOOKUP(B92,Detalle!$A:$AA,$S$1,0),"Sin datos")),"")</f>
        <v/>
      </c>
      <c r="T92" s="93">
        <f>IFERROR(IF(VLOOKUP(B92,Detalle!$A:$AA,$T$1,0)=0,"Sin datos",IFERROR(VLOOKUP(B92,Detalle!$A:$AA,$T$1,0),"Sin datos")),"")</f>
        <v/>
      </c>
      <c r="U92" s="327">
        <f>IFERROR(IF(VLOOKUP(B92,Detalle!$A:$AA,$U$1,0)=0,"Sin datos",IFERROR(VLOOKUP(B92,Detalle!$A:$AA,$U$1,0),"Sin datos")),"")</f>
        <v/>
      </c>
      <c r="V92" s="93">
        <f>IFERROR(IF(VLOOKUP(B92,Detalle!$A:$AA,$V$1,0)=0,"Sin datos",IFERROR(VLOOKUP(B92,Detalle!$A:$AA,$V$1,0),"Sin datos")),"")</f>
        <v/>
      </c>
      <c r="W92" s="98">
        <f>IF(P92="",IF(MIN(Q92,S92,U92)&gt;E92,"Si","No"),IF(MIN(Q92,S92,U92)&gt;P92,"Si","No"))</f>
        <v/>
      </c>
      <c r="X92" s="328">
        <f>MIN(Q92,S92,U92)</f>
        <v/>
      </c>
      <c r="Y92" s="328">
        <f>IFERROR(IF(MIN(T92,V92)=R92,IF(S92=U92,"Escenario 5","Escenario 4"),IF(MIN(T92,V92)&lt;R92,IF(AND(R92-2&lt;=MIN(T92,V92),S92&lt;&gt;U92),"Escenario 1",IF(AND(R92-2&lt;=MIN(T92,V92),S92=U92),"Escenario 2","Escenario 3")),IF(MIN(T92,V92)&gt;R92,IF(AND(R92+2&gt;=MIN(T92,V92),S92=U92),"Escenario 7",IF(AND(R92+2&gt;=MIN(T92,V92),S92&lt;&gt;U92),"Escenario 6",IF(R92+5&lt;=MIN(T92,V92),"Escenario 9","Escenario 8"))),"error"))),"Falta info")</f>
        <v/>
      </c>
      <c r="Z92" s="98">
        <f>IFERROR(VLOOKUP(Y92,Base!$BJ$19:$BL$27,3,0),0)</f>
        <v/>
      </c>
      <c r="AA92" s="330">
        <f>IF(LOOKUP(Y92,Base!$X$8:$BG$8)=Y92,VLOOKUP(B92,Base!E:BG,Z92,0),0)</f>
        <v/>
      </c>
      <c r="AB92" s="330" t="n"/>
      <c r="AC92" s="327">
        <f>IFERROR(IF(VLOOKUP(B92,Detalle!$A:$AA,$AC$1,0)=0,"Sin datos",IFERROR(VLOOKUP(B92,Detalle!$A:$AA,$AC$1,0),"Sin datos")),"")</f>
        <v/>
      </c>
      <c r="AD92" s="93">
        <f>IFERROR(IF(VLOOKUP(B92,Detalle!$A:$AA,$AD$1,0)=0,"Sin datos",IFERROR(VLOOKUP(B92,Detalle!$A:$AA,$AD$1,0),"Sin datos")),"")</f>
        <v/>
      </c>
      <c r="AE92" s="327">
        <f>IFERROR(IF(VLOOKUP(B92,Detalle!$A:$AA,$AE$1,0)=0,"Sin datos",IFERROR(VLOOKUP(B92,Detalle!$A:$AA,$AE$1,0),"Sin datos")),"")</f>
        <v/>
      </c>
      <c r="AF92" s="93">
        <f>IFERROR(IF(VLOOKUP(B92,Detalle!$A:$AA,$AF$1,0)=0,"Sin datos",IFERROR(VLOOKUP(B92,Detalle!$A:$AA,$AF$1,0),"Sin datos")),"")</f>
        <v/>
      </c>
      <c r="AG92" s="327">
        <f>IFERROR(IF(VLOOKUP(B92,Detalle!$A:$AA,$AG$1,0)=0,"Sin datos",IFERROR(VLOOKUP(B92,Detalle!$A:$AA,$AG$1,0),"Sin datos")),"")</f>
        <v/>
      </c>
      <c r="AH92" s="93">
        <f>IFERROR(IF(VLOOKUP(B92,Detalle!$A:$AA,$AH$1,0)=0,"Sin datos",IFERROR(VLOOKUP(B92,Detalle!$A:$AA,$AH$1,0),"Sin datos")),"")</f>
        <v/>
      </c>
      <c r="AI92" s="98">
        <f>IF(AB92="",IF(MIN(AC92,AE92,AG92)&gt;E92,"Si","No"),IF(MIN(AC92,AG92,AG92)&gt;AB92,"Si","No"))</f>
        <v/>
      </c>
      <c r="AJ92" s="328">
        <f>MIN(AC92,AE92,AG92)</f>
        <v/>
      </c>
      <c r="AK92" s="328">
        <f>IFERROR(IF(MIN(AF92,AH92)=AD92,IF(AE92=AG92,"Escenario 5","Escenario 4"),IF(MIN(AF92,AH92)&lt;AD92,IF(AND(AD92-2&lt;=MIN(AF92,AH92),AE92&lt;&gt;AG92),"Escenario 1",IF(AND(AD92-2&lt;=MIN(AF92,AH92),AE92=AG92),"Escenario 2","Escenario 3")),IF(MIN(AF92,AH92)&gt;AD92,IF(AND(AD92+2&gt;=MIN(AF92,AH92),AE92=AG92),"Escenario 7",IF(AND(AD92+2&gt;=MIN(AF92,AH92),AE92&lt;&gt;AG92),"Escenario 6",IF(AD92+5&lt;=MIN(AF92,AH92),"Escenario 9","Escenario 8"))),"error"))),"Falta info")</f>
        <v/>
      </c>
      <c r="AL92" s="98">
        <f>IFERROR(VLOOKUP(AK92,Base!$BJ$37:$BL$45,3,0),0)</f>
        <v/>
      </c>
      <c r="AM92" s="330">
        <f>IF(LOOKUP(AK92,Base!$X$8:$BG$8)=AK92,VLOOKUP(B92,Base!E:BG,AL92,0),0)</f>
        <v/>
      </c>
      <c r="AN92" s="330" t="n"/>
      <c r="AP92" s="331">
        <f>IF(AM92&lt;=AA92,"REVISAR!","ok")</f>
        <v/>
      </c>
    </row>
    <row customHeight="1" ht="12.95" r="93" s="183" spans="1:43">
      <c r="B93" s="108" t="s">
        <v>87</v>
      </c>
      <c r="C93" s="89" t="s">
        <v>294</v>
      </c>
      <c r="D93" s="106">
        <f>VLOOKUP(B93,Base!E:G,3,0)</f>
        <v/>
      </c>
      <c r="E93" s="326">
        <f>IFERROR(IF(VLOOKUP(B93,Detalle!$A:$AA,$E$1,0)=0,"Sin datos",IFERROR(VLOOKUP(B93,Detalle!$A:$AA,$E$1,0),"Sin datos")),"")</f>
        <v/>
      </c>
      <c r="F93" s="91">
        <f>IFERROR(IF(VLOOKUP(B93,Detalle!$A:$AA,$F$1,0)=0,"Sin datos",IFERROR(VLOOKUP(B93,Detalle!$A:$AA,$F$1,0),"Sin datos")),"")</f>
        <v/>
      </c>
      <c r="G93" s="327">
        <f>IFERROR(IF(VLOOKUP(B93,Detalle!$A:$AA,$G$1,0)=0,"Sin datos",IFERROR(VLOOKUP(B93,Detalle!$A:$AA,$G$1,0),"Sin datos")),"")</f>
        <v/>
      </c>
      <c r="H93" s="93">
        <f>IFERROR(IF(VLOOKUP(B93,Detalle!$A:$AA,$H$1,0)=0,"Sin datos",IFERROR(VLOOKUP(B93,Detalle!$A:$AA,$H$1,0),"Sin datos")),"")</f>
        <v/>
      </c>
      <c r="I93" s="327">
        <f>IFERROR(IF(VLOOKUP(B93,Detalle!$A:$AA,$I$1,0)=0,"Sin datos",IFERROR(VLOOKUP(B93,Detalle!$A:$AA,$I$1,0),"Sin datos")),"")</f>
        <v/>
      </c>
      <c r="J93" s="93">
        <f>IFERROR(IF(VLOOKUP(B93,Detalle!$A:$AA,$J$1,0)=0,"Sin datos",IFERROR(VLOOKUP(B93,Detalle!$A:$AA,$J$1,0),"Sin datos")),"")</f>
        <v/>
      </c>
      <c r="K93" s="98" t="s">
        <v>293</v>
      </c>
      <c r="L93" s="328">
        <f>MIN(E93,G93,I93)</f>
        <v/>
      </c>
      <c r="M93" s="329">
        <f>IFERROR(IF(MIN(H93,J93)=F93,IF(G93=I93,"Escenario 5","Escenario 4"),IF(MIN(H93,J93)&lt;F93,IF(AND(F93-2&lt;=MIN(H93,J93),G93&lt;&gt;I93),"Escenario 1",IF(AND(F93-2&lt;=MIN(H93,J93),G93=I93),"Escenario 2","Escenario 3")),IF(MIN(H93,J93)&gt;F93,IF(AND(F93+2&gt;=MIN(H93,J93),G93=I93),"Escenario 7",IF(AND(F93+2&gt;=MIN(H93,J93),G93&lt;&gt;I93),"Escenario 6",IF(F93+5&lt;=MIN(H93,J93),"Escenario 9","Escenario 8"))),"error"))),"Falta info")</f>
        <v/>
      </c>
      <c r="N93" s="98">
        <f>IFERROR(VLOOKUP(M93,Base!$BJ$28:$BL$36,3,0),0)</f>
        <v/>
      </c>
      <c r="O93" s="330">
        <f>IF(LOOKUP(M93,Base!$X$8:$BG$8)=M93,VLOOKUP(B93,Base!E:BG,N93,0),0)</f>
        <v/>
      </c>
      <c r="P93" s="330" t="n">
        <v>5990</v>
      </c>
      <c r="Q93" s="327">
        <f>IFERROR(IF(VLOOKUP(B93,Detalle!$A:$AA,$Q$1,0)=0,"Sin datos",IFERROR(VLOOKUP(B93,Detalle!$A:$AA,$Q$1,0),"Sin datos")),"")</f>
        <v/>
      </c>
      <c r="R93" s="93">
        <f>IFERROR(IF(VLOOKUP(B93,Detalle!$A:$AA,$R$1,0)=0,"Sin datos",IFERROR(VLOOKUP(B93,Detalle!$A:$AA,$R$1,0),"Sin datos")),"")</f>
        <v/>
      </c>
      <c r="S93" s="327">
        <f>IFERROR(IF(VLOOKUP(B93,Detalle!$A:$AA,$S$1,0)=0,"Sin datos",IFERROR(VLOOKUP(B93,Detalle!$A:$AA,$S$1,0),"Sin datos")),"")</f>
        <v/>
      </c>
      <c r="T93" s="93">
        <f>IFERROR(IF(VLOOKUP(B93,Detalle!$A:$AA,$T$1,0)=0,"Sin datos",IFERROR(VLOOKUP(B93,Detalle!$A:$AA,$T$1,0),"Sin datos")),"")</f>
        <v/>
      </c>
      <c r="U93" s="327">
        <f>IFERROR(IF(VLOOKUP(B93,Detalle!$A:$AA,$U$1,0)=0,"Sin datos",IFERROR(VLOOKUP(B93,Detalle!$A:$AA,$U$1,0),"Sin datos")),"")</f>
        <v/>
      </c>
      <c r="V93" s="93">
        <f>IFERROR(IF(VLOOKUP(B93,Detalle!$A:$AA,$V$1,0)=0,"Sin datos",IFERROR(VLOOKUP(B93,Detalle!$A:$AA,$V$1,0),"Sin datos")),"")</f>
        <v/>
      </c>
      <c r="W93" s="98">
        <f>IF(P93="",IF(MIN(Q93,S93,U93)&gt;E93,"Si","No"),IF(MIN(Q93,S93,U93)&gt;P93,"Si","No"))</f>
        <v/>
      </c>
      <c r="X93" s="328">
        <f>MIN(Q93,S93,U93)</f>
        <v/>
      </c>
      <c r="Y93" s="328">
        <f>IFERROR(IF(MIN(T93,V93)=R93,IF(S93=U93,"Escenario 5","Escenario 4"),IF(MIN(T93,V93)&lt;R93,IF(AND(R93-2&lt;=MIN(T93,V93),S93&lt;&gt;U93),"Escenario 1",IF(AND(R93-2&lt;=MIN(T93,V93),S93=U93),"Escenario 2","Escenario 3")),IF(MIN(T93,V93)&gt;R93,IF(AND(R93+2&gt;=MIN(T93,V93),S93=U93),"Escenario 7",IF(AND(R93+2&gt;=MIN(T93,V93),S93&lt;&gt;U93),"Escenario 6",IF(R93+5&lt;=MIN(T93,V93),"Escenario 9","Escenario 8"))),"error"))),"Falta info")</f>
        <v/>
      </c>
      <c r="Z93" s="98">
        <f>IFERROR(VLOOKUP(Y93,Base!$BJ$19:$BL$27,3,0),0)</f>
        <v/>
      </c>
      <c r="AA93" s="330">
        <f>IF(LOOKUP(Y93,Base!$X$8:$BG$8)=Y93,VLOOKUP(B93,Base!E:BG,Z93,0),0)</f>
        <v/>
      </c>
      <c r="AB93" s="330" t="n"/>
      <c r="AC93" s="327">
        <f>IFERROR(IF(VLOOKUP(B93,Detalle!$A:$AA,$AC$1,0)=0,"Sin datos",IFERROR(VLOOKUP(B93,Detalle!$A:$AA,$AC$1,0),"Sin datos")),"")</f>
        <v/>
      </c>
      <c r="AD93" s="93">
        <f>IFERROR(IF(VLOOKUP(B93,Detalle!$A:$AA,$AD$1,0)=0,"Sin datos",IFERROR(VLOOKUP(B93,Detalle!$A:$AA,$AD$1,0),"Sin datos")),"")</f>
        <v/>
      </c>
      <c r="AE93" s="327">
        <f>IFERROR(IF(VLOOKUP(B93,Detalle!$A:$AA,$AE$1,0)=0,"Sin datos",IFERROR(VLOOKUP(B93,Detalle!$A:$AA,$AE$1,0),"Sin datos")),"")</f>
        <v/>
      </c>
      <c r="AF93" s="93">
        <f>IFERROR(IF(VLOOKUP(B93,Detalle!$A:$AA,$AF$1,0)=0,"Sin datos",IFERROR(VLOOKUP(B93,Detalle!$A:$AA,$AF$1,0),"Sin datos")),"")</f>
        <v/>
      </c>
      <c r="AG93" s="327">
        <f>IFERROR(IF(VLOOKUP(B93,Detalle!$A:$AA,$AG$1,0)=0,"Sin datos",IFERROR(VLOOKUP(B93,Detalle!$A:$AA,$AG$1,0),"Sin datos")),"")</f>
        <v/>
      </c>
      <c r="AH93" s="93">
        <f>IFERROR(IF(VLOOKUP(B93,Detalle!$A:$AA,$AH$1,0)=0,"Sin datos",IFERROR(VLOOKUP(B93,Detalle!$A:$AA,$AH$1,0),"Sin datos")),"")</f>
        <v/>
      </c>
      <c r="AI93" s="98">
        <f>IF(AB93="",IF(MIN(AC93,AE93,AG93)&gt;E93,"Si","No"),IF(MIN(AC93,AG93,AG93)&gt;AB93,"Si","No"))</f>
        <v/>
      </c>
      <c r="AJ93" s="328">
        <f>MIN(AC93,AE93,AG93)</f>
        <v/>
      </c>
      <c r="AK93" s="328">
        <f>IFERROR(IF(MIN(AF93,AH93)=AD93,IF(AE93=AG93,"Escenario 5","Escenario 4"),IF(MIN(AF93,AH93)&lt;AD93,IF(AND(AD93-2&lt;=MIN(AF93,AH93),AE93&lt;&gt;AG93),"Escenario 1",IF(AND(AD93-2&lt;=MIN(AF93,AH93),AE93=AG93),"Escenario 2","Escenario 3")),IF(MIN(AF93,AH93)&gt;AD93,IF(AND(AD93+2&gt;=MIN(AF93,AH93),AE93=AG93),"Escenario 7",IF(AND(AD93+2&gt;=MIN(AF93,AH93),AE93&lt;&gt;AG93),"Escenario 6",IF(AD93+5&lt;=MIN(AF93,AH93),"Escenario 9","Escenario 8"))),"error"))),"Falta info")</f>
        <v/>
      </c>
      <c r="AL93" s="98">
        <f>IFERROR(VLOOKUP(AK93,Base!$BJ$37:$BL$45,3,0),0)</f>
        <v/>
      </c>
      <c r="AM93" s="330">
        <f>IF(LOOKUP(AK93,Base!$X$8:$BG$8)=AK93,VLOOKUP(B93,Base!E:BG,AL93,0),0)</f>
        <v/>
      </c>
      <c r="AN93" s="330" t="n"/>
      <c r="AP93" s="331">
        <f>IF(AM93&lt;=AA93,"REVISAR!","ok")</f>
        <v/>
      </c>
    </row>
    <row customHeight="1" ht="12.95" r="94" s="183" spans="1:43">
      <c r="B94" s="108" t="s">
        <v>99</v>
      </c>
      <c r="C94" s="89" t="s">
        <v>294</v>
      </c>
      <c r="D94" s="106">
        <f>VLOOKUP(B94,Base!E:G,3,0)</f>
        <v/>
      </c>
      <c r="E94" s="326">
        <f>IFERROR(IF(VLOOKUP(B94,Detalle!$A:$AA,$E$1,0)=0,"Sin datos",IFERROR(VLOOKUP(B94,Detalle!$A:$AA,$E$1,0),"Sin datos")),"")</f>
        <v/>
      </c>
      <c r="F94" s="91">
        <f>IFERROR(IF(VLOOKUP(B94,Detalle!$A:$AA,$F$1,0)=0,"Sin datos",IFERROR(VLOOKUP(B94,Detalle!$A:$AA,$F$1,0),"Sin datos")),"")</f>
        <v/>
      </c>
      <c r="G94" s="327">
        <f>IFERROR(IF(VLOOKUP(B94,Detalle!$A:$AA,$G$1,0)=0,"Sin datos",IFERROR(VLOOKUP(B94,Detalle!$A:$AA,$G$1,0),"Sin datos")),"")</f>
        <v/>
      </c>
      <c r="H94" s="93">
        <f>IFERROR(IF(VLOOKUP(B94,Detalle!$A:$AA,$H$1,0)=0,"Sin datos",IFERROR(VLOOKUP(B94,Detalle!$A:$AA,$H$1,0),"Sin datos")),"")</f>
        <v/>
      </c>
      <c r="I94" s="327">
        <f>IFERROR(IF(VLOOKUP(B94,Detalle!$A:$AA,$I$1,0)=0,"Sin datos",IFERROR(VLOOKUP(B94,Detalle!$A:$AA,$I$1,0),"Sin datos")),"")</f>
        <v/>
      </c>
      <c r="J94" s="93">
        <f>IFERROR(IF(VLOOKUP(B94,Detalle!$A:$AA,$J$1,0)=0,"Sin datos",IFERROR(VLOOKUP(B94,Detalle!$A:$AA,$J$1,0),"Sin datos")),"")</f>
        <v/>
      </c>
      <c r="K94" s="98" t="s">
        <v>293</v>
      </c>
      <c r="L94" s="328">
        <f>MIN(E94,G94,I94)</f>
        <v/>
      </c>
      <c r="M94" s="329">
        <f>IFERROR(IF(MIN(H94,J94)=F94,IF(G94=I94,"Escenario 5","Escenario 4"),IF(MIN(H94,J94)&lt;F94,IF(AND(F94-2&lt;=MIN(H94,J94),G94&lt;&gt;I94),"Escenario 1",IF(AND(F94-2&lt;=MIN(H94,J94),G94=I94),"Escenario 2","Escenario 3")),IF(MIN(H94,J94)&gt;F94,IF(AND(F94+2&gt;=MIN(H94,J94),G94=I94),"Escenario 7",IF(AND(F94+2&gt;=MIN(H94,J94),G94&lt;&gt;I94),"Escenario 6",IF(F94+5&lt;=MIN(H94,J94),"Escenario 9","Escenario 8"))),"error"))),"Falta info")</f>
        <v/>
      </c>
      <c r="N94" s="98">
        <f>IFERROR(VLOOKUP(M94,Base!$BJ$28:$BL$36,3,0),0)</f>
        <v/>
      </c>
      <c r="O94" s="330">
        <f>IF(LOOKUP(M94,Base!$X$8:$BG$8)=M94,VLOOKUP(B94,Base!E:BG,N94,0),0)</f>
        <v/>
      </c>
      <c r="P94" s="330" t="n">
        <v>4990</v>
      </c>
      <c r="Q94" s="327">
        <f>IFERROR(IF(VLOOKUP(B94,Detalle!$A:$AA,$Q$1,0)=0,"Sin datos",IFERROR(VLOOKUP(B94,Detalle!$A:$AA,$Q$1,0),"Sin datos")),"")</f>
        <v/>
      </c>
      <c r="R94" s="93">
        <f>IFERROR(IF(VLOOKUP(B94,Detalle!$A:$AA,$R$1,0)=0,"Sin datos",IFERROR(VLOOKUP(B94,Detalle!$A:$AA,$R$1,0),"Sin datos")),"")</f>
        <v/>
      </c>
      <c r="S94" s="327">
        <f>IFERROR(IF(VLOOKUP(B94,Detalle!$A:$AA,$S$1,0)=0,"Sin datos",IFERROR(VLOOKUP(B94,Detalle!$A:$AA,$S$1,0),"Sin datos")),"")</f>
        <v/>
      </c>
      <c r="T94" s="93">
        <f>IFERROR(IF(VLOOKUP(B94,Detalle!$A:$AA,$T$1,0)=0,"Sin datos",IFERROR(VLOOKUP(B94,Detalle!$A:$AA,$T$1,0),"Sin datos")),"")</f>
        <v/>
      </c>
      <c r="U94" s="327">
        <f>IFERROR(IF(VLOOKUP(B94,Detalle!$A:$AA,$U$1,0)=0,"Sin datos",IFERROR(VLOOKUP(B94,Detalle!$A:$AA,$U$1,0),"Sin datos")),"")</f>
        <v/>
      </c>
      <c r="V94" s="93">
        <f>IFERROR(IF(VLOOKUP(B94,Detalle!$A:$AA,$V$1,0)=0,"Sin datos",IFERROR(VLOOKUP(B94,Detalle!$A:$AA,$V$1,0),"Sin datos")),"")</f>
        <v/>
      </c>
      <c r="W94" s="98">
        <f>IF(P94="",IF(MIN(Q94,S94,U94)&gt;E94,"Si","No"),IF(MIN(Q94,S94,U94)&gt;P94,"Si","No"))</f>
        <v/>
      </c>
      <c r="X94" s="328">
        <f>MIN(Q94,S94,U94)</f>
        <v/>
      </c>
      <c r="Y94" s="328">
        <f>IFERROR(IF(MIN(T94,V94)=R94,IF(S94=U94,"Escenario 5","Escenario 4"),IF(MIN(T94,V94)&lt;R94,IF(AND(R94-2&lt;=MIN(T94,V94),S94&lt;&gt;U94),"Escenario 1",IF(AND(R94-2&lt;=MIN(T94,V94),S94=U94),"Escenario 2","Escenario 3")),IF(MIN(T94,V94)&gt;R94,IF(AND(R94+2&gt;=MIN(T94,V94),S94=U94),"Escenario 7",IF(AND(R94+2&gt;=MIN(T94,V94),S94&lt;&gt;U94),"Escenario 6",IF(R94+5&lt;=MIN(T94,V94),"Escenario 9","Escenario 8"))),"error"))),"Falta info")</f>
        <v/>
      </c>
      <c r="Z94" s="98">
        <f>IFERROR(VLOOKUP(Y94,Base!$BJ$19:$BL$27,3,0),0)</f>
        <v/>
      </c>
      <c r="AA94" s="330">
        <f>IF(LOOKUP(Y94,Base!$X$8:$BG$8)=Y94,VLOOKUP(B94,Base!E:BG,Z94,0),0)</f>
        <v/>
      </c>
      <c r="AB94" s="330" t="n">
        <v>9990</v>
      </c>
      <c r="AC94" s="327">
        <f>IFERROR(IF(VLOOKUP(B94,Detalle!$A:$AA,$AC$1,0)=0,"Sin datos",IFERROR(VLOOKUP(B94,Detalle!$A:$AA,$AC$1,0),"Sin datos")),"")</f>
        <v/>
      </c>
      <c r="AD94" s="93">
        <f>IFERROR(IF(VLOOKUP(B94,Detalle!$A:$AA,$AD$1,0)=0,"Sin datos",IFERROR(VLOOKUP(B94,Detalle!$A:$AA,$AD$1,0),"Sin datos")),"")</f>
        <v/>
      </c>
      <c r="AE94" s="327">
        <f>IFERROR(IF(VLOOKUP(B94,Detalle!$A:$AA,$AE$1,0)=0,"Sin datos",IFERROR(VLOOKUP(B94,Detalle!$A:$AA,$AE$1,0),"Sin datos")),"")</f>
        <v/>
      </c>
      <c r="AF94" s="93">
        <f>IFERROR(IF(VLOOKUP(B94,Detalle!$A:$AA,$AF$1,0)=0,"Sin datos",IFERROR(VLOOKUP(B94,Detalle!$A:$AA,$AF$1,0),"Sin datos")),"")</f>
        <v/>
      </c>
      <c r="AG94" s="327">
        <f>IFERROR(IF(VLOOKUP(B94,Detalle!$A:$AA,$AG$1,0)=0,"Sin datos",IFERROR(VLOOKUP(B94,Detalle!$A:$AA,$AG$1,0),"Sin datos")),"")</f>
        <v/>
      </c>
      <c r="AH94" s="93">
        <f>IFERROR(IF(VLOOKUP(B94,Detalle!$A:$AA,$AH$1,0)=0,"Sin datos",IFERROR(VLOOKUP(B94,Detalle!$A:$AA,$AH$1,0),"Sin datos")),"")</f>
        <v/>
      </c>
      <c r="AI94" s="98">
        <f>IF(AB94="",IF(MIN(AC94,AE94,AG94)&gt;E94,"Si","No"),IF(MIN(AC94,AG94,AG94)&gt;AB94,"Si","No"))</f>
        <v/>
      </c>
      <c r="AJ94" s="328">
        <f>MIN(AC94,AE94,AG94)</f>
        <v/>
      </c>
      <c r="AK94" s="328">
        <f>IFERROR(IF(MIN(AF94,AH94)=AD94,IF(AE94=AG94,"Escenario 5","Escenario 4"),IF(MIN(AF94,AH94)&lt;AD94,IF(AND(AD94-2&lt;=MIN(AF94,AH94),AE94&lt;&gt;AG94),"Escenario 1",IF(AND(AD94-2&lt;=MIN(AF94,AH94),AE94=AG94),"Escenario 2","Escenario 3")),IF(MIN(AF94,AH94)&gt;AD94,IF(AND(AD94+2&gt;=MIN(AF94,AH94),AE94=AG94),"Escenario 7",IF(AND(AD94+2&gt;=MIN(AF94,AH94),AE94&lt;&gt;AG94),"Escenario 6",IF(AD94+5&lt;=MIN(AF94,AH94),"Escenario 9","Escenario 8"))),"error"))),"Falta info")</f>
        <v/>
      </c>
      <c r="AL94" s="98">
        <f>IFERROR(VLOOKUP(AK94,Base!$BJ$37:$BL$45,3,0),0)</f>
        <v/>
      </c>
      <c r="AM94" s="330">
        <f>IF(LOOKUP(AK94,Base!$X$8:$BG$8)=AK94,VLOOKUP(B94,Base!E:BG,AL94,0),0)</f>
        <v/>
      </c>
      <c r="AN94" s="330" t="n">
        <v>8990</v>
      </c>
      <c r="AP94" s="331">
        <f>IF(AM94&lt;=AA94,"REVISAR!","ok")</f>
        <v/>
      </c>
    </row>
    <row customHeight="1" ht="12.95" r="95" s="183" spans="1:43">
      <c r="B95" s="108" t="s">
        <v>62</v>
      </c>
      <c r="C95" s="89" t="s">
        <v>294</v>
      </c>
      <c r="D95" s="106">
        <f>VLOOKUP(B95,Base!E:G,3,0)</f>
        <v/>
      </c>
      <c r="E95" s="326">
        <f>IFERROR(IF(VLOOKUP(B95,Detalle!$A:$AA,$E$1,0)=0,"Sin datos",IFERROR(VLOOKUP(B95,Detalle!$A:$AA,$E$1,0),"Sin datos")),"")</f>
        <v/>
      </c>
      <c r="F95" s="91">
        <f>IFERROR(IF(VLOOKUP(B95,Detalle!$A:$AA,$F$1,0)=0,"Sin datos",IFERROR(VLOOKUP(B95,Detalle!$A:$AA,$F$1,0),"Sin datos")),"")</f>
        <v/>
      </c>
      <c r="G95" s="327">
        <f>IFERROR(IF(VLOOKUP(B95,Detalle!$A:$AA,$G$1,0)=0,"Sin datos",IFERROR(VLOOKUP(B95,Detalle!$A:$AA,$G$1,0),"Sin datos")),"")</f>
        <v/>
      </c>
      <c r="H95" s="93">
        <f>IFERROR(IF(VLOOKUP(B95,Detalle!$A:$AA,$H$1,0)=0,"Sin datos",IFERROR(VLOOKUP(B95,Detalle!$A:$AA,$H$1,0),"Sin datos")),"")</f>
        <v/>
      </c>
      <c r="I95" s="327">
        <f>IFERROR(IF(VLOOKUP(B95,Detalle!$A:$AA,$I$1,0)=0,"Sin datos",IFERROR(VLOOKUP(B95,Detalle!$A:$AA,$I$1,0),"Sin datos")),"")</f>
        <v/>
      </c>
      <c r="J95" s="93">
        <f>IFERROR(IF(VLOOKUP(B95,Detalle!$A:$AA,$J$1,0)=0,"Sin datos",IFERROR(VLOOKUP(B95,Detalle!$A:$AA,$J$1,0),"Sin datos")),"")</f>
        <v/>
      </c>
      <c r="K95" s="98" t="s">
        <v>293</v>
      </c>
      <c r="L95" s="328">
        <f>MIN(E95,G95,I95)</f>
        <v/>
      </c>
      <c r="M95" s="329">
        <f>IFERROR(IF(MIN(H95,J95)=F95,IF(G95=I95,"Escenario 5","Escenario 4"),IF(MIN(H95,J95)&lt;F95,IF(AND(F95-2&lt;=MIN(H95,J95),G95&lt;&gt;I95),"Escenario 1",IF(AND(F95-2&lt;=MIN(H95,J95),G95=I95),"Escenario 2","Escenario 3")),IF(MIN(H95,J95)&gt;F95,IF(AND(F95+2&gt;=MIN(H95,J95),G95=I95),"Escenario 7",IF(AND(F95+2&gt;=MIN(H95,J95),G95&lt;&gt;I95),"Escenario 6",IF(F95+5&lt;=MIN(H95,J95),"Escenario 9","Escenario 8"))),"error"))),"Falta info")</f>
        <v/>
      </c>
      <c r="N95" s="98">
        <f>IFERROR(VLOOKUP(M95,Base!$BJ$28:$BL$36,3,0),0)</f>
        <v/>
      </c>
      <c r="O95" s="330">
        <f>IF(LOOKUP(M95,Base!$X$8:$BG$8)=M95,VLOOKUP(B95,Base!E:BG,N95,0),0)</f>
        <v/>
      </c>
      <c r="P95" s="330" t="n"/>
      <c r="Q95" s="327">
        <f>IFERROR(IF(VLOOKUP(B95,Detalle!$A:$AA,$Q$1,0)=0,"Sin datos",IFERROR(VLOOKUP(B95,Detalle!$A:$AA,$Q$1,0),"Sin datos")),"")</f>
        <v/>
      </c>
      <c r="R95" s="93">
        <f>IFERROR(IF(VLOOKUP(B95,Detalle!$A:$AA,$R$1,0)=0,"Sin datos",IFERROR(VLOOKUP(B95,Detalle!$A:$AA,$R$1,0),"Sin datos")),"")</f>
        <v/>
      </c>
      <c r="S95" s="327">
        <f>IFERROR(IF(VLOOKUP(B95,Detalle!$A:$AA,$S$1,0)=0,"Sin datos",IFERROR(VLOOKUP(B95,Detalle!$A:$AA,$S$1,0),"Sin datos")),"")</f>
        <v/>
      </c>
      <c r="T95" s="93">
        <f>IFERROR(IF(VLOOKUP(B95,Detalle!$A:$AA,$T$1,0)=0,"Sin datos",IFERROR(VLOOKUP(B95,Detalle!$A:$AA,$T$1,0),"Sin datos")),"")</f>
        <v/>
      </c>
      <c r="U95" s="327">
        <f>IFERROR(IF(VLOOKUP(B95,Detalle!$A:$AA,$U$1,0)=0,"Sin datos",IFERROR(VLOOKUP(B95,Detalle!$A:$AA,$U$1,0),"Sin datos")),"")</f>
        <v/>
      </c>
      <c r="V95" s="93">
        <f>IFERROR(IF(VLOOKUP(B95,Detalle!$A:$AA,$V$1,0)=0,"Sin datos",IFERROR(VLOOKUP(B95,Detalle!$A:$AA,$V$1,0),"Sin datos")),"")</f>
        <v/>
      </c>
      <c r="W95" s="98">
        <f>IF(P95="",IF(MIN(Q95,S95,U95)&gt;E95,"Si","No"),IF(MIN(Q95,S95,U95)&gt;P95,"Si","No"))</f>
        <v/>
      </c>
      <c r="X95" s="328">
        <f>MIN(Q95,S95,U95)</f>
        <v/>
      </c>
      <c r="Y95" s="328">
        <f>IFERROR(IF(MIN(T95,V95)=R95,IF(S95=U95,"Escenario 5","Escenario 4"),IF(MIN(T95,V95)&lt;R95,IF(AND(R95-2&lt;=MIN(T95,V95),S95&lt;&gt;U95),"Escenario 1",IF(AND(R95-2&lt;=MIN(T95,V95),S95=U95),"Escenario 2","Escenario 3")),IF(MIN(T95,V95)&gt;R95,IF(AND(R95+2&gt;=MIN(T95,V95),S95=U95),"Escenario 7",IF(AND(R95+2&gt;=MIN(T95,V95),S95&lt;&gt;U95),"Escenario 6",IF(R95+5&lt;=MIN(T95,V95),"Escenario 9","Escenario 8"))),"error"))),"Falta info")</f>
        <v/>
      </c>
      <c r="Z95" s="98">
        <f>IFERROR(VLOOKUP(Y95,Base!$BJ$19:$BL$27,3,0),0)</f>
        <v/>
      </c>
      <c r="AA95" s="330">
        <f>IF(LOOKUP(Y95,Base!$X$8:$BG$8)=Y95,VLOOKUP(B95,Base!E:BG,Z95,0),0)</f>
        <v/>
      </c>
      <c r="AB95" s="330" t="n"/>
      <c r="AC95" s="327">
        <f>IFERROR(IF(VLOOKUP(B95,Detalle!$A:$AA,$AC$1,0)=0,"Sin datos",IFERROR(VLOOKUP(B95,Detalle!$A:$AA,$AC$1,0),"Sin datos")),"")</f>
        <v/>
      </c>
      <c r="AD95" s="93">
        <f>IFERROR(IF(VLOOKUP(B95,Detalle!$A:$AA,$AD$1,0)=0,"Sin datos",IFERROR(VLOOKUP(B95,Detalle!$A:$AA,$AD$1,0),"Sin datos")),"")</f>
        <v/>
      </c>
      <c r="AE95" s="327">
        <f>IFERROR(IF(VLOOKUP(B95,Detalle!$A:$AA,$AE$1,0)=0,"Sin datos",IFERROR(VLOOKUP(B95,Detalle!$A:$AA,$AE$1,0),"Sin datos")),"")</f>
        <v/>
      </c>
      <c r="AF95" s="93">
        <f>IFERROR(IF(VLOOKUP(B95,Detalle!$A:$AA,$AF$1,0)=0,"Sin datos",IFERROR(VLOOKUP(B95,Detalle!$A:$AA,$AF$1,0),"Sin datos")),"")</f>
        <v/>
      </c>
      <c r="AG95" s="327">
        <f>IFERROR(IF(VLOOKUP(B95,Detalle!$A:$AA,$AG$1,0)=0,"Sin datos",IFERROR(VLOOKUP(B95,Detalle!$A:$AA,$AG$1,0),"Sin datos")),"")</f>
        <v/>
      </c>
      <c r="AH95" s="93">
        <f>IFERROR(IF(VLOOKUP(B95,Detalle!$A:$AA,$AH$1,0)=0,"Sin datos",IFERROR(VLOOKUP(B95,Detalle!$A:$AA,$AH$1,0),"Sin datos")),"")</f>
        <v/>
      </c>
      <c r="AI95" s="98">
        <f>IF(AB95="",IF(MIN(AC95,AE95,AG95)&gt;E95,"Si","No"),IF(MIN(AC95,AG95,AG95)&gt;AB95,"Si","No"))</f>
        <v/>
      </c>
      <c r="AJ95" s="328">
        <f>MIN(AC95,AE95,AG95)</f>
        <v/>
      </c>
      <c r="AK95" s="328">
        <f>IFERROR(IF(MIN(AF95,AH95)=AD95,IF(AE95=AG95,"Escenario 5","Escenario 4"),IF(MIN(AF95,AH95)&lt;AD95,IF(AND(AD95-2&lt;=MIN(AF95,AH95),AE95&lt;&gt;AG95),"Escenario 1",IF(AND(AD95-2&lt;=MIN(AF95,AH95),AE95=AG95),"Escenario 2","Escenario 3")),IF(MIN(AF95,AH95)&gt;AD95,IF(AND(AD95+2&gt;=MIN(AF95,AH95),AE95=AG95),"Escenario 7",IF(AND(AD95+2&gt;=MIN(AF95,AH95),AE95&lt;&gt;AG95),"Escenario 6",IF(AD95+5&lt;=MIN(AF95,AH95),"Escenario 9","Escenario 8"))),"error"))),"Falta info")</f>
        <v/>
      </c>
      <c r="AL95" s="98">
        <f>IFERROR(VLOOKUP(AK95,Base!$BJ$37:$BL$45,3,0),0)</f>
        <v/>
      </c>
      <c r="AM95" s="330">
        <f>IF(LOOKUP(AK95,Base!$X$8:$BG$8)=AK95,VLOOKUP(B95,Base!E:BG,AL95,0),0)</f>
        <v/>
      </c>
      <c r="AN95" s="330" t="n"/>
      <c r="AP95" s="331">
        <f>IF(AM95&lt;=AA95,"REVISAR!","ok")</f>
        <v/>
      </c>
    </row>
    <row customHeight="1" ht="12.95" r="96" s="183" spans="1:43">
      <c r="B96" s="108" t="s">
        <v>69</v>
      </c>
      <c r="C96" s="89" t="s">
        <v>294</v>
      </c>
      <c r="D96" s="106">
        <f>VLOOKUP(B96,Base!E:G,3,0)</f>
        <v/>
      </c>
      <c r="E96" s="326">
        <f>IFERROR(IF(VLOOKUP(B96,Detalle!$A:$AA,$E$1,0)=0,"Sin datos",IFERROR(VLOOKUP(B96,Detalle!$A:$AA,$E$1,0),"Sin datos")),"")</f>
        <v/>
      </c>
      <c r="F96" s="91">
        <f>IFERROR(IF(VLOOKUP(B96,Detalle!$A:$AA,$F$1,0)=0,"Sin datos",IFERROR(VLOOKUP(B96,Detalle!$A:$AA,$F$1,0),"Sin datos")),"")</f>
        <v/>
      </c>
      <c r="G96" s="327">
        <f>IFERROR(IF(VLOOKUP(B96,Detalle!$A:$AA,$G$1,0)=0,"Sin datos",IFERROR(VLOOKUP(B96,Detalle!$A:$AA,$G$1,0),"Sin datos")),"")</f>
        <v/>
      </c>
      <c r="H96" s="93">
        <f>IFERROR(IF(VLOOKUP(B96,Detalle!$A:$AA,$H$1,0)=0,"Sin datos",IFERROR(VLOOKUP(B96,Detalle!$A:$AA,$H$1,0),"Sin datos")),"")</f>
        <v/>
      </c>
      <c r="I96" s="327">
        <f>IFERROR(IF(VLOOKUP(B96,Detalle!$A:$AA,$I$1,0)=0,"Sin datos",IFERROR(VLOOKUP(B96,Detalle!$A:$AA,$I$1,0),"Sin datos")),"")</f>
        <v/>
      </c>
      <c r="J96" s="93">
        <f>IFERROR(IF(VLOOKUP(B96,Detalle!$A:$AA,$J$1,0)=0,"Sin datos",IFERROR(VLOOKUP(B96,Detalle!$A:$AA,$J$1,0),"Sin datos")),"")</f>
        <v/>
      </c>
      <c r="K96" s="98" t="s">
        <v>293</v>
      </c>
      <c r="L96" s="328">
        <f>MIN(E96,G96,I96)</f>
        <v/>
      </c>
      <c r="M96" s="329">
        <f>IFERROR(IF(MIN(H96,J96)=F96,IF(G96=I96,"Escenario 5","Escenario 4"),IF(MIN(H96,J96)&lt;F96,IF(AND(F96-2&lt;=MIN(H96,J96),G96&lt;&gt;I96),"Escenario 1",IF(AND(F96-2&lt;=MIN(H96,J96),G96=I96),"Escenario 2","Escenario 3")),IF(MIN(H96,J96)&gt;F96,IF(AND(F96+2&gt;=MIN(H96,J96),G96=I96),"Escenario 7",IF(AND(F96+2&gt;=MIN(H96,J96),G96&lt;&gt;I96),"Escenario 6",IF(F96+5&lt;=MIN(H96,J96),"Escenario 9","Escenario 8"))),"error"))),"Falta info")</f>
        <v/>
      </c>
      <c r="N96" s="98">
        <f>IFERROR(VLOOKUP(M96,Base!$BJ$28:$BL$36,3,0),0)</f>
        <v/>
      </c>
      <c r="O96" s="330">
        <f>IF(LOOKUP(M96,Base!$X$8:$BG$8)=M96,VLOOKUP(B96,Base!E:BG,N96,0),0)</f>
        <v/>
      </c>
      <c r="P96" s="330" t="n"/>
      <c r="Q96" s="327">
        <f>IFERROR(IF(VLOOKUP(B96,Detalle!$A:$AA,$Q$1,0)=0,"Sin datos",IFERROR(VLOOKUP(B96,Detalle!$A:$AA,$Q$1,0),"Sin datos")),"")</f>
        <v/>
      </c>
      <c r="R96" s="93">
        <f>IFERROR(IF(VLOOKUP(B96,Detalle!$A:$AA,$R$1,0)=0,"Sin datos",IFERROR(VLOOKUP(B96,Detalle!$A:$AA,$R$1,0),"Sin datos")),"")</f>
        <v/>
      </c>
      <c r="S96" s="327">
        <f>IFERROR(IF(VLOOKUP(B96,Detalle!$A:$AA,$S$1,0)=0,"Sin datos",IFERROR(VLOOKUP(B96,Detalle!$A:$AA,$S$1,0),"Sin datos")),"")</f>
        <v/>
      </c>
      <c r="T96" s="93">
        <f>IFERROR(IF(VLOOKUP(B96,Detalle!$A:$AA,$T$1,0)=0,"Sin datos",IFERROR(VLOOKUP(B96,Detalle!$A:$AA,$T$1,0),"Sin datos")),"")</f>
        <v/>
      </c>
      <c r="U96" s="327">
        <f>IFERROR(IF(VLOOKUP(B96,Detalle!$A:$AA,$U$1,0)=0,"Sin datos",IFERROR(VLOOKUP(B96,Detalle!$A:$AA,$U$1,0),"Sin datos")),"")</f>
        <v/>
      </c>
      <c r="V96" s="93">
        <f>IFERROR(IF(VLOOKUP(B96,Detalle!$A:$AA,$V$1,0)=0,"Sin datos",IFERROR(VLOOKUP(B96,Detalle!$A:$AA,$V$1,0),"Sin datos")),"")</f>
        <v/>
      </c>
      <c r="W96" s="98">
        <f>IF(P96="",IF(MIN(Q96,S96,U96)&gt;E96,"Si","No"),IF(MIN(Q96,S96,U96)&gt;P96,"Si","No"))</f>
        <v/>
      </c>
      <c r="X96" s="328">
        <f>MIN(Q96,S96,U96)</f>
        <v/>
      </c>
      <c r="Y96" s="328">
        <f>IFERROR(IF(MIN(T96,V96)=R96,IF(S96=U96,"Escenario 5","Escenario 4"),IF(MIN(T96,V96)&lt;R96,IF(AND(R96-2&lt;=MIN(T96,V96),S96&lt;&gt;U96),"Escenario 1",IF(AND(R96-2&lt;=MIN(T96,V96),S96=U96),"Escenario 2","Escenario 3")),IF(MIN(T96,V96)&gt;R96,IF(AND(R96+2&gt;=MIN(T96,V96),S96=U96),"Escenario 7",IF(AND(R96+2&gt;=MIN(T96,V96),S96&lt;&gt;U96),"Escenario 6",IF(R96+5&lt;=MIN(T96,V96),"Escenario 9","Escenario 8"))),"error"))),"Falta info")</f>
        <v/>
      </c>
      <c r="Z96" s="98">
        <f>IFERROR(VLOOKUP(Y96,Base!$BJ$19:$BL$27,3,0),0)</f>
        <v/>
      </c>
      <c r="AA96" s="330">
        <f>IF(LOOKUP(Y96,Base!$X$8:$BG$8)=Y96,VLOOKUP(B96,Base!E:BG,Z96,0),0)</f>
        <v/>
      </c>
      <c r="AB96" s="330" t="n">
        <v>15990</v>
      </c>
      <c r="AC96" s="327">
        <f>IFERROR(IF(VLOOKUP(B96,Detalle!$A:$AA,$AC$1,0)=0,"Sin datos",IFERROR(VLOOKUP(B96,Detalle!$A:$AA,$AC$1,0),"Sin datos")),"")</f>
        <v/>
      </c>
      <c r="AD96" s="93">
        <f>IFERROR(IF(VLOOKUP(B96,Detalle!$A:$AA,$AD$1,0)=0,"Sin datos",IFERROR(VLOOKUP(B96,Detalle!$A:$AA,$AD$1,0),"Sin datos")),"")</f>
        <v/>
      </c>
      <c r="AE96" s="327">
        <f>IFERROR(IF(VLOOKUP(B96,Detalle!$A:$AA,$AE$1,0)=0,"Sin datos",IFERROR(VLOOKUP(B96,Detalle!$A:$AA,$AE$1,0),"Sin datos")),"")</f>
        <v/>
      </c>
      <c r="AF96" s="93">
        <f>IFERROR(IF(VLOOKUP(B96,Detalle!$A:$AA,$AF$1,0)=0,"Sin datos",IFERROR(VLOOKUP(B96,Detalle!$A:$AA,$AF$1,0),"Sin datos")),"")</f>
        <v/>
      </c>
      <c r="AG96" s="327">
        <f>IFERROR(IF(VLOOKUP(B96,Detalle!$A:$AA,$AG$1,0)=0,"Sin datos",IFERROR(VLOOKUP(B96,Detalle!$A:$AA,$AG$1,0),"Sin datos")),"")</f>
        <v/>
      </c>
      <c r="AH96" s="93">
        <f>IFERROR(IF(VLOOKUP(B96,Detalle!$A:$AA,$AH$1,0)=0,"Sin datos",IFERROR(VLOOKUP(B96,Detalle!$A:$AA,$AH$1,0),"Sin datos")),"")</f>
        <v/>
      </c>
      <c r="AI96" s="98">
        <f>IF(AB96="",IF(MIN(AC96,AE96,AG96)&gt;E96,"Si","No"),IF(MIN(AC96,AG96,AG96)&gt;AB96,"Si","No"))</f>
        <v/>
      </c>
      <c r="AJ96" s="328">
        <f>MIN(AC96,AE96,AG96)</f>
        <v/>
      </c>
      <c r="AK96" s="328">
        <f>IFERROR(IF(MIN(AF96,AH96)=AD96,IF(AE96=AG96,"Escenario 5","Escenario 4"),IF(MIN(AF96,AH96)&lt;AD96,IF(AND(AD96-2&lt;=MIN(AF96,AH96),AE96&lt;&gt;AG96),"Escenario 1",IF(AND(AD96-2&lt;=MIN(AF96,AH96),AE96=AG96),"Escenario 2","Escenario 3")),IF(MIN(AF96,AH96)&gt;AD96,IF(AND(AD96+2&gt;=MIN(AF96,AH96),AE96=AG96),"Escenario 7",IF(AND(AD96+2&gt;=MIN(AF96,AH96),AE96&lt;&gt;AG96),"Escenario 6",IF(AD96+5&lt;=MIN(AF96,AH96),"Escenario 9","Escenario 8"))),"error"))),"Falta info")</f>
        <v/>
      </c>
      <c r="AL96" s="98">
        <f>IFERROR(VLOOKUP(AK96,Base!$BJ$37:$BL$45,3,0),0)</f>
        <v/>
      </c>
      <c r="AM96" s="330">
        <f>IF(LOOKUP(AK96,Base!$X$8:$BG$8)=AK96,VLOOKUP(B96,Base!E:BG,AL96,0),0)</f>
        <v/>
      </c>
      <c r="AN96" s="330" t="n">
        <v>16990</v>
      </c>
      <c r="AP96" s="331" t="n"/>
    </row>
    <row customHeight="1" ht="12.95" r="97" s="183" spans="1:43">
      <c r="B97" s="108" t="s">
        <v>77</v>
      </c>
      <c r="C97" s="89" t="s">
        <v>294</v>
      </c>
      <c r="D97" s="106">
        <f>VLOOKUP(B97,Base!E:G,3,0)</f>
        <v/>
      </c>
      <c r="E97" s="326">
        <f>IFERROR(IF(VLOOKUP(B97,Detalle!$A:$AA,$E$1,0)=0,"Sin datos",IFERROR(VLOOKUP(B97,Detalle!$A:$AA,$E$1,0),"Sin datos")),"")</f>
        <v/>
      </c>
      <c r="F97" s="91">
        <f>IFERROR(IF(VLOOKUP(B97,Detalle!$A:$AA,$F$1,0)=0,"Sin datos",IFERROR(VLOOKUP(B97,Detalle!$A:$AA,$F$1,0),"Sin datos")),"")</f>
        <v/>
      </c>
      <c r="G97" s="327">
        <f>IFERROR(IF(VLOOKUP(B97,Detalle!$A:$AA,$G$1,0)=0,"Sin datos",IFERROR(VLOOKUP(B97,Detalle!$A:$AA,$G$1,0),"Sin datos")),"")</f>
        <v/>
      </c>
      <c r="H97" s="93">
        <f>IFERROR(IF(VLOOKUP(B97,Detalle!$A:$AA,$H$1,0)=0,"Sin datos",IFERROR(VLOOKUP(B97,Detalle!$A:$AA,$H$1,0),"Sin datos")),"")</f>
        <v/>
      </c>
      <c r="I97" s="327">
        <f>IFERROR(IF(VLOOKUP(B97,Detalle!$A:$AA,$I$1,0)=0,"Sin datos",IFERROR(VLOOKUP(B97,Detalle!$A:$AA,$I$1,0),"Sin datos")),"")</f>
        <v/>
      </c>
      <c r="J97" s="93">
        <f>IFERROR(IF(VLOOKUP(B97,Detalle!$A:$AA,$J$1,0)=0,"Sin datos",IFERROR(VLOOKUP(B97,Detalle!$A:$AA,$J$1,0),"Sin datos")),"")</f>
        <v/>
      </c>
      <c r="K97" s="98" t="s">
        <v>293</v>
      </c>
      <c r="L97" s="328">
        <f>MIN(E97,G97,I97)</f>
        <v/>
      </c>
      <c r="M97" s="329">
        <f>IFERROR(IF(MIN(H97,J97)=F97,IF(G97=I97,"Escenario 5","Escenario 4"),IF(MIN(H97,J97)&lt;F97,IF(AND(F97-2&lt;=MIN(H97,J97),G97&lt;&gt;I97),"Escenario 1",IF(AND(F97-2&lt;=MIN(H97,J97),G97=I97),"Escenario 2","Escenario 3")),IF(MIN(H97,J97)&gt;F97,IF(AND(F97+2&gt;=MIN(H97,J97),G97=I97),"Escenario 7",IF(AND(F97+2&gt;=MIN(H97,J97),G97&lt;&gt;I97),"Escenario 6",IF(F97+5&lt;=MIN(H97,J97),"Escenario 9","Escenario 8"))),"error"))),"Falta info")</f>
        <v/>
      </c>
      <c r="N97" s="98">
        <f>IFERROR(VLOOKUP(M97,Base!$BJ$28:$BL$36,3,0),0)</f>
        <v/>
      </c>
      <c r="O97" s="330">
        <f>IF(LOOKUP(M97,Base!$X$8:$BG$8)=M97,VLOOKUP(B97,Base!E:BG,N97,0),0)</f>
        <v/>
      </c>
      <c r="P97" s="330" t="n">
        <v>3990</v>
      </c>
      <c r="Q97" s="327">
        <f>IFERROR(IF(VLOOKUP(B97,Detalle!$A:$AA,$Q$1,0)=0,"Sin datos",IFERROR(VLOOKUP(B97,Detalle!$A:$AA,$Q$1,0),"Sin datos")),"")</f>
        <v/>
      </c>
      <c r="R97" s="93">
        <f>IFERROR(IF(VLOOKUP(B97,Detalle!$A:$AA,$R$1,0)=0,"Sin datos",IFERROR(VLOOKUP(B97,Detalle!$A:$AA,$R$1,0),"Sin datos")),"")</f>
        <v/>
      </c>
      <c r="S97" s="327">
        <f>IFERROR(IF(VLOOKUP(B97,Detalle!$A:$AA,$S$1,0)=0,"Sin datos",IFERROR(VLOOKUP(B97,Detalle!$A:$AA,$S$1,0),"Sin datos")),"")</f>
        <v/>
      </c>
      <c r="T97" s="93">
        <f>IFERROR(IF(VLOOKUP(B97,Detalle!$A:$AA,$T$1,0)=0,"Sin datos",IFERROR(VLOOKUP(B97,Detalle!$A:$AA,$T$1,0),"Sin datos")),"")</f>
        <v/>
      </c>
      <c r="U97" s="327">
        <f>IFERROR(IF(VLOOKUP(B97,Detalle!$A:$AA,$U$1,0)=0,"Sin datos",IFERROR(VLOOKUP(B97,Detalle!$A:$AA,$U$1,0),"Sin datos")),"")</f>
        <v/>
      </c>
      <c r="V97" s="93">
        <f>IFERROR(IF(VLOOKUP(B97,Detalle!$A:$AA,$V$1,0)=0,"Sin datos",IFERROR(VLOOKUP(B97,Detalle!$A:$AA,$V$1,0),"Sin datos")),"")</f>
        <v/>
      </c>
      <c r="W97" s="98">
        <f>IF(P97="",IF(MIN(Q97,S97,U97)&gt;E97,"Si","No"),IF(MIN(Q97,S97,U97)&gt;P97,"Si","No"))</f>
        <v/>
      </c>
      <c r="X97" s="328">
        <f>MIN(Q97,S97,U97)</f>
        <v/>
      </c>
      <c r="Y97" s="328">
        <f>IFERROR(IF(MIN(T97,V97)=R97,IF(S97=U97,"Escenario 5","Escenario 4"),IF(MIN(T97,V97)&lt;R97,IF(AND(R97-2&lt;=MIN(T97,V97),S97&lt;&gt;U97),"Escenario 1",IF(AND(R97-2&lt;=MIN(T97,V97),S97=U97),"Escenario 2","Escenario 3")),IF(MIN(T97,V97)&gt;R97,IF(AND(R97+2&gt;=MIN(T97,V97),S97=U97),"Escenario 7",IF(AND(R97+2&gt;=MIN(T97,V97),S97&lt;&gt;U97),"Escenario 6",IF(R97+5&lt;=MIN(T97,V97),"Escenario 9","Escenario 8"))),"error"))),"Falta info")</f>
        <v/>
      </c>
      <c r="Z97" s="98">
        <f>IFERROR(VLOOKUP(Y97,Base!$BJ$19:$BL$27,3,0),0)</f>
        <v/>
      </c>
      <c r="AA97" s="330">
        <f>IF(LOOKUP(Y97,Base!$X$8:$BG$8)=Y97,VLOOKUP(B97,Base!E:BG,Z97,0),0)</f>
        <v/>
      </c>
      <c r="AB97" s="330" t="n">
        <v>9490</v>
      </c>
      <c r="AC97" s="327">
        <f>IFERROR(IF(VLOOKUP(B97,Detalle!$A:$AA,$AC$1,0)=0,"Sin datos",IFERROR(VLOOKUP(B97,Detalle!$A:$AA,$AC$1,0),"Sin datos")),"")</f>
        <v/>
      </c>
      <c r="AD97" s="93">
        <f>IFERROR(IF(VLOOKUP(B97,Detalle!$A:$AA,$AD$1,0)=0,"Sin datos",IFERROR(VLOOKUP(B97,Detalle!$A:$AA,$AD$1,0),"Sin datos")),"")</f>
        <v/>
      </c>
      <c r="AE97" s="327">
        <f>IFERROR(IF(VLOOKUP(B97,Detalle!$A:$AA,$AE$1,0)=0,"Sin datos",IFERROR(VLOOKUP(B97,Detalle!$A:$AA,$AE$1,0),"Sin datos")),"")</f>
        <v/>
      </c>
      <c r="AF97" s="93">
        <f>IFERROR(IF(VLOOKUP(B97,Detalle!$A:$AA,$AF$1,0)=0,"Sin datos",IFERROR(VLOOKUP(B97,Detalle!$A:$AA,$AF$1,0),"Sin datos")),"")</f>
        <v/>
      </c>
      <c r="AG97" s="327">
        <f>IFERROR(IF(VLOOKUP(B97,Detalle!$A:$AA,$AG$1,0)=0,"Sin datos",IFERROR(VLOOKUP(B97,Detalle!$A:$AA,$AG$1,0),"Sin datos")),"")</f>
        <v/>
      </c>
      <c r="AH97" s="93">
        <f>IFERROR(IF(VLOOKUP(B97,Detalle!$A:$AA,$AH$1,0)=0,"Sin datos",IFERROR(VLOOKUP(B97,Detalle!$A:$AA,$AH$1,0),"Sin datos")),"")</f>
        <v/>
      </c>
      <c r="AI97" s="98">
        <f>IF(AB97="",IF(MIN(AC97,AE97,AG97)&gt;E97,"Si","No"),IF(MIN(AC97,AG97,AG97)&gt;AB97,"Si","No"))</f>
        <v/>
      </c>
      <c r="AJ97" s="328">
        <f>MIN(AC97,AE97,AG97)</f>
        <v/>
      </c>
      <c r="AK97" s="328">
        <f>IFERROR(IF(MIN(AF97,AH97)=AD97,IF(AE97=AG97,"Escenario 5","Escenario 4"),IF(MIN(AF97,AH97)&lt;AD97,IF(AND(AD97-2&lt;=MIN(AF97,AH97),AE97&lt;&gt;AG97),"Escenario 1",IF(AND(AD97-2&lt;=MIN(AF97,AH97),AE97=AG97),"Escenario 2","Escenario 3")),IF(MIN(AF97,AH97)&gt;AD97,IF(AND(AD97+2&gt;=MIN(AF97,AH97),AE97=AG97),"Escenario 7",IF(AND(AD97+2&gt;=MIN(AF97,AH97),AE97&lt;&gt;AG97),"Escenario 6",IF(AD97+5&lt;=MIN(AF97,AH97),"Escenario 9","Escenario 8"))),"error"))),"Falta info")</f>
        <v/>
      </c>
      <c r="AL97" s="98">
        <f>IFERROR(VLOOKUP(AK97,Base!$BJ$37:$BL$45,3,0),0)</f>
        <v/>
      </c>
      <c r="AM97" s="330">
        <f>IF(LOOKUP(AK97,Base!$X$8:$BG$8)=AK97,VLOOKUP(B97,Base!E:BG,AL97,0),0)</f>
        <v/>
      </c>
      <c r="AN97" s="330" t="n"/>
      <c r="AP97" s="331" t="n"/>
    </row>
    <row customHeight="1" ht="12.95" r="98" s="183" spans="1:43">
      <c r="B98" s="108" t="n"/>
      <c r="C98" s="89" t="n"/>
      <c r="D98" s="106">
        <f>VLOOKUP(B98,Base!E:G,3,0)</f>
        <v/>
      </c>
      <c r="E98" s="326" t="n"/>
      <c r="F98" s="91">
        <f>IFERROR(IF(VLOOKUP(B98,Detalle!$A:$AA,$F$1,0)=0,"Sin datos",IFERROR(VLOOKUP(B98,Detalle!$A:$AA,$F$1,0),"Sin datos")),"")</f>
        <v/>
      </c>
      <c r="G98" s="327">
        <f>IFERROR(IF(VLOOKUP(B98,Detalle!$A:$AA,$G$1,0)=0,"Sin datos",IFERROR(VLOOKUP(B98,Detalle!$A:$AA,$G$1,0),"Sin datos")),"")</f>
        <v/>
      </c>
      <c r="H98" s="93">
        <f>IFERROR(IF(VLOOKUP(B98,Detalle!$A:$AA,$H$1,0)=0,"Sin datos",IFERROR(VLOOKUP(B98,Detalle!$A:$AA,$H$1,0),"Sin datos")),"")</f>
        <v/>
      </c>
      <c r="I98" s="327">
        <f>IFERROR(IF(VLOOKUP(B98,Detalle!$A:$AA,$I$1,0)=0,"Sin datos",IFERROR(VLOOKUP(B98,Detalle!$A:$AA,$I$1,0),"Sin datos")),"")</f>
        <v/>
      </c>
      <c r="J98" s="93">
        <f>IFERROR(IF(VLOOKUP(B98,Detalle!$A:$AA,$J$1,0)=0,"Sin datos",IFERROR(VLOOKUP(B98,Detalle!$A:$AA,$J$1,0),"Sin datos")),"")</f>
        <v/>
      </c>
      <c r="K98" s="98" t="n"/>
      <c r="L98" s="328" t="n"/>
      <c r="M98" s="329">
        <f>IFERROR(IF(MIN(H98,J98)=F98,IF(G98=I98,"Escenario 5","Escenario 4"),IF(MIN(H98,J98)&lt;F98,IF(AND(F98-2&lt;=MIN(H98,J98),G98&lt;&gt;I98),"Escenario 1",IF(AND(F98-2&lt;=MIN(H98,J98),G98=I98),"Escenario 2","Escenario 3")),IF(MIN(H98,J98)&gt;F98,IF(AND(F98+2&gt;=MIN(H98,J98),G98=I98),"Escenario 7",IF(AND(F98+2&gt;=MIN(H98,J98),G98&lt;&gt;I98),"Escenario 6",IF(F98+5&lt;=MIN(H98,J98),"Escenario 9","Escenario 8"))),"error"))),"Falta info")</f>
        <v/>
      </c>
      <c r="N98" s="98">
        <f>IFERROR(VLOOKUP(M98,Base!$BJ$28:$BL$36,3,0),0)</f>
        <v/>
      </c>
      <c r="O98" s="330" t="n"/>
      <c r="P98" s="330" t="n"/>
      <c r="Q98" s="327" t="n"/>
      <c r="R98" s="93" t="n"/>
      <c r="S98" s="327" t="n"/>
      <c r="T98" s="93" t="n"/>
      <c r="U98" s="327" t="n"/>
      <c r="V98" s="93" t="n"/>
      <c r="W98" s="98" t="n"/>
      <c r="X98" s="328">
        <f>MIN(Q98,S98,U98)</f>
        <v/>
      </c>
      <c r="Y98" s="328">
        <f>IFERROR(IF(MIN(T98,V98)=R98,IF(S98=U98,"Escenario 5","Escenario 4"),IF(MIN(T98,V98)&lt;R98,IF(AND(R98-2&lt;=MIN(T98,V98),S98&lt;&gt;U98),"Escenario 1",IF(AND(R98-2&lt;=MIN(T98,V98),S98=U98),"Escenario 2","Escenario 3")),IF(MIN(T98,V98)&gt;R98,IF(AND(R98+2&gt;=MIN(T98,V98),S98=U98),"Escenario 7",IF(AND(R98+2&gt;=MIN(T98,V98),S98&lt;&gt;U98),"Escenario 6",IF(R98+5&lt;=MIN(T98,V98),"Escenario 9","Escenario 8"))),"error"))),"Falta info")</f>
        <v/>
      </c>
      <c r="Z98" s="98">
        <f>IFERROR(VLOOKUP(Y98,Base!$BJ$19:$BL$27,3,0),0)</f>
        <v/>
      </c>
      <c r="AA98" s="330" t="n"/>
      <c r="AB98" s="330" t="n"/>
      <c r="AC98" s="327" t="n"/>
      <c r="AD98" s="93" t="n"/>
      <c r="AE98" s="327" t="n"/>
      <c r="AF98" s="93" t="n"/>
      <c r="AG98" s="327" t="n"/>
      <c r="AH98" s="93" t="n"/>
      <c r="AI98" s="98">
        <f>IF(AB98="",IF(MIN(AC98,AE98,AG98)&gt;E98,"Si","No"),IF(MIN(AC98,AG98,AG98)&gt;AB98,"Si","No"))</f>
        <v/>
      </c>
      <c r="AJ98" s="328">
        <f>MIN(AC98,AE98,AG98)</f>
        <v/>
      </c>
      <c r="AK98" s="328">
        <f>IFERROR(IF(MIN(AF98,AH98)=AD98,IF(AE98=AG98,"Escenario 5","Escenario 4"),IF(MIN(AF98,AH98)&lt;AD98,IF(AND(AD98-2&lt;=MIN(AF98,AH98),AE98&lt;&gt;AG98),"Escenario 1",IF(AND(AD98-2&lt;=MIN(AF98,AH98),AE98=AG98),"Escenario 2","Escenario 3")),IF(MIN(AF98,AH98)&gt;AD98,IF(AND(AD98+2&gt;=MIN(AF98,AH98),AE98=AG98),"Escenario 7",IF(AND(AD98+2&gt;=MIN(AF98,AH98),AE98&lt;&gt;AG98),"Escenario 6",IF(AD98+5&lt;=MIN(AF98,AH98),"Escenario 9","Escenario 8"))),"error"))),"Falta info")</f>
        <v/>
      </c>
      <c r="AL98" s="98">
        <f>IFERROR(VLOOKUP(AK98,Base!$BJ$37:$BL$45,3,0),0)</f>
        <v/>
      </c>
      <c r="AM98" s="330">
        <f>IF(LOOKUP(AK98,Base!$X$8:$BG$8)=AK98,VLOOKUP(B98,Base!E:BG,AL98,0),0)</f>
        <v/>
      </c>
      <c r="AN98" s="330" t="e">
        <v>#N/A</v>
      </c>
      <c r="AP98" s="331">
        <f>IF(AM98&lt;=AA98,"REVISAR!","ok")</f>
        <v/>
      </c>
    </row>
    <row customHeight="1" ht="12.95" r="99" s="183" spans="1:43">
      <c r="B99" s="108" t="n"/>
      <c r="C99" s="89" t="n"/>
      <c r="D99" s="106">
        <f>VLOOKUP(B99,Base!E:G,3,0)</f>
        <v/>
      </c>
      <c r="E99" s="326" t="n"/>
      <c r="F99" s="91">
        <f>IFERROR(IF(VLOOKUP(B99,Detalle!$A:$AA,$F$1,0)=0,"Sin datos",IFERROR(VLOOKUP(B99,Detalle!$A:$AA,$F$1,0),"Sin datos")),"")</f>
        <v/>
      </c>
      <c r="G99" s="327">
        <f>IFERROR(IF(VLOOKUP(B99,Detalle!$A:$AA,$G$1,0)=0,"Sin datos",IFERROR(VLOOKUP(B99,Detalle!$A:$AA,$G$1,0),"Sin datos")),"")</f>
        <v/>
      </c>
      <c r="H99" s="93">
        <f>IFERROR(IF(VLOOKUP(B99,Detalle!$A:$AA,$H$1,0)=0,"Sin datos",IFERROR(VLOOKUP(B99,Detalle!$A:$AA,$H$1,0),"Sin datos")),"")</f>
        <v/>
      </c>
      <c r="I99" s="327">
        <f>IFERROR(IF(VLOOKUP(B99,Detalle!$A:$AA,$I$1,0)=0,"Sin datos",IFERROR(VLOOKUP(B99,Detalle!$A:$AA,$I$1,0),"Sin datos")),"")</f>
        <v/>
      </c>
      <c r="J99" s="93">
        <f>IFERROR(IF(VLOOKUP(B99,Detalle!$A:$AA,$J$1,0)=0,"Sin datos",IFERROR(VLOOKUP(B99,Detalle!$A:$AA,$J$1,0),"Sin datos")),"")</f>
        <v/>
      </c>
      <c r="K99" s="98" t="n"/>
      <c r="L99" s="328" t="n"/>
      <c r="M99" s="329">
        <f>IFERROR(IF(MIN(H99,J99)=F99,IF(G99=I99,"Escenario 5","Escenario 4"),IF(MIN(H99,J99)&lt;F99,IF(AND(F99-2&lt;=MIN(H99,J99),G99&lt;&gt;I99),"Escenario 1",IF(AND(F99-2&lt;=MIN(H99,J99),G99=I99),"Escenario 2","Escenario 3")),IF(MIN(H99,J99)&gt;F99,IF(AND(F99+2&gt;=MIN(H99,J99),G99=I99),"Escenario 7",IF(AND(F99+2&gt;=MIN(H99,J99),G99&lt;&gt;I99),"Escenario 6",IF(F99+5&lt;=MIN(H99,J99),"Escenario 9","Escenario 8"))),"error"))),"Falta info")</f>
        <v/>
      </c>
      <c r="N99" s="98">
        <f>IFERROR(VLOOKUP(M99,Base!$BJ$28:$BL$36,3,0),0)</f>
        <v/>
      </c>
      <c r="O99" s="330" t="n"/>
      <c r="P99" s="330" t="n"/>
      <c r="Q99" s="327" t="n"/>
      <c r="R99" s="93" t="n"/>
      <c r="S99" s="327" t="n"/>
      <c r="T99" s="93" t="n"/>
      <c r="U99" s="327" t="n"/>
      <c r="V99" s="93" t="n"/>
      <c r="W99" s="98" t="n"/>
      <c r="X99" s="328">
        <f>MIN(Q99,S99,U99)</f>
        <v/>
      </c>
      <c r="Y99" s="328">
        <f>IFERROR(IF(MIN(T99,V99)=R99,IF(S99=U99,"Escenario 5","Escenario 4"),IF(MIN(T99,V99)&lt;R99,IF(AND(R99-2&lt;=MIN(T99,V99),S99&lt;&gt;U99),"Escenario 1",IF(AND(R99-2&lt;=MIN(T99,V99),S99=U99),"Escenario 2","Escenario 3")),IF(MIN(T99,V99)&gt;R99,IF(AND(R99+2&gt;=MIN(T99,V99),S99=U99),"Escenario 7",IF(AND(R99+2&gt;=MIN(T99,V99),S99&lt;&gt;U99),"Escenario 6",IF(R99+5&lt;=MIN(T99,V99),"Escenario 9","Escenario 8"))),"error"))),"Falta info")</f>
        <v/>
      </c>
      <c r="Z99" s="98">
        <f>IFERROR(VLOOKUP(Y99,Base!$BJ$19:$BL$27,3,0),0)</f>
        <v/>
      </c>
      <c r="AA99" s="330" t="n"/>
      <c r="AB99" s="330" t="n"/>
      <c r="AC99" s="327" t="n"/>
      <c r="AD99" s="93" t="n"/>
      <c r="AE99" s="327" t="n"/>
      <c r="AF99" s="93" t="n"/>
      <c r="AG99" s="327" t="n"/>
      <c r="AH99" s="93" t="n"/>
      <c r="AI99" s="98">
        <f>IF(AB99="",IF(MIN(AC99,AE99,AG99)&gt;E99,"Si","No"),IF(MIN(AC99,AG99,AG99)&gt;AB99,"Si","No"))</f>
        <v/>
      </c>
      <c r="AJ99" s="328">
        <f>MIN(AC99,AE99,AG99)</f>
        <v/>
      </c>
      <c r="AK99" s="328">
        <f>IFERROR(IF(MIN(AF99,AH99)=AD99,IF(AE99=AG99,"Escenario 5","Escenario 4"),IF(MIN(AF99,AH99)&lt;AD99,IF(AND(AD99-2&lt;=MIN(AF99,AH99),AE99&lt;&gt;AG99),"Escenario 1",IF(AND(AD99-2&lt;=MIN(AF99,AH99),AE99=AG99),"Escenario 2","Escenario 3")),IF(MIN(AF99,AH99)&gt;AD99,IF(AND(AD99+2&gt;=MIN(AF99,AH99),AE99=AG99),"Escenario 7",IF(AND(AD99+2&gt;=MIN(AF99,AH99),AE99&lt;&gt;AG99),"Escenario 6",IF(AD99+5&lt;=MIN(AF99,AH99),"Escenario 9","Escenario 8"))),"error"))),"Falta info")</f>
        <v/>
      </c>
      <c r="AL99" s="98">
        <f>IFERROR(VLOOKUP(AK99,Base!$BJ$37:$BL$45,3,0),0)</f>
        <v/>
      </c>
      <c r="AM99" s="330">
        <f>IF(LOOKUP(AK99,Base!$X$8:$BG$8)=AK99,VLOOKUP(B99,Base!E:BG,AL99,0),0)</f>
        <v/>
      </c>
      <c r="AN99" s="330" t="e">
        <v>#N/A</v>
      </c>
      <c r="AP99" s="331">
        <f>IF(AM99&lt;=AA99,"REVISAR!","ok")</f>
        <v/>
      </c>
    </row>
    <row customHeight="1" ht="12.95" r="100" s="183" spans="1:43">
      <c r="B100" s="108" t="n"/>
      <c r="C100" s="89" t="n"/>
      <c r="D100" s="106">
        <f>VLOOKUP(B100,Base!E:G,3,0)</f>
        <v/>
      </c>
      <c r="E100" s="326" t="n"/>
      <c r="F100" s="91">
        <f>IFERROR(IF(VLOOKUP(B100,Detalle!$A:$AA,$F$1,0)=0,"Sin datos",IFERROR(VLOOKUP(B100,Detalle!$A:$AA,$F$1,0),"Sin datos")),"")</f>
        <v/>
      </c>
      <c r="G100" s="327">
        <f>IFERROR(IF(VLOOKUP(B100,Detalle!$A:$AA,$G$1,0)=0,"Sin datos",IFERROR(VLOOKUP(B100,Detalle!$A:$AA,$G$1,0),"Sin datos")),"")</f>
        <v/>
      </c>
      <c r="H100" s="93">
        <f>IFERROR(IF(VLOOKUP(B100,Detalle!$A:$AA,$H$1,0)=0,"Sin datos",IFERROR(VLOOKUP(B100,Detalle!$A:$AA,$H$1,0),"Sin datos")),"")</f>
        <v/>
      </c>
      <c r="I100" s="327">
        <f>IFERROR(IF(VLOOKUP(B100,Detalle!$A:$AA,$I$1,0)=0,"Sin datos",IFERROR(VLOOKUP(B100,Detalle!$A:$AA,$I$1,0),"Sin datos")),"")</f>
        <v/>
      </c>
      <c r="J100" s="93">
        <f>IFERROR(IF(VLOOKUP(B100,Detalle!$A:$AA,$J$1,0)=0,"Sin datos",IFERROR(VLOOKUP(B100,Detalle!$A:$AA,$J$1,0),"Sin datos")),"")</f>
        <v/>
      </c>
      <c r="K100" s="98" t="n"/>
      <c r="L100" s="328" t="n"/>
      <c r="M100" s="329">
        <f>IFERROR(IF(MIN(H100,J100)=F100,IF(G100=I100,"Escenario 5","Escenario 4"),IF(MIN(H100,J100)&lt;F100,IF(AND(F100-2&lt;=MIN(H100,J100),G100&lt;&gt;I100),"Escenario 1",IF(AND(F100-2&lt;=MIN(H100,J100),G100=I100),"Escenario 2","Escenario 3")),IF(MIN(H100,J100)&gt;F100,IF(AND(F100+2&gt;=MIN(H100,J100),G100=I100),"Escenario 7",IF(AND(F100+2&gt;=MIN(H100,J100),G100&lt;&gt;I100),"Escenario 6",IF(F100+5&lt;=MIN(H100,J100),"Escenario 9","Escenario 8"))),"error"))),"Falta info")</f>
        <v/>
      </c>
      <c r="N100" s="98">
        <f>IFERROR(VLOOKUP(M100,Base!$BJ$28:$BL$36,3,0),0)</f>
        <v/>
      </c>
      <c r="O100" s="330" t="n"/>
      <c r="P100" s="330" t="n"/>
      <c r="Q100" s="327" t="n"/>
      <c r="R100" s="93" t="n"/>
      <c r="S100" s="327" t="n"/>
      <c r="T100" s="93" t="n"/>
      <c r="U100" s="327" t="n"/>
      <c r="V100" s="93" t="n"/>
      <c r="W100" s="98" t="n"/>
      <c r="X100" s="328">
        <f>MIN(Q100,S100,U100)</f>
        <v/>
      </c>
      <c r="Y100" s="328">
        <f>IFERROR(IF(MIN(T100,V100)=R100,IF(S100=U100,"Escenario 5","Escenario 4"),IF(MIN(T100,V100)&lt;R100,IF(AND(R100-2&lt;=MIN(T100,V100),S100&lt;&gt;U100),"Escenario 1",IF(AND(R100-2&lt;=MIN(T100,V100),S100=U100),"Escenario 2","Escenario 3")),IF(MIN(T100,V100)&gt;R100,IF(AND(R100+2&gt;=MIN(T100,V100),S100=U100),"Escenario 7",IF(AND(R100+2&gt;=MIN(T100,V100),S100&lt;&gt;U100),"Escenario 6",IF(R100+5&lt;=MIN(T100,V100),"Escenario 9","Escenario 8"))),"error"))),"Falta info")</f>
        <v/>
      </c>
      <c r="Z100" s="98">
        <f>IFERROR(VLOOKUP(Y100,Base!$BJ$19:$BL$27,3,0),0)</f>
        <v/>
      </c>
      <c r="AA100" s="330" t="n"/>
      <c r="AB100" s="330" t="n"/>
      <c r="AC100" s="327" t="n"/>
      <c r="AD100" s="93" t="n"/>
      <c r="AE100" s="327" t="n"/>
      <c r="AF100" s="93" t="n"/>
      <c r="AG100" s="327" t="n"/>
      <c r="AH100" s="93" t="n"/>
      <c r="AI100" s="98">
        <f>IF(AB100="",IF(MIN(AC100,AE100,AG100)&gt;E100,"Si","No"),IF(MIN(AC100,AG100,AG100)&gt;AB100,"Si","No"))</f>
        <v/>
      </c>
      <c r="AJ100" s="328">
        <f>MIN(AC100,AE100,AG100)</f>
        <v/>
      </c>
      <c r="AK100" s="328">
        <f>IFERROR(IF(MIN(AF100,AH100)=AD100,IF(AE100=AG100,"Escenario 5","Escenario 4"),IF(MIN(AF100,AH100)&lt;AD100,IF(AND(AD100-2&lt;=MIN(AF100,AH100),AE100&lt;&gt;AG100),"Escenario 1",IF(AND(AD100-2&lt;=MIN(AF100,AH100),AE100=AG100),"Escenario 2","Escenario 3")),IF(MIN(AF100,AH100)&gt;AD100,IF(AND(AD100+2&gt;=MIN(AF100,AH100),AE100=AG100),"Escenario 7",IF(AND(AD100+2&gt;=MIN(AF100,AH100),AE100&lt;&gt;AG100),"Escenario 6",IF(AD100+5&lt;=MIN(AF100,AH100),"Escenario 9","Escenario 8"))),"error"))),"Falta info")</f>
        <v/>
      </c>
      <c r="AL100" s="98">
        <f>IFERROR(VLOOKUP(AK100,Base!$BJ$37:$BL$45,3,0),0)</f>
        <v/>
      </c>
      <c r="AM100" s="330">
        <f>IF(LOOKUP(AK100,Base!$X$8:$BG$8)=AK100,VLOOKUP(B100,Base!E:BG,AL100,0),0)</f>
        <v/>
      </c>
      <c r="AN100" s="330" t="e">
        <v>#N/A</v>
      </c>
      <c r="AP100" s="331">
        <f>IF(AM100&lt;=AA100,"REVISAR!","ok")</f>
        <v/>
      </c>
    </row>
    <row customHeight="1" ht="12.95" r="101" s="183" spans="1:43">
      <c r="B101" s="108" t="n"/>
      <c r="C101" s="89" t="n"/>
      <c r="D101" s="106">
        <f>VLOOKUP(B101,Base!E:G,3,0)</f>
        <v/>
      </c>
      <c r="E101" s="326" t="n"/>
      <c r="F101" s="91">
        <f>IFERROR(IF(VLOOKUP(B101,Detalle!$A:$AA,$F$1,0)=0,"Sin datos",IFERROR(VLOOKUP(B101,Detalle!$A:$AA,$F$1,0),"Sin datos")),"")</f>
        <v/>
      </c>
      <c r="G101" s="327">
        <f>IFERROR(IF(VLOOKUP(B101,Detalle!$A:$AA,$G$1,0)=0,"Sin datos",IFERROR(VLOOKUP(B101,Detalle!$A:$AA,$G$1,0),"Sin datos")),"")</f>
        <v/>
      </c>
      <c r="H101" s="93">
        <f>IFERROR(IF(VLOOKUP(B101,Detalle!$A:$AA,$H$1,0)=0,"Sin datos",IFERROR(VLOOKUP(B101,Detalle!$A:$AA,$H$1,0),"Sin datos")),"")</f>
        <v/>
      </c>
      <c r="I101" s="327">
        <f>IFERROR(IF(VLOOKUP(B101,Detalle!$A:$AA,$I$1,0)=0,"Sin datos",IFERROR(VLOOKUP(B101,Detalle!$A:$AA,$I$1,0),"Sin datos")),"")</f>
        <v/>
      </c>
      <c r="J101" s="93">
        <f>IFERROR(IF(VLOOKUP(B101,Detalle!$A:$AA,$J$1,0)=0,"Sin datos",IFERROR(VLOOKUP(B101,Detalle!$A:$AA,$J$1,0),"Sin datos")),"")</f>
        <v/>
      </c>
      <c r="K101" s="98" t="n"/>
      <c r="L101" s="328" t="n"/>
      <c r="M101" s="329">
        <f>IFERROR(IF(MIN(H101,J101)=F101,IF(G101=I101,"Escenario 5","Escenario 4"),IF(MIN(H101,J101)&lt;F101,IF(AND(F101-2&lt;=MIN(H101,J101),G101&lt;&gt;I101),"Escenario 1",IF(AND(F101-2&lt;=MIN(H101,J101),G101=I101),"Escenario 2","Escenario 3")),IF(MIN(H101,J101)&gt;F101,IF(AND(F101+2&gt;=MIN(H101,J101),G101=I101),"Escenario 7",IF(AND(F101+2&gt;=MIN(H101,J101),G101&lt;&gt;I101),"Escenario 6",IF(F101+5&lt;=MIN(H101,J101),"Escenario 9","Escenario 8"))),"error"))),"Falta info")</f>
        <v/>
      </c>
      <c r="N101" s="98">
        <f>IFERROR(VLOOKUP(M101,Base!$BJ$28:$BL$36,3,0),0)</f>
        <v/>
      </c>
      <c r="O101" s="330" t="n"/>
      <c r="P101" s="330" t="n"/>
      <c r="Q101" s="327" t="n"/>
      <c r="R101" s="93" t="n"/>
      <c r="S101" s="327" t="n"/>
      <c r="T101" s="93" t="n"/>
      <c r="U101" s="327" t="n"/>
      <c r="V101" s="93" t="n"/>
      <c r="W101" s="98" t="n"/>
      <c r="X101" s="328">
        <f>MIN(Q101,S101,U101)</f>
        <v/>
      </c>
      <c r="Y101" s="328">
        <f>IFERROR(IF(MIN(T101,V101)=R101,IF(S101=U101,"Escenario 5","Escenario 4"),IF(MIN(T101,V101)&lt;R101,IF(AND(R101-2&lt;=MIN(T101,V101),S101&lt;&gt;U101),"Escenario 1",IF(AND(R101-2&lt;=MIN(T101,V101),S101=U101),"Escenario 2","Escenario 3")),IF(MIN(T101,V101)&gt;R101,IF(AND(R101+2&gt;=MIN(T101,V101),S101=U101),"Escenario 7",IF(AND(R101+2&gt;=MIN(T101,V101),S101&lt;&gt;U101),"Escenario 6",IF(R101+5&lt;=MIN(T101,V101),"Escenario 9","Escenario 8"))),"error"))),"Falta info")</f>
        <v/>
      </c>
      <c r="Z101" s="98">
        <f>IFERROR(VLOOKUP(Y101,Base!$BJ$19:$BL$27,3,0),0)</f>
        <v/>
      </c>
      <c r="AA101" s="330" t="n"/>
      <c r="AB101" s="330" t="n"/>
      <c r="AC101" s="327" t="n"/>
      <c r="AD101" s="93" t="n"/>
      <c r="AE101" s="327" t="n"/>
      <c r="AF101" s="93" t="n"/>
      <c r="AG101" s="327" t="n"/>
      <c r="AH101" s="93" t="n"/>
      <c r="AI101" s="98">
        <f>IF(AB101="",IF(MIN(AC101,AE101,AG101)&gt;E101,"Si","No"),IF(MIN(AC101,AG101,AG101)&gt;AB101,"Si","No"))</f>
        <v/>
      </c>
      <c r="AJ101" s="328">
        <f>MIN(AC101,AE101,AG101)</f>
        <v/>
      </c>
      <c r="AK101" s="328">
        <f>IFERROR(IF(MIN(AF101,AH101)=AD101,IF(AE101=AG101,"Escenario 5","Escenario 4"),IF(MIN(AF101,AH101)&lt;AD101,IF(AND(AD101-2&lt;=MIN(AF101,AH101),AE101&lt;&gt;AG101),"Escenario 1",IF(AND(AD101-2&lt;=MIN(AF101,AH101),AE101=AG101),"Escenario 2","Escenario 3")),IF(MIN(AF101,AH101)&gt;AD101,IF(AND(AD101+2&gt;=MIN(AF101,AH101),AE101=AG101),"Escenario 7",IF(AND(AD101+2&gt;=MIN(AF101,AH101),AE101&lt;&gt;AG101),"Escenario 6",IF(AD101+5&lt;=MIN(AF101,AH101),"Escenario 9","Escenario 8"))),"error"))),"Falta info")</f>
        <v/>
      </c>
      <c r="AL101" s="98">
        <f>IFERROR(VLOOKUP(AK101,Base!$BJ$37:$BL$45,3,0),0)</f>
        <v/>
      </c>
      <c r="AM101" s="330">
        <f>IF(LOOKUP(AK101,Base!$X$8:$BG$8)=AK101,VLOOKUP(B101,Base!E:BG,AL101,0),0)</f>
        <v/>
      </c>
      <c r="AN101" s="330" t="e">
        <v>#N/A</v>
      </c>
      <c r="AP101" s="331">
        <f>IF(AM101&lt;=AA101,"REVISAR!","ok")</f>
        <v/>
      </c>
    </row>
    <row customHeight="1" ht="12.95" r="102" s="183" spans="1:43">
      <c r="B102" s="108" t="n"/>
      <c r="C102" s="89" t="n"/>
      <c r="D102" s="106">
        <f>VLOOKUP(B102,Base!E:G,3,0)</f>
        <v/>
      </c>
      <c r="E102" s="326" t="n"/>
      <c r="F102" s="91">
        <f>IFERROR(IF(VLOOKUP(B102,Detalle!$A:$AA,$F$1,0)=0,"Sin datos",IFERROR(VLOOKUP(B102,Detalle!$A:$AA,$F$1,0),"Sin datos")),"")</f>
        <v/>
      </c>
      <c r="G102" s="327">
        <f>IFERROR(IF(VLOOKUP(B102,Detalle!$A:$AA,$G$1,0)=0,"Sin datos",IFERROR(VLOOKUP(B102,Detalle!$A:$AA,$G$1,0),"Sin datos")),"")</f>
        <v/>
      </c>
      <c r="H102" s="93">
        <f>IFERROR(IF(VLOOKUP(B102,Detalle!$A:$AA,$H$1,0)=0,"Sin datos",IFERROR(VLOOKUP(B102,Detalle!$A:$AA,$H$1,0),"Sin datos")),"")</f>
        <v/>
      </c>
      <c r="I102" s="327">
        <f>IFERROR(IF(VLOOKUP(B102,Detalle!$A:$AA,$I$1,0)=0,"Sin datos",IFERROR(VLOOKUP(B102,Detalle!$A:$AA,$I$1,0),"Sin datos")),"")</f>
        <v/>
      </c>
      <c r="J102" s="93">
        <f>IFERROR(IF(VLOOKUP(B102,Detalle!$A:$AA,$J$1,0)=0,"Sin datos",IFERROR(VLOOKUP(B102,Detalle!$A:$AA,$J$1,0),"Sin datos")),"")</f>
        <v/>
      </c>
      <c r="K102" s="98" t="n"/>
      <c r="L102" s="328" t="n"/>
      <c r="M102" s="329">
        <f>IFERROR(IF(MIN(H102,J102)=F102,IF(G102=I102,"Escenario 5","Escenario 4"),IF(MIN(H102,J102)&lt;F102,IF(AND(F102-2&lt;=MIN(H102,J102),G102&lt;&gt;I102),"Escenario 1",IF(AND(F102-2&lt;=MIN(H102,J102),G102=I102),"Escenario 2","Escenario 3")),IF(MIN(H102,J102)&gt;F102,IF(AND(F102+2&gt;=MIN(H102,J102),G102=I102),"Escenario 7",IF(AND(F102+2&gt;=MIN(H102,J102),G102&lt;&gt;I102),"Escenario 6",IF(F102+5&lt;=MIN(H102,J102),"Escenario 9","Escenario 8"))),"error"))),"Falta info")</f>
        <v/>
      </c>
      <c r="N102" s="98">
        <f>IFERROR(VLOOKUP(M102,Base!$BJ$28:$BL$36,3,0),0)</f>
        <v/>
      </c>
      <c r="O102" s="330" t="n"/>
      <c r="P102" s="330" t="n"/>
      <c r="Q102" s="327" t="n"/>
      <c r="R102" s="93" t="n"/>
      <c r="S102" s="327" t="n"/>
      <c r="T102" s="93" t="n"/>
      <c r="U102" s="327" t="n"/>
      <c r="V102" s="93" t="n"/>
      <c r="W102" s="98" t="n"/>
      <c r="X102" s="328">
        <f>MIN(Q102,S102,U102)</f>
        <v/>
      </c>
      <c r="Y102" s="328">
        <f>IFERROR(IF(MIN(T102,V102)=R102,IF(S102=U102,"Escenario 5","Escenario 4"),IF(MIN(T102,V102)&lt;R102,IF(AND(R102-2&lt;=MIN(T102,V102),S102&lt;&gt;U102),"Escenario 1",IF(AND(R102-2&lt;=MIN(T102,V102),S102=U102),"Escenario 2","Escenario 3")),IF(MIN(T102,V102)&gt;R102,IF(AND(R102+2&gt;=MIN(T102,V102),S102=U102),"Escenario 7",IF(AND(R102+2&gt;=MIN(T102,V102),S102&lt;&gt;U102),"Escenario 6",IF(R102+5&lt;=MIN(T102,V102),"Escenario 9","Escenario 8"))),"error"))),"Falta info")</f>
        <v/>
      </c>
      <c r="Z102" s="98">
        <f>IFERROR(VLOOKUP(Y102,Base!$BJ$19:$BL$27,3,0),0)</f>
        <v/>
      </c>
      <c r="AA102" s="330" t="n"/>
      <c r="AB102" s="330" t="n"/>
      <c r="AC102" s="327" t="n"/>
      <c r="AD102" s="93" t="n"/>
      <c r="AE102" s="327" t="n"/>
      <c r="AF102" s="93" t="n"/>
      <c r="AG102" s="327" t="n"/>
      <c r="AH102" s="93" t="n"/>
      <c r="AI102" s="98">
        <f>IF(AB102="",IF(MIN(AC102,AE102,AG102)&gt;E102,"Si","No"),IF(MIN(AC102,AG102,AG102)&gt;AB102,"Si","No"))</f>
        <v/>
      </c>
      <c r="AJ102" s="328">
        <f>MIN(AC102,AE102,AG102)</f>
        <v/>
      </c>
      <c r="AK102" s="328">
        <f>IFERROR(IF(MIN(AF102,AH102)=AD102,IF(AE102=AG102,"Escenario 5","Escenario 4"),IF(MIN(AF102,AH102)&lt;AD102,IF(AND(AD102-2&lt;=MIN(AF102,AH102),AE102&lt;&gt;AG102),"Escenario 1",IF(AND(AD102-2&lt;=MIN(AF102,AH102),AE102=AG102),"Escenario 2","Escenario 3")),IF(MIN(AF102,AH102)&gt;AD102,IF(AND(AD102+2&gt;=MIN(AF102,AH102),AE102=AG102),"Escenario 7",IF(AND(AD102+2&gt;=MIN(AF102,AH102),AE102&lt;&gt;AG102),"Escenario 6",IF(AD102+5&lt;=MIN(AF102,AH102),"Escenario 9","Escenario 8"))),"error"))),"Falta info")</f>
        <v/>
      </c>
      <c r="AL102" s="98">
        <f>IFERROR(VLOOKUP(AK102,Base!$BJ$37:$BL$45,3,0),0)</f>
        <v/>
      </c>
      <c r="AM102" s="330">
        <f>IF(LOOKUP(AK102,Base!$X$8:$BG$8)=AK102,VLOOKUP(B102,Base!E:BG,AL102,0),0)</f>
        <v/>
      </c>
      <c r="AN102" s="330" t="e">
        <v>#N/A</v>
      </c>
      <c r="AP102" s="331">
        <f>IF(AM102&lt;=AA102,"REVISAR!","ok")</f>
        <v/>
      </c>
    </row>
    <row customHeight="1" ht="12.95" r="103" s="183" spans="1:43">
      <c r="B103" s="108" t="n"/>
      <c r="C103" s="89" t="n"/>
      <c r="D103" s="106">
        <f>VLOOKUP(B103,Base!E:G,3,0)</f>
        <v/>
      </c>
      <c r="E103" s="326" t="n"/>
      <c r="F103" s="91">
        <f>IFERROR(IF(VLOOKUP(B103,Detalle!$A:$AA,$F$1,0)=0,"Sin datos",IFERROR(VLOOKUP(B103,Detalle!$A:$AA,$F$1,0),"Sin datos")),"")</f>
        <v/>
      </c>
      <c r="G103" s="327">
        <f>IFERROR(IF(VLOOKUP(B103,Detalle!$A:$AA,$G$1,0)=0,"Sin datos",IFERROR(VLOOKUP(B103,Detalle!$A:$AA,$G$1,0),"Sin datos")),"")</f>
        <v/>
      </c>
      <c r="H103" s="93">
        <f>IFERROR(IF(VLOOKUP(B103,Detalle!$A:$AA,$H$1,0)=0,"Sin datos",IFERROR(VLOOKUP(B103,Detalle!$A:$AA,$H$1,0),"Sin datos")),"")</f>
        <v/>
      </c>
      <c r="I103" s="327">
        <f>IFERROR(IF(VLOOKUP(B103,Detalle!$A:$AA,$I$1,0)=0,"Sin datos",IFERROR(VLOOKUP(B103,Detalle!$A:$AA,$I$1,0),"Sin datos")),"")</f>
        <v/>
      </c>
      <c r="J103" s="93">
        <f>IFERROR(IF(VLOOKUP(B103,Detalle!$A:$AA,$J$1,0)=0,"Sin datos",IFERROR(VLOOKUP(B103,Detalle!$A:$AA,$J$1,0),"Sin datos")),"")</f>
        <v/>
      </c>
      <c r="K103" s="98" t="n"/>
      <c r="L103" s="328" t="n"/>
      <c r="M103" s="329">
        <f>IFERROR(IF(MIN(H103,J103)=F103,IF(G103=I103,"Escenario 5","Escenario 4"),IF(MIN(H103,J103)&lt;F103,IF(AND(F103-2&lt;=MIN(H103,J103),G103&lt;&gt;I103),"Escenario 1",IF(AND(F103-2&lt;=MIN(H103,J103),G103=I103),"Escenario 2","Escenario 3")),IF(MIN(H103,J103)&gt;F103,IF(AND(F103+2&gt;=MIN(H103,J103),G103=I103),"Escenario 7",IF(AND(F103+2&gt;=MIN(H103,J103),G103&lt;&gt;I103),"Escenario 6",IF(F103+5&lt;=MIN(H103,J103),"Escenario 9","Escenario 8"))),"error"))),"Falta info")</f>
        <v/>
      </c>
      <c r="N103" s="98">
        <f>IFERROR(VLOOKUP(M103,Base!$BJ$28:$BL$36,3,0),0)</f>
        <v/>
      </c>
      <c r="O103" s="330" t="n"/>
      <c r="P103" s="330" t="n"/>
      <c r="Q103" s="327" t="n"/>
      <c r="R103" s="93" t="n"/>
      <c r="S103" s="327" t="n"/>
      <c r="T103" s="93" t="n"/>
      <c r="U103" s="327" t="n"/>
      <c r="V103" s="93" t="n"/>
      <c r="W103" s="98" t="n"/>
      <c r="X103" s="328">
        <f>MIN(Q103,S103,U103)</f>
        <v/>
      </c>
      <c r="Y103" s="328">
        <f>IFERROR(IF(MIN(T103,V103)=R103,IF(S103=U103,"Escenario 5","Escenario 4"),IF(MIN(T103,V103)&lt;R103,IF(AND(R103-2&lt;=MIN(T103,V103),S103&lt;&gt;U103),"Escenario 1",IF(AND(R103-2&lt;=MIN(T103,V103),S103=U103),"Escenario 2","Escenario 3")),IF(MIN(T103,V103)&gt;R103,IF(AND(R103+2&gt;=MIN(T103,V103),S103=U103),"Escenario 7",IF(AND(R103+2&gt;=MIN(T103,V103),S103&lt;&gt;U103),"Escenario 6",IF(R103+5&lt;=MIN(T103,V103),"Escenario 9","Escenario 8"))),"error"))),"Falta info")</f>
        <v/>
      </c>
      <c r="Z103" s="98">
        <f>IFERROR(VLOOKUP(Y103,Base!$BJ$19:$BL$27,3,0),0)</f>
        <v/>
      </c>
      <c r="AA103" s="330" t="n"/>
      <c r="AB103" s="330" t="n"/>
      <c r="AC103" s="327" t="n"/>
      <c r="AD103" s="93" t="n"/>
      <c r="AE103" s="327" t="n"/>
      <c r="AF103" s="93" t="n"/>
      <c r="AG103" s="327" t="n"/>
      <c r="AH103" s="93" t="n"/>
      <c r="AI103" s="98">
        <f>IF(AB103="",IF(MIN(AC103,AE103,AG103)&gt;E103,"Si","No"),IF(MIN(AC103,AG103,AG103)&gt;AB103,"Si","No"))</f>
        <v/>
      </c>
      <c r="AJ103" s="328">
        <f>MIN(AC103,AE103,AG103)</f>
        <v/>
      </c>
      <c r="AK103" s="328">
        <f>IFERROR(IF(MIN(AF103,AH103)=AD103,IF(AE103=AG103,"Escenario 5","Escenario 4"),IF(MIN(AF103,AH103)&lt;AD103,IF(AND(AD103-2&lt;=MIN(AF103,AH103),AE103&lt;&gt;AG103),"Escenario 1",IF(AND(AD103-2&lt;=MIN(AF103,AH103),AE103=AG103),"Escenario 2","Escenario 3")),IF(MIN(AF103,AH103)&gt;AD103,IF(AND(AD103+2&gt;=MIN(AF103,AH103),AE103=AG103),"Escenario 7",IF(AND(AD103+2&gt;=MIN(AF103,AH103),AE103&lt;&gt;AG103),"Escenario 6",IF(AD103+5&lt;=MIN(AF103,AH103),"Escenario 9","Escenario 8"))),"error"))),"Falta info")</f>
        <v/>
      </c>
      <c r="AL103" s="98">
        <f>IFERROR(VLOOKUP(AK103,Base!$BJ$37:$BL$45,3,0),0)</f>
        <v/>
      </c>
      <c r="AM103" s="330">
        <f>IF(LOOKUP(AK103,Base!$X$8:$BG$8)=AK103,VLOOKUP(B103,Base!E:BG,AL103,0),0)</f>
        <v/>
      </c>
      <c r="AN103" s="330" t="e">
        <v>#N/A</v>
      </c>
      <c r="AP103" s="331">
        <f>IF(AM103&lt;=AA103,"REVISAR!","ok")</f>
        <v/>
      </c>
    </row>
    <row customHeight="1" ht="12.95" r="104" s="183" spans="1:43">
      <c r="B104" s="108" t="n"/>
      <c r="C104" s="89" t="n"/>
      <c r="D104" s="106">
        <f>VLOOKUP(B104,Base!E:G,3,0)</f>
        <v/>
      </c>
      <c r="E104" s="326" t="n"/>
      <c r="F104" s="91">
        <f>IFERROR(IF(VLOOKUP(B104,Detalle!$A:$AA,$F$1,0)=0,"Sin datos",IFERROR(VLOOKUP(B104,Detalle!$A:$AA,$F$1,0),"Sin datos")),"")</f>
        <v/>
      </c>
      <c r="G104" s="327">
        <f>IFERROR(IF(VLOOKUP(B104,Detalle!$A:$AA,$G$1,0)=0,"Sin datos",IFERROR(VLOOKUP(B104,Detalle!$A:$AA,$G$1,0),"Sin datos")),"")</f>
        <v/>
      </c>
      <c r="H104" s="93">
        <f>IFERROR(IF(VLOOKUP(B104,Detalle!$A:$AA,$H$1,0)=0,"Sin datos",IFERROR(VLOOKUP(B104,Detalle!$A:$AA,$H$1,0),"Sin datos")),"")</f>
        <v/>
      </c>
      <c r="I104" s="327">
        <f>IFERROR(IF(VLOOKUP(B104,Detalle!$A:$AA,$I$1,0)=0,"Sin datos",IFERROR(VLOOKUP(B104,Detalle!$A:$AA,$I$1,0),"Sin datos")),"")</f>
        <v/>
      </c>
      <c r="J104" s="93">
        <f>IFERROR(IF(VLOOKUP(B104,Detalle!$A:$AA,$J$1,0)=0,"Sin datos",IFERROR(VLOOKUP(B104,Detalle!$A:$AA,$J$1,0),"Sin datos")),"")</f>
        <v/>
      </c>
      <c r="K104" s="98" t="n"/>
      <c r="L104" s="328" t="n"/>
      <c r="M104" s="329">
        <f>IFERROR(IF(MIN(H104,J104)=F104,IF(G104=I104,"Escenario 5","Escenario 4"),IF(MIN(H104,J104)&lt;F104,IF(AND(F104-2&lt;=MIN(H104,J104),G104&lt;&gt;I104),"Escenario 1",IF(AND(F104-2&lt;=MIN(H104,J104),G104=I104),"Escenario 2","Escenario 3")),IF(MIN(H104,J104)&gt;F104,IF(AND(F104+2&gt;=MIN(H104,J104),G104=I104),"Escenario 7",IF(AND(F104+2&gt;=MIN(H104,J104),G104&lt;&gt;I104),"Escenario 6",IF(F104+5&lt;=MIN(H104,J104),"Escenario 9","Escenario 8"))),"error"))),"Falta info")</f>
        <v/>
      </c>
      <c r="N104" s="98">
        <f>IFERROR(VLOOKUP(M104,Base!$BJ$28:$BL$36,3,0),0)</f>
        <v/>
      </c>
      <c r="O104" s="330" t="n"/>
      <c r="P104" s="330" t="n"/>
      <c r="Q104" s="327" t="n"/>
      <c r="R104" s="93" t="n"/>
      <c r="S104" s="327" t="n"/>
      <c r="T104" s="93" t="n"/>
      <c r="U104" s="327" t="n"/>
      <c r="V104" s="93" t="n"/>
      <c r="W104" s="98" t="n"/>
      <c r="X104" s="328">
        <f>MIN(Q104,S104,U104)</f>
        <v/>
      </c>
      <c r="Y104" s="328">
        <f>IFERROR(IF(MIN(T104,V104)=R104,IF(S104=U104,"Escenario 5","Escenario 4"),IF(MIN(T104,V104)&lt;R104,IF(AND(R104-2&lt;=MIN(T104,V104),S104&lt;&gt;U104),"Escenario 1",IF(AND(R104-2&lt;=MIN(T104,V104),S104=U104),"Escenario 2","Escenario 3")),IF(MIN(T104,V104)&gt;R104,IF(AND(R104+2&gt;=MIN(T104,V104),S104=U104),"Escenario 7",IF(AND(R104+2&gt;=MIN(T104,V104),S104&lt;&gt;U104),"Escenario 6",IF(R104+5&lt;=MIN(T104,V104),"Escenario 9","Escenario 8"))),"error"))),"Falta info")</f>
        <v/>
      </c>
      <c r="Z104" s="98">
        <f>IFERROR(VLOOKUP(Y104,Base!$BJ$19:$BL$27,3,0),0)</f>
        <v/>
      </c>
      <c r="AA104" s="330" t="n"/>
      <c r="AB104" s="330" t="n"/>
      <c r="AC104" s="327" t="n"/>
      <c r="AD104" s="93" t="n"/>
      <c r="AE104" s="327" t="n"/>
      <c r="AF104" s="93" t="n"/>
      <c r="AG104" s="327" t="n"/>
      <c r="AH104" s="93" t="n"/>
      <c r="AI104" s="98">
        <f>IF(AB104="",IF(MIN(AC104,AE104,AG104)&gt;E104,"Si","No"),IF(MIN(AC104,AG104,AG104)&gt;AB104,"Si","No"))</f>
        <v/>
      </c>
      <c r="AJ104" s="328">
        <f>MIN(AC104,AE104,AG104)</f>
        <v/>
      </c>
      <c r="AK104" s="328">
        <f>IFERROR(IF(MIN(AF104,AH104)=AD104,IF(AE104=AG104,"Escenario 5","Escenario 4"),IF(MIN(AF104,AH104)&lt;AD104,IF(AND(AD104-2&lt;=MIN(AF104,AH104),AE104&lt;&gt;AG104),"Escenario 1",IF(AND(AD104-2&lt;=MIN(AF104,AH104),AE104=AG104),"Escenario 2","Escenario 3")),IF(MIN(AF104,AH104)&gt;AD104,IF(AND(AD104+2&gt;=MIN(AF104,AH104),AE104=AG104),"Escenario 7",IF(AND(AD104+2&gt;=MIN(AF104,AH104),AE104&lt;&gt;AG104),"Escenario 6",IF(AD104+5&lt;=MIN(AF104,AH104),"Escenario 9","Escenario 8"))),"error"))),"Falta info")</f>
        <v/>
      </c>
      <c r="AL104" s="98">
        <f>IFERROR(VLOOKUP(AK104,Base!$BJ$37:$BL$45,3,0),0)</f>
        <v/>
      </c>
      <c r="AM104" s="330">
        <f>IF(LOOKUP(AK104,Base!$X$8:$BG$8)=AK104,VLOOKUP(B104,Base!E:BG,AL104,0),0)</f>
        <v/>
      </c>
      <c r="AN104" s="330" t="e">
        <v>#N/A</v>
      </c>
      <c r="AP104" s="331">
        <f>IF(AM104&lt;=AA104,"REVISAR!","ok")</f>
        <v/>
      </c>
    </row>
    <row customHeight="1" ht="12.95" r="105" s="183" spans="1:43">
      <c r="B105" s="108" t="n"/>
      <c r="C105" s="89" t="n"/>
      <c r="D105" s="106">
        <f>VLOOKUP(B105,Base!E:G,3,0)</f>
        <v/>
      </c>
      <c r="E105" s="326" t="n"/>
      <c r="F105" s="91">
        <f>IFERROR(IF(VLOOKUP(B105,Detalle!$A:$AA,$F$1,0)=0,"Sin datos",IFERROR(VLOOKUP(B105,Detalle!$A:$AA,$F$1,0),"Sin datos")),"")</f>
        <v/>
      </c>
      <c r="G105" s="327">
        <f>IFERROR(IF(VLOOKUP(B105,Detalle!$A:$AA,$G$1,0)=0,"Sin datos",IFERROR(VLOOKUP(B105,Detalle!$A:$AA,$G$1,0),"Sin datos")),"")</f>
        <v/>
      </c>
      <c r="H105" s="93">
        <f>IFERROR(IF(VLOOKUP(B105,Detalle!$A:$AA,$H$1,0)=0,"Sin datos",IFERROR(VLOOKUP(B105,Detalle!$A:$AA,$H$1,0),"Sin datos")),"")</f>
        <v/>
      </c>
      <c r="I105" s="327">
        <f>IFERROR(IF(VLOOKUP(B105,Detalle!$A:$AA,$I$1,0)=0,"Sin datos",IFERROR(VLOOKUP(B105,Detalle!$A:$AA,$I$1,0),"Sin datos")),"")</f>
        <v/>
      </c>
      <c r="J105" s="93">
        <f>IFERROR(IF(VLOOKUP(B105,Detalle!$A:$AA,$J$1,0)=0,"Sin datos",IFERROR(VLOOKUP(B105,Detalle!$A:$AA,$J$1,0),"Sin datos")),"")</f>
        <v/>
      </c>
      <c r="K105" s="98" t="n"/>
      <c r="L105" s="328" t="n"/>
      <c r="M105" s="329">
        <f>IFERROR(IF(MIN(H105,J105)=F105,IF(G105=I105,"Escenario 5","Escenario 4"),IF(MIN(H105,J105)&lt;F105,IF(AND(F105-2&lt;=MIN(H105,J105),G105&lt;&gt;I105),"Escenario 1",IF(AND(F105-2&lt;=MIN(H105,J105),G105=I105),"Escenario 2","Escenario 3")),IF(MIN(H105,J105)&gt;F105,IF(AND(F105+2&gt;=MIN(H105,J105),G105=I105),"Escenario 7",IF(AND(F105+2&gt;=MIN(H105,J105),G105&lt;&gt;I105),"Escenario 6",IF(F105+5&lt;=MIN(H105,J105),"Escenario 9","Escenario 8"))),"error"))),"Falta info")</f>
        <v/>
      </c>
      <c r="N105" s="98">
        <f>IFERROR(VLOOKUP(M105,Base!$BJ$28:$BL$36,3,0),0)</f>
        <v/>
      </c>
      <c r="O105" s="330" t="n"/>
      <c r="P105" s="330" t="n"/>
      <c r="Q105" s="327" t="n"/>
      <c r="R105" s="93" t="n"/>
      <c r="S105" s="327" t="n"/>
      <c r="T105" s="93" t="n"/>
      <c r="U105" s="327" t="n"/>
      <c r="V105" s="93" t="n"/>
      <c r="W105" s="98" t="n"/>
      <c r="X105" s="328">
        <f>MIN(Q105,S105,U105)</f>
        <v/>
      </c>
      <c r="Y105" s="328">
        <f>IFERROR(IF(MIN(T105,V105)=R105,IF(S105=U105,"Escenario 5","Escenario 4"),IF(MIN(T105,V105)&lt;R105,IF(AND(R105-2&lt;=MIN(T105,V105),S105&lt;&gt;U105),"Escenario 1",IF(AND(R105-2&lt;=MIN(T105,V105),S105=U105),"Escenario 2","Escenario 3")),IF(MIN(T105,V105)&gt;R105,IF(AND(R105+2&gt;=MIN(T105,V105),S105=U105),"Escenario 7",IF(AND(R105+2&gt;=MIN(T105,V105),S105&lt;&gt;U105),"Escenario 6",IF(R105+5&lt;=MIN(T105,V105),"Escenario 9","Escenario 8"))),"error"))),"Falta info")</f>
        <v/>
      </c>
      <c r="Z105" s="98">
        <f>IFERROR(VLOOKUP(Y105,Base!$BJ$19:$BL$27,3,0),0)</f>
        <v/>
      </c>
      <c r="AA105" s="330" t="n"/>
      <c r="AB105" s="330" t="n"/>
      <c r="AC105" s="327" t="n"/>
      <c r="AD105" s="93" t="n"/>
      <c r="AE105" s="327" t="n"/>
      <c r="AF105" s="93" t="n"/>
      <c r="AG105" s="327" t="n"/>
      <c r="AH105" s="93" t="n"/>
      <c r="AI105" s="98">
        <f>IF(AB105="",IF(MIN(AC105,AE105,AG105)&gt;E105,"Si","No"),IF(MIN(AC105,AG105,AG105)&gt;AB105,"Si","No"))</f>
        <v/>
      </c>
      <c r="AJ105" s="328">
        <f>MIN(AC105,AE105,AG105)</f>
        <v/>
      </c>
      <c r="AK105" s="328">
        <f>IFERROR(IF(MIN(AF105,AH105)=AD105,IF(AE105=AG105,"Escenario 5","Escenario 4"),IF(MIN(AF105,AH105)&lt;AD105,IF(AND(AD105-2&lt;=MIN(AF105,AH105),AE105&lt;&gt;AG105),"Escenario 1",IF(AND(AD105-2&lt;=MIN(AF105,AH105),AE105=AG105),"Escenario 2","Escenario 3")),IF(MIN(AF105,AH105)&gt;AD105,IF(AND(AD105+2&gt;=MIN(AF105,AH105),AE105=AG105),"Escenario 7",IF(AND(AD105+2&gt;=MIN(AF105,AH105),AE105&lt;&gt;AG105),"Escenario 6",IF(AD105+5&lt;=MIN(AF105,AH105),"Escenario 9","Escenario 8"))),"error"))),"Falta info")</f>
        <v/>
      </c>
      <c r="AL105" s="98">
        <f>IFERROR(VLOOKUP(AK105,Base!$BJ$37:$BL$45,3,0),0)</f>
        <v/>
      </c>
      <c r="AM105" s="330">
        <f>IF(LOOKUP(AK105,Base!$X$8:$BG$8)=AK105,VLOOKUP(B105,Base!E:BG,AL105,0),0)</f>
        <v/>
      </c>
      <c r="AN105" s="330" t="e">
        <v>#N/A</v>
      </c>
      <c r="AP105" s="331">
        <f>IF(AM105&lt;=AA105,"REVISAR!","ok")</f>
        <v/>
      </c>
    </row>
    <row customHeight="1" ht="12.95" r="106" s="183" spans="1:43">
      <c r="B106" s="108" t="n"/>
      <c r="C106" s="89" t="n"/>
      <c r="D106" s="106">
        <f>VLOOKUP(B106,Base!E:G,3,0)</f>
        <v/>
      </c>
      <c r="E106" s="326" t="n"/>
      <c r="F106" s="91">
        <f>IFERROR(IF(VLOOKUP(B106,Detalle!$A:$AA,$F$1,0)=0,"Sin datos",IFERROR(VLOOKUP(B106,Detalle!$A:$AA,$F$1,0),"Sin datos")),"")</f>
        <v/>
      </c>
      <c r="G106" s="327">
        <f>IFERROR(IF(VLOOKUP(B106,Detalle!$A:$AA,$G$1,0)=0,"Sin datos",IFERROR(VLOOKUP(B106,Detalle!$A:$AA,$G$1,0),"Sin datos")),"")</f>
        <v/>
      </c>
      <c r="H106" s="93">
        <f>IFERROR(IF(VLOOKUP(B106,Detalle!$A:$AA,$H$1,0)=0,"Sin datos",IFERROR(VLOOKUP(B106,Detalle!$A:$AA,$H$1,0),"Sin datos")),"")</f>
        <v/>
      </c>
      <c r="I106" s="327">
        <f>IFERROR(IF(VLOOKUP(B106,Detalle!$A:$AA,$I$1,0)=0,"Sin datos",IFERROR(VLOOKUP(B106,Detalle!$A:$AA,$I$1,0),"Sin datos")),"")</f>
        <v/>
      </c>
      <c r="J106" s="93">
        <f>IFERROR(IF(VLOOKUP(B106,Detalle!$A:$AA,$J$1,0)=0,"Sin datos",IFERROR(VLOOKUP(B106,Detalle!$A:$AA,$J$1,0),"Sin datos")),"")</f>
        <v/>
      </c>
      <c r="K106" s="98" t="n"/>
      <c r="L106" s="328" t="n"/>
      <c r="M106" s="329">
        <f>IFERROR(IF(MIN(H106,J106)=F106,IF(G106=I106,"Escenario 5","Escenario 4"),IF(MIN(H106,J106)&lt;F106,IF(AND(F106-2&lt;=MIN(H106,J106),G106&lt;&gt;I106),"Escenario 1",IF(AND(F106-2&lt;=MIN(H106,J106),G106=I106),"Escenario 2","Escenario 3")),IF(MIN(H106,J106)&gt;F106,IF(AND(F106+2&gt;=MIN(H106,J106),G106=I106),"Escenario 7",IF(AND(F106+2&gt;=MIN(H106,J106),G106&lt;&gt;I106),"Escenario 6",IF(F106+5&lt;=MIN(H106,J106),"Escenario 9","Escenario 8"))),"error"))),"Falta info")</f>
        <v/>
      </c>
      <c r="N106" s="98">
        <f>IFERROR(VLOOKUP(M106,Base!$BJ$28:$BL$36,3,0),0)</f>
        <v/>
      </c>
      <c r="O106" s="330" t="n"/>
      <c r="P106" s="330" t="n"/>
      <c r="Q106" s="327" t="n"/>
      <c r="R106" s="93" t="n"/>
      <c r="S106" s="327" t="n"/>
      <c r="T106" s="93" t="n"/>
      <c r="U106" s="327" t="n"/>
      <c r="V106" s="93" t="n"/>
      <c r="W106" s="98" t="n"/>
      <c r="X106" s="328">
        <f>MIN(Q106,S106,U106)</f>
        <v/>
      </c>
      <c r="Y106" s="328">
        <f>IFERROR(IF(MIN(T106,V106)=R106,IF(S106=U106,"Escenario 5","Escenario 4"),IF(MIN(T106,V106)&lt;R106,IF(AND(R106-2&lt;=MIN(T106,V106),S106&lt;&gt;U106),"Escenario 1",IF(AND(R106-2&lt;=MIN(T106,V106),S106=U106),"Escenario 2","Escenario 3")),IF(MIN(T106,V106)&gt;R106,IF(AND(R106+2&gt;=MIN(T106,V106),S106=U106),"Escenario 7",IF(AND(R106+2&gt;=MIN(T106,V106),S106&lt;&gt;U106),"Escenario 6",IF(R106+5&lt;=MIN(T106,V106),"Escenario 9","Escenario 8"))),"error"))),"Falta info")</f>
        <v/>
      </c>
      <c r="Z106" s="98">
        <f>IFERROR(VLOOKUP(Y106,Base!$BJ$19:$BL$27,3,0),0)</f>
        <v/>
      </c>
      <c r="AA106" s="330" t="n"/>
      <c r="AB106" s="330" t="n"/>
      <c r="AC106" s="327" t="n"/>
      <c r="AD106" s="93" t="n"/>
      <c r="AE106" s="327" t="n"/>
      <c r="AF106" s="93" t="n"/>
      <c r="AG106" s="327" t="n"/>
      <c r="AH106" s="93" t="n"/>
      <c r="AI106" s="98">
        <f>IF(AB106="",IF(MIN(AC106,AE106,AG106)&gt;E106,"Si","No"),IF(MIN(AC106,AG106,AG106)&gt;AB106,"Si","No"))</f>
        <v/>
      </c>
      <c r="AJ106" s="328">
        <f>MIN(AC106,AE106,AG106)</f>
        <v/>
      </c>
      <c r="AK106" s="328">
        <f>IFERROR(IF(MIN(AF106,AH106)=AD106,IF(AE106=AG106,"Escenario 5","Escenario 4"),IF(MIN(AF106,AH106)&lt;AD106,IF(AND(AD106-2&lt;=MIN(AF106,AH106),AE106&lt;&gt;AG106),"Escenario 1",IF(AND(AD106-2&lt;=MIN(AF106,AH106),AE106=AG106),"Escenario 2","Escenario 3")),IF(MIN(AF106,AH106)&gt;AD106,IF(AND(AD106+2&gt;=MIN(AF106,AH106),AE106=AG106),"Escenario 7",IF(AND(AD106+2&gt;=MIN(AF106,AH106),AE106&lt;&gt;AG106),"Escenario 6",IF(AD106+5&lt;=MIN(AF106,AH106),"Escenario 9","Escenario 8"))),"error"))),"Falta info")</f>
        <v/>
      </c>
      <c r="AL106" s="98">
        <f>IFERROR(VLOOKUP(AK106,Base!$BJ$37:$BL$45,3,0),0)</f>
        <v/>
      </c>
      <c r="AM106" s="330">
        <f>IF(LOOKUP(AK106,Base!$X$8:$BG$8)=AK106,VLOOKUP(B106,Base!E:BG,AL106,0),0)</f>
        <v/>
      </c>
      <c r="AN106" s="330" t="e">
        <v>#N/A</v>
      </c>
      <c r="AP106" s="331">
        <f>IF(AM106&lt;=AA106,"REVISAR!","ok")</f>
        <v/>
      </c>
    </row>
    <row customHeight="1" ht="12.95" r="107" s="183" spans="1:43">
      <c r="B107" s="108" t="n"/>
      <c r="C107" s="89" t="n"/>
      <c r="D107" s="106">
        <f>VLOOKUP(B107,Base!E:G,3,0)</f>
        <v/>
      </c>
      <c r="E107" s="326" t="n"/>
      <c r="F107" s="91">
        <f>IFERROR(IF(VLOOKUP(B107,Detalle!$A:$AA,$F$1,0)=0,"Sin datos",IFERROR(VLOOKUP(B107,Detalle!$A:$AA,$F$1,0),"Sin datos")),"")</f>
        <v/>
      </c>
      <c r="G107" s="327">
        <f>IFERROR(IF(VLOOKUP(B107,Detalle!$A:$AA,$G$1,0)=0,"Sin datos",IFERROR(VLOOKUP(B107,Detalle!$A:$AA,$G$1,0),"Sin datos")),"")</f>
        <v/>
      </c>
      <c r="H107" s="93">
        <f>IFERROR(IF(VLOOKUP(B107,Detalle!$A:$AA,$H$1,0)=0,"Sin datos",IFERROR(VLOOKUP(B107,Detalle!$A:$AA,$H$1,0),"Sin datos")),"")</f>
        <v/>
      </c>
      <c r="I107" s="327">
        <f>IFERROR(IF(VLOOKUP(B107,Detalle!$A:$AA,$I$1,0)=0,"Sin datos",IFERROR(VLOOKUP(B107,Detalle!$A:$AA,$I$1,0),"Sin datos")),"")</f>
        <v/>
      </c>
      <c r="J107" s="93">
        <f>IFERROR(IF(VLOOKUP(B107,Detalle!$A:$AA,$J$1,0)=0,"Sin datos",IFERROR(VLOOKUP(B107,Detalle!$A:$AA,$J$1,0),"Sin datos")),"")</f>
        <v/>
      </c>
      <c r="K107" s="98" t="n"/>
      <c r="L107" s="328" t="n"/>
      <c r="M107" s="329">
        <f>IFERROR(IF(MIN(H107,J107)=F107,IF(G107=I107,"Escenario 5","Escenario 4"),IF(MIN(H107,J107)&lt;F107,IF(AND(F107-2&lt;=MIN(H107,J107),G107&lt;&gt;I107),"Escenario 1",IF(AND(F107-2&lt;=MIN(H107,J107),G107=I107),"Escenario 2","Escenario 3")),IF(MIN(H107,J107)&gt;F107,IF(AND(F107+2&gt;=MIN(H107,J107),G107=I107),"Escenario 7",IF(AND(F107+2&gt;=MIN(H107,J107),G107&lt;&gt;I107),"Escenario 6",IF(F107+5&lt;=MIN(H107,J107),"Escenario 9","Escenario 8"))),"error"))),"Falta info")</f>
        <v/>
      </c>
      <c r="N107" s="98">
        <f>IFERROR(VLOOKUP(M107,Base!$BJ$28:$BL$36,3,0),0)</f>
        <v/>
      </c>
      <c r="O107" s="330" t="n"/>
      <c r="P107" s="330" t="n"/>
      <c r="Q107" s="327" t="n"/>
      <c r="R107" s="93" t="n"/>
      <c r="S107" s="327" t="n"/>
      <c r="T107" s="93" t="n"/>
      <c r="U107" s="327" t="n"/>
      <c r="V107" s="93" t="n"/>
      <c r="W107" s="98" t="n"/>
      <c r="X107" s="328">
        <f>MIN(Q107,S107,U107)</f>
        <v/>
      </c>
      <c r="Y107" s="328">
        <f>IFERROR(IF(MIN(T107,V107)=R107,IF(S107=U107,"Escenario 5","Escenario 4"),IF(MIN(T107,V107)&lt;R107,IF(AND(R107-2&lt;=MIN(T107,V107),S107&lt;&gt;U107),"Escenario 1",IF(AND(R107-2&lt;=MIN(T107,V107),S107=U107),"Escenario 2","Escenario 3")),IF(MIN(T107,V107)&gt;R107,IF(AND(R107+2&gt;=MIN(T107,V107),S107=U107),"Escenario 7",IF(AND(R107+2&gt;=MIN(T107,V107),S107&lt;&gt;U107),"Escenario 6",IF(R107+5&lt;=MIN(T107,V107),"Escenario 9","Escenario 8"))),"error"))),"Falta info")</f>
        <v/>
      </c>
      <c r="Z107" s="98">
        <f>IFERROR(VLOOKUP(Y107,Base!$BJ$19:$BL$27,3,0),0)</f>
        <v/>
      </c>
      <c r="AA107" s="330" t="n"/>
      <c r="AB107" s="330" t="n"/>
      <c r="AC107" s="327" t="n"/>
      <c r="AD107" s="93" t="n"/>
      <c r="AE107" s="327" t="n"/>
      <c r="AF107" s="93" t="n"/>
      <c r="AG107" s="327" t="n"/>
      <c r="AH107" s="93" t="n"/>
      <c r="AI107" s="98">
        <f>IF(AB107="",IF(MIN(AC107,AE107,AG107)&gt;E107,"Si","No"),IF(MIN(AC107,AG107,AG107)&gt;AB107,"Si","No"))</f>
        <v/>
      </c>
      <c r="AJ107" s="328">
        <f>MIN(AC107,AE107,AG107)</f>
        <v/>
      </c>
      <c r="AK107" s="328">
        <f>IFERROR(IF(MIN(AF107,AH107)=AD107,IF(AE107=AG107,"Escenario 5","Escenario 4"),IF(MIN(AF107,AH107)&lt;AD107,IF(AND(AD107-2&lt;=MIN(AF107,AH107),AE107&lt;&gt;AG107),"Escenario 1",IF(AND(AD107-2&lt;=MIN(AF107,AH107),AE107=AG107),"Escenario 2","Escenario 3")),IF(MIN(AF107,AH107)&gt;AD107,IF(AND(AD107+2&gt;=MIN(AF107,AH107),AE107=AG107),"Escenario 7",IF(AND(AD107+2&gt;=MIN(AF107,AH107),AE107&lt;&gt;AG107),"Escenario 6",IF(AD107+5&lt;=MIN(AF107,AH107),"Escenario 9","Escenario 8"))),"error"))),"Falta info")</f>
        <v/>
      </c>
      <c r="AL107" s="98">
        <f>IFERROR(VLOOKUP(AK107,Base!$BJ$37:$BL$45,3,0),0)</f>
        <v/>
      </c>
      <c r="AM107" s="330">
        <f>IF(LOOKUP(AK107,Base!$X$8:$BG$8)=AK107,VLOOKUP(B107,Base!E:BG,AL107,0),0)</f>
        <v/>
      </c>
      <c r="AN107" s="330" t="e">
        <v>#N/A</v>
      </c>
      <c r="AP107" s="331">
        <f>IF(AM107&lt;=AA107,"REVISAR!","ok")</f>
        <v/>
      </c>
    </row>
    <row customHeight="1" ht="12.95" r="108" s="183" spans="1:43">
      <c r="B108" s="108" t="n"/>
      <c r="C108" s="89" t="n"/>
      <c r="D108" s="106">
        <f>VLOOKUP(B108,Base!E:G,3,0)</f>
        <v/>
      </c>
      <c r="E108" s="326" t="n"/>
      <c r="F108" s="91">
        <f>IFERROR(IF(VLOOKUP(B108,Detalle!$A:$AA,$F$1,0)=0,"Sin datos",IFERROR(VLOOKUP(B108,Detalle!$A:$AA,$F$1,0),"Sin datos")),"")</f>
        <v/>
      </c>
      <c r="G108" s="327">
        <f>IFERROR(IF(VLOOKUP(B108,Detalle!$A:$AA,$G$1,0)=0,"Sin datos",IFERROR(VLOOKUP(B108,Detalle!$A:$AA,$G$1,0),"Sin datos")),"")</f>
        <v/>
      </c>
      <c r="H108" s="93">
        <f>IFERROR(IF(VLOOKUP(B108,Detalle!$A:$AA,$H$1,0)=0,"Sin datos",IFERROR(VLOOKUP(B108,Detalle!$A:$AA,$H$1,0),"Sin datos")),"")</f>
        <v/>
      </c>
      <c r="I108" s="327">
        <f>IFERROR(IF(VLOOKUP(B108,Detalle!$A:$AA,$I$1,0)=0,"Sin datos",IFERROR(VLOOKUP(B108,Detalle!$A:$AA,$I$1,0),"Sin datos")),"")</f>
        <v/>
      </c>
      <c r="J108" s="93">
        <f>IFERROR(IF(VLOOKUP(B108,Detalle!$A:$AA,$J$1,0)=0,"Sin datos",IFERROR(VLOOKUP(B108,Detalle!$A:$AA,$J$1,0),"Sin datos")),"")</f>
        <v/>
      </c>
      <c r="K108" s="98" t="n"/>
      <c r="L108" s="328" t="n"/>
      <c r="M108" s="329">
        <f>IFERROR(IF(MIN(H108,J108)=F108,IF(G108=I108,"Escenario 5","Escenario 4"),IF(MIN(H108,J108)&lt;F108,IF(AND(F108-2&lt;=MIN(H108,J108),G108&lt;&gt;I108),"Escenario 1",IF(AND(F108-2&lt;=MIN(H108,J108),G108=I108),"Escenario 2","Escenario 3")),IF(MIN(H108,J108)&gt;F108,IF(AND(F108+2&gt;=MIN(H108,J108),G108=I108),"Escenario 7",IF(AND(F108+2&gt;=MIN(H108,J108),G108&lt;&gt;I108),"Escenario 6",IF(F108+5&lt;=MIN(H108,J108),"Escenario 9","Escenario 8"))),"error"))),"Falta info")</f>
        <v/>
      </c>
      <c r="N108" s="98">
        <f>IFERROR(VLOOKUP(M108,Base!$BJ$28:$BL$36,3,0),0)</f>
        <v/>
      </c>
      <c r="O108" s="330" t="n"/>
      <c r="P108" s="330" t="n"/>
      <c r="Q108" s="327" t="n"/>
      <c r="R108" s="93" t="n"/>
      <c r="S108" s="327" t="n"/>
      <c r="T108" s="93" t="n"/>
      <c r="U108" s="327" t="n"/>
      <c r="V108" s="93" t="n"/>
      <c r="W108" s="98" t="n"/>
      <c r="X108" s="328">
        <f>MIN(Q108,S108,U108)</f>
        <v/>
      </c>
      <c r="Y108" s="328">
        <f>IFERROR(IF(MIN(T108,V108)=R108,IF(S108=U108,"Escenario 5","Escenario 4"),IF(MIN(T108,V108)&lt;R108,IF(AND(R108-2&lt;=MIN(T108,V108),S108&lt;&gt;U108),"Escenario 1",IF(AND(R108-2&lt;=MIN(T108,V108),S108=U108),"Escenario 2","Escenario 3")),IF(MIN(T108,V108)&gt;R108,IF(AND(R108+2&gt;=MIN(T108,V108),S108=U108),"Escenario 7",IF(AND(R108+2&gt;=MIN(T108,V108),S108&lt;&gt;U108),"Escenario 6",IF(R108+5&lt;=MIN(T108,V108),"Escenario 9","Escenario 8"))),"error"))),"Falta info")</f>
        <v/>
      </c>
      <c r="Z108" s="98">
        <f>IFERROR(VLOOKUP(Y108,Base!$BJ$19:$BL$27,3,0),0)</f>
        <v/>
      </c>
      <c r="AA108" s="330" t="n"/>
      <c r="AB108" s="330" t="n"/>
      <c r="AC108" s="327" t="n"/>
      <c r="AD108" s="93" t="n"/>
      <c r="AE108" s="327" t="n"/>
      <c r="AF108" s="93" t="n"/>
      <c r="AG108" s="327" t="n"/>
      <c r="AH108" s="93" t="n"/>
      <c r="AI108" s="98">
        <f>IF(AB108="",IF(MIN(AC108,AE108,AG108)&gt;E108,"Si","No"),IF(MIN(AC108,AG108,AG108)&gt;AB108,"Si","No"))</f>
        <v/>
      </c>
      <c r="AJ108" s="328">
        <f>MIN(AC108,AE108,AG108)</f>
        <v/>
      </c>
      <c r="AK108" s="328">
        <f>IFERROR(IF(MIN(AF108,AH108)=AD108,IF(AE108=AG108,"Escenario 5","Escenario 4"),IF(MIN(AF108,AH108)&lt;AD108,IF(AND(AD108-2&lt;=MIN(AF108,AH108),AE108&lt;&gt;AG108),"Escenario 1",IF(AND(AD108-2&lt;=MIN(AF108,AH108),AE108=AG108),"Escenario 2","Escenario 3")),IF(MIN(AF108,AH108)&gt;AD108,IF(AND(AD108+2&gt;=MIN(AF108,AH108),AE108=AG108),"Escenario 7",IF(AND(AD108+2&gt;=MIN(AF108,AH108),AE108&lt;&gt;AG108),"Escenario 6",IF(AD108+5&lt;=MIN(AF108,AH108),"Escenario 9","Escenario 8"))),"error"))),"Falta info")</f>
        <v/>
      </c>
      <c r="AL108" s="98">
        <f>IFERROR(VLOOKUP(AK108,Base!$BJ$37:$BL$45,3,0),0)</f>
        <v/>
      </c>
      <c r="AM108" s="330">
        <f>IF(LOOKUP(AK108,Base!$X$8:$BG$8)=AK108,VLOOKUP(B108,Base!E:BG,AL108,0),0)</f>
        <v/>
      </c>
      <c r="AN108" s="330" t="e">
        <v>#N/A</v>
      </c>
      <c r="AP108" s="331">
        <f>IF(AM108&lt;=AA108,"REVISAR!","ok")</f>
        <v/>
      </c>
    </row>
    <row customHeight="1" ht="12.95" r="109" s="183" spans="1:43">
      <c r="B109" s="108" t="n"/>
      <c r="C109" s="89" t="n"/>
      <c r="D109" s="106">
        <f>VLOOKUP(B109,Base!E:G,3,0)</f>
        <v/>
      </c>
      <c r="E109" s="326" t="n"/>
      <c r="F109" s="91">
        <f>IFERROR(IF(VLOOKUP(B109,Detalle!$A:$AA,$F$1,0)=0,"Sin datos",IFERROR(VLOOKUP(B109,Detalle!$A:$AA,$F$1,0),"Sin datos")),"")</f>
        <v/>
      </c>
      <c r="G109" s="327">
        <f>IFERROR(IF(VLOOKUP(B109,Detalle!$A:$AA,$G$1,0)=0,"Sin datos",IFERROR(VLOOKUP(B109,Detalle!$A:$AA,$G$1,0),"Sin datos")),"")</f>
        <v/>
      </c>
      <c r="H109" s="93">
        <f>IFERROR(IF(VLOOKUP(B109,Detalle!$A:$AA,$H$1,0)=0,"Sin datos",IFERROR(VLOOKUP(B109,Detalle!$A:$AA,$H$1,0),"Sin datos")),"")</f>
        <v/>
      </c>
      <c r="I109" s="327">
        <f>IFERROR(IF(VLOOKUP(B109,Detalle!$A:$AA,$I$1,0)=0,"Sin datos",IFERROR(VLOOKUP(B109,Detalle!$A:$AA,$I$1,0),"Sin datos")),"")</f>
        <v/>
      </c>
      <c r="J109" s="93">
        <f>IFERROR(IF(VLOOKUP(B109,Detalle!$A:$AA,$J$1,0)=0,"Sin datos",IFERROR(VLOOKUP(B109,Detalle!$A:$AA,$J$1,0),"Sin datos")),"")</f>
        <v/>
      </c>
      <c r="K109" s="98" t="n"/>
      <c r="L109" s="328" t="n"/>
      <c r="M109" s="329">
        <f>IFERROR(IF(MIN(H109,J109)=F109,IF(G109=I109,"Escenario 5","Escenario 4"),IF(MIN(H109,J109)&lt;F109,IF(AND(F109-2&lt;=MIN(H109,J109),G109&lt;&gt;I109),"Escenario 1",IF(AND(F109-2&lt;=MIN(H109,J109),G109=I109),"Escenario 2","Escenario 3")),IF(MIN(H109,J109)&gt;F109,IF(AND(F109+2&gt;=MIN(H109,J109),G109=I109),"Escenario 7",IF(AND(F109+2&gt;=MIN(H109,J109),G109&lt;&gt;I109),"Escenario 6",IF(F109+5&lt;=MIN(H109,J109),"Escenario 9","Escenario 8"))),"error"))),"Falta info")</f>
        <v/>
      </c>
      <c r="N109" s="98">
        <f>IFERROR(VLOOKUP(M109,Base!$BJ$28:$BL$36,3,0),0)</f>
        <v/>
      </c>
      <c r="O109" s="330" t="n"/>
      <c r="P109" s="330" t="n"/>
      <c r="Q109" s="327" t="n"/>
      <c r="R109" s="93" t="n"/>
      <c r="S109" s="327" t="n"/>
      <c r="T109" s="93" t="n"/>
      <c r="U109" s="327" t="n"/>
      <c r="V109" s="93" t="n"/>
      <c r="W109" s="98" t="n"/>
      <c r="X109" s="328">
        <f>MIN(Q109,S109,U109)</f>
        <v/>
      </c>
      <c r="Y109" s="328">
        <f>IFERROR(IF(MIN(T109,V109)=R109,IF(S109=U109,"Escenario 5","Escenario 4"),IF(MIN(T109,V109)&lt;R109,IF(AND(R109-2&lt;=MIN(T109,V109),S109&lt;&gt;U109),"Escenario 1",IF(AND(R109-2&lt;=MIN(T109,V109),S109=U109),"Escenario 2","Escenario 3")),IF(MIN(T109,V109)&gt;R109,IF(AND(R109+2&gt;=MIN(T109,V109),S109=U109),"Escenario 7",IF(AND(R109+2&gt;=MIN(T109,V109),S109&lt;&gt;U109),"Escenario 6",IF(R109+5&lt;=MIN(T109,V109),"Escenario 9","Escenario 8"))),"error"))),"Falta info")</f>
        <v/>
      </c>
      <c r="Z109" s="98">
        <f>IFERROR(VLOOKUP(Y109,Base!$BJ$19:$BL$27,3,0),0)</f>
        <v/>
      </c>
      <c r="AA109" s="330" t="n"/>
      <c r="AB109" s="330" t="n"/>
      <c r="AC109" s="327" t="n"/>
      <c r="AD109" s="93" t="n"/>
      <c r="AE109" s="327" t="n"/>
      <c r="AF109" s="93" t="n"/>
      <c r="AG109" s="327" t="n"/>
      <c r="AH109" s="93" t="n"/>
      <c r="AI109" s="98">
        <f>IF(AB109="",IF(MIN(AC109,AE109,AG109)&gt;E109,"Si","No"),IF(MIN(AC109,AG109,AG109)&gt;AB109,"Si","No"))</f>
        <v/>
      </c>
      <c r="AJ109" s="328">
        <f>MIN(AC109,AE109,AG109)</f>
        <v/>
      </c>
      <c r="AK109" s="328">
        <f>IFERROR(IF(MIN(AF109,AH109)=AD109,IF(AE109=AG109,"Escenario 5","Escenario 4"),IF(MIN(AF109,AH109)&lt;AD109,IF(AND(AD109-2&lt;=MIN(AF109,AH109),AE109&lt;&gt;AG109),"Escenario 1",IF(AND(AD109-2&lt;=MIN(AF109,AH109),AE109=AG109),"Escenario 2","Escenario 3")),IF(MIN(AF109,AH109)&gt;AD109,IF(AND(AD109+2&gt;=MIN(AF109,AH109),AE109=AG109),"Escenario 7",IF(AND(AD109+2&gt;=MIN(AF109,AH109),AE109&lt;&gt;AG109),"Escenario 6",IF(AD109+5&lt;=MIN(AF109,AH109),"Escenario 9","Escenario 8"))),"error"))),"Falta info")</f>
        <v/>
      </c>
      <c r="AL109" s="98">
        <f>IFERROR(VLOOKUP(AK109,Base!$BJ$37:$BL$45,3,0),0)</f>
        <v/>
      </c>
      <c r="AM109" s="330">
        <f>IF(LOOKUP(AK109,Base!$X$8:$BG$8)=AK109,VLOOKUP(B109,Base!E:BG,AL109,0),0)</f>
        <v/>
      </c>
      <c r="AN109" s="330" t="e">
        <v>#N/A</v>
      </c>
      <c r="AP109" s="331">
        <f>IF(AM109&lt;=AA109,"REVISAR!","ok")</f>
        <v/>
      </c>
    </row>
    <row customHeight="1" ht="12.95" r="110" s="183" spans="1:43">
      <c r="B110" s="108" t="n"/>
      <c r="C110" s="89" t="n"/>
      <c r="D110" s="106">
        <f>VLOOKUP(B110,Base!E:G,3,0)</f>
        <v/>
      </c>
      <c r="E110" s="326" t="n"/>
      <c r="F110" s="91">
        <f>IFERROR(IF(VLOOKUP(B110,Detalle!$A:$AA,$F$1,0)=0,"Sin datos",IFERROR(VLOOKUP(B110,Detalle!$A:$AA,$F$1,0),"Sin datos")),"")</f>
        <v/>
      </c>
      <c r="G110" s="327">
        <f>IFERROR(IF(VLOOKUP(B110,Detalle!$A:$AA,$G$1,0)=0,"Sin datos",IFERROR(VLOOKUP(B110,Detalle!$A:$AA,$G$1,0),"Sin datos")),"")</f>
        <v/>
      </c>
      <c r="H110" s="93">
        <f>IFERROR(IF(VLOOKUP(B110,Detalle!$A:$AA,$H$1,0)=0,"Sin datos",IFERROR(VLOOKUP(B110,Detalle!$A:$AA,$H$1,0),"Sin datos")),"")</f>
        <v/>
      </c>
      <c r="I110" s="327">
        <f>IFERROR(IF(VLOOKUP(B110,Detalle!$A:$AA,$I$1,0)=0,"Sin datos",IFERROR(VLOOKUP(B110,Detalle!$A:$AA,$I$1,0),"Sin datos")),"")</f>
        <v/>
      </c>
      <c r="J110" s="93">
        <f>IFERROR(IF(VLOOKUP(B110,Detalle!$A:$AA,$J$1,0)=0,"Sin datos",IFERROR(VLOOKUP(B110,Detalle!$A:$AA,$J$1,0),"Sin datos")),"")</f>
        <v/>
      </c>
      <c r="K110" s="98" t="n"/>
      <c r="L110" s="328" t="n"/>
      <c r="M110" s="329">
        <f>IFERROR(IF(MIN(H110,J110)=F110,IF(G110=I110,"Escenario 5","Escenario 4"),IF(MIN(H110,J110)&lt;F110,IF(AND(F110-2&lt;=MIN(H110,J110),G110&lt;&gt;I110),"Escenario 1",IF(AND(F110-2&lt;=MIN(H110,J110),G110=I110),"Escenario 2","Escenario 3")),IF(MIN(H110,J110)&gt;F110,IF(AND(F110+2&gt;=MIN(H110,J110),G110=I110),"Escenario 7",IF(AND(F110+2&gt;=MIN(H110,J110),G110&lt;&gt;I110),"Escenario 6",IF(F110+5&lt;=MIN(H110,J110),"Escenario 9","Escenario 8"))),"error"))),"Falta info")</f>
        <v/>
      </c>
      <c r="N110" s="98">
        <f>IFERROR(VLOOKUP(M110,Base!$BJ$28:$BL$36,3,0),0)</f>
        <v/>
      </c>
      <c r="O110" s="330" t="n"/>
      <c r="P110" s="330" t="n"/>
      <c r="Q110" s="327" t="n"/>
      <c r="R110" s="93" t="n"/>
      <c r="S110" s="327" t="n"/>
      <c r="T110" s="93" t="n"/>
      <c r="U110" s="327" t="n"/>
      <c r="V110" s="93" t="n"/>
      <c r="W110" s="98" t="n"/>
      <c r="X110" s="328">
        <f>MIN(Q110,S110,U110)</f>
        <v/>
      </c>
      <c r="Y110" s="328">
        <f>IFERROR(IF(MIN(T110,V110)=R110,IF(S110=U110,"Escenario 5","Escenario 4"),IF(MIN(T110,V110)&lt;R110,IF(AND(R110-2&lt;=MIN(T110,V110),S110&lt;&gt;U110),"Escenario 1",IF(AND(R110-2&lt;=MIN(T110,V110),S110=U110),"Escenario 2","Escenario 3")),IF(MIN(T110,V110)&gt;R110,IF(AND(R110+2&gt;=MIN(T110,V110),S110=U110),"Escenario 7",IF(AND(R110+2&gt;=MIN(T110,V110),S110&lt;&gt;U110),"Escenario 6",IF(R110+5&lt;=MIN(T110,V110),"Escenario 9","Escenario 8"))),"error"))),"Falta info")</f>
        <v/>
      </c>
      <c r="Z110" s="98">
        <f>IFERROR(VLOOKUP(Y110,Base!$BJ$19:$BL$27,3,0),0)</f>
        <v/>
      </c>
      <c r="AA110" s="330" t="n"/>
      <c r="AB110" s="330" t="n"/>
      <c r="AC110" s="327" t="n"/>
      <c r="AD110" s="93" t="n"/>
      <c r="AE110" s="327" t="n"/>
      <c r="AF110" s="93" t="n"/>
      <c r="AG110" s="327" t="n"/>
      <c r="AH110" s="93" t="n"/>
      <c r="AI110" s="98">
        <f>IF(AB110="",IF(MIN(AC110,AE110,AG110)&gt;E110,"Si","No"),IF(MIN(AC110,AG110,AG110)&gt;AB110,"Si","No"))</f>
        <v/>
      </c>
      <c r="AJ110" s="328">
        <f>MIN(AC110,AE110,AG110)</f>
        <v/>
      </c>
      <c r="AK110" s="328">
        <f>IFERROR(IF(MIN(AF110,AH110)=AD110,IF(AE110=AG110,"Escenario 5","Escenario 4"),IF(MIN(AF110,AH110)&lt;AD110,IF(AND(AD110-2&lt;=MIN(AF110,AH110),AE110&lt;&gt;AG110),"Escenario 1",IF(AND(AD110-2&lt;=MIN(AF110,AH110),AE110=AG110),"Escenario 2","Escenario 3")),IF(MIN(AF110,AH110)&gt;AD110,IF(AND(AD110+2&gt;=MIN(AF110,AH110),AE110=AG110),"Escenario 7",IF(AND(AD110+2&gt;=MIN(AF110,AH110),AE110&lt;&gt;AG110),"Escenario 6",IF(AD110+5&lt;=MIN(AF110,AH110),"Escenario 9","Escenario 8"))),"error"))),"Falta info")</f>
        <v/>
      </c>
      <c r="AL110" s="98">
        <f>IFERROR(VLOOKUP(AK110,Base!$BJ$37:$BL$45,3,0),0)</f>
        <v/>
      </c>
      <c r="AM110" s="330">
        <f>IF(LOOKUP(AK110,Base!$X$8:$BG$8)=AK110,VLOOKUP(B110,Base!E:BG,AL110,0),0)</f>
        <v/>
      </c>
      <c r="AN110" s="330" t="e">
        <v>#N/A</v>
      </c>
      <c r="AP110" s="331">
        <f>IF(AM110&lt;=AA110,"REVISAR!","ok")</f>
        <v/>
      </c>
    </row>
    <row customHeight="1" ht="12.95" r="111" s="183" spans="1:43">
      <c r="B111" s="108" t="n"/>
      <c r="C111" s="89" t="n"/>
      <c r="D111" s="106">
        <f>VLOOKUP(B111,Base!E:G,3,0)</f>
        <v/>
      </c>
      <c r="E111" s="326" t="n"/>
      <c r="F111" s="91">
        <f>IFERROR(IF(VLOOKUP(B111,Detalle!$A:$AA,$F$1,0)=0,"Sin datos",IFERROR(VLOOKUP(B111,Detalle!$A:$AA,$F$1,0),"Sin datos")),"")</f>
        <v/>
      </c>
      <c r="G111" s="327">
        <f>IFERROR(IF(VLOOKUP(B111,Detalle!$A:$AA,$G$1,0)=0,"Sin datos",IFERROR(VLOOKUP(B111,Detalle!$A:$AA,$G$1,0),"Sin datos")),"")</f>
        <v/>
      </c>
      <c r="H111" s="93">
        <f>IFERROR(IF(VLOOKUP(B111,Detalle!$A:$AA,$H$1,0)=0,"Sin datos",IFERROR(VLOOKUP(B111,Detalle!$A:$AA,$H$1,0),"Sin datos")),"")</f>
        <v/>
      </c>
      <c r="I111" s="327">
        <f>IFERROR(IF(VLOOKUP(B111,Detalle!$A:$AA,$I$1,0)=0,"Sin datos",IFERROR(VLOOKUP(B111,Detalle!$A:$AA,$I$1,0),"Sin datos")),"")</f>
        <v/>
      </c>
      <c r="J111" s="93">
        <f>IFERROR(IF(VLOOKUP(B111,Detalle!$A:$AA,$J$1,0)=0,"Sin datos",IFERROR(VLOOKUP(B111,Detalle!$A:$AA,$J$1,0),"Sin datos")),"")</f>
        <v/>
      </c>
      <c r="K111" s="98" t="n"/>
      <c r="L111" s="328" t="n"/>
      <c r="M111" s="329">
        <f>IFERROR(IF(MIN(H111,J111)=F111,IF(G111=I111,"Escenario 5","Escenario 4"),IF(MIN(H111,J111)&lt;F111,IF(AND(F111-2&lt;=MIN(H111,J111),G111&lt;&gt;I111),"Escenario 1",IF(AND(F111-2&lt;=MIN(H111,J111),G111=I111),"Escenario 2","Escenario 3")),IF(MIN(H111,J111)&gt;F111,IF(AND(F111+2&gt;=MIN(H111,J111),G111=I111),"Escenario 7",IF(AND(F111+2&gt;=MIN(H111,J111),G111&lt;&gt;I111),"Escenario 6",IF(F111+5&lt;=MIN(H111,J111),"Escenario 9","Escenario 8"))),"error"))),"Falta info")</f>
        <v/>
      </c>
      <c r="N111" s="98">
        <f>IFERROR(VLOOKUP(M111,Base!$BJ$28:$BL$36,3,0),0)</f>
        <v/>
      </c>
      <c r="O111" s="330" t="n"/>
      <c r="P111" s="330" t="n"/>
      <c r="Q111" s="327" t="n"/>
      <c r="R111" s="93" t="n"/>
      <c r="S111" s="327" t="n"/>
      <c r="T111" s="93" t="n"/>
      <c r="U111" s="327" t="n"/>
      <c r="V111" s="93" t="n"/>
      <c r="W111" s="98" t="n"/>
      <c r="X111" s="328">
        <f>MIN(Q111,S111,U111)</f>
        <v/>
      </c>
      <c r="Y111" s="328">
        <f>IFERROR(IF(MIN(T111,V111)=R111,IF(S111=U111,"Escenario 5","Escenario 4"),IF(MIN(T111,V111)&lt;R111,IF(AND(R111-2&lt;=MIN(T111,V111),S111&lt;&gt;U111),"Escenario 1",IF(AND(R111-2&lt;=MIN(T111,V111),S111=U111),"Escenario 2","Escenario 3")),IF(MIN(T111,V111)&gt;R111,IF(AND(R111+2&gt;=MIN(T111,V111),S111=U111),"Escenario 7",IF(AND(R111+2&gt;=MIN(T111,V111),S111&lt;&gt;U111),"Escenario 6",IF(R111+5&lt;=MIN(T111,V111),"Escenario 9","Escenario 8"))),"error"))),"Falta info")</f>
        <v/>
      </c>
      <c r="Z111" s="98">
        <f>IFERROR(VLOOKUP(Y111,Base!$BJ$19:$BL$27,3,0),0)</f>
        <v/>
      </c>
      <c r="AA111" s="330" t="n"/>
      <c r="AB111" s="330" t="n"/>
      <c r="AC111" s="327" t="n"/>
      <c r="AD111" s="93" t="n"/>
      <c r="AE111" s="327" t="n"/>
      <c r="AF111" s="93" t="n"/>
      <c r="AG111" s="327" t="n"/>
      <c r="AH111" s="93" t="n"/>
      <c r="AI111" s="98">
        <f>IF(AB111="",IF(MIN(AC111,AE111,AG111)&gt;E111,"Si","No"),IF(MIN(AC111,AG111,AG111)&gt;AB111,"Si","No"))</f>
        <v/>
      </c>
      <c r="AJ111" s="328">
        <f>MIN(AC111,AE111,AG111)</f>
        <v/>
      </c>
      <c r="AK111" s="328">
        <f>IFERROR(IF(MIN(AF111,AH111)=AD111,IF(AE111=AG111,"Escenario 5","Escenario 4"),IF(MIN(AF111,AH111)&lt;AD111,IF(AND(AD111-2&lt;=MIN(AF111,AH111),AE111&lt;&gt;AG111),"Escenario 1",IF(AND(AD111-2&lt;=MIN(AF111,AH111),AE111=AG111),"Escenario 2","Escenario 3")),IF(MIN(AF111,AH111)&gt;AD111,IF(AND(AD111+2&gt;=MIN(AF111,AH111),AE111=AG111),"Escenario 7",IF(AND(AD111+2&gt;=MIN(AF111,AH111),AE111&lt;&gt;AG111),"Escenario 6",IF(AD111+5&lt;=MIN(AF111,AH111),"Escenario 9","Escenario 8"))),"error"))),"Falta info")</f>
        <v/>
      </c>
      <c r="AL111" s="98">
        <f>IFERROR(VLOOKUP(AK111,Base!$BJ$37:$BL$45,3,0),0)</f>
        <v/>
      </c>
      <c r="AM111" s="330">
        <f>IF(LOOKUP(AK111,Base!$X$8:$BG$8)=AK111,VLOOKUP(B111,Base!E:BG,AL111,0),0)</f>
        <v/>
      </c>
      <c r="AN111" s="330" t="e">
        <v>#N/A</v>
      </c>
      <c r="AP111" s="331">
        <f>IF(AM111&lt;=AA111,"REVISAR!","ok")</f>
        <v/>
      </c>
    </row>
    <row customHeight="1" ht="12.95" r="112" s="183" spans="1:43">
      <c r="B112" s="108" t="n"/>
      <c r="C112" s="89" t="n"/>
      <c r="D112" s="106">
        <f>VLOOKUP(B112,Base!E:G,3,0)</f>
        <v/>
      </c>
      <c r="E112" s="326" t="n"/>
      <c r="F112" s="91">
        <f>IFERROR(IF(VLOOKUP(B112,Detalle!$A:$AA,$F$1,0)=0,"Sin datos",IFERROR(VLOOKUP(B112,Detalle!$A:$AA,$F$1,0),"Sin datos")),"")</f>
        <v/>
      </c>
      <c r="G112" s="327">
        <f>IFERROR(IF(VLOOKUP(B112,Detalle!$A:$AA,$G$1,0)=0,"Sin datos",IFERROR(VLOOKUP(B112,Detalle!$A:$AA,$G$1,0),"Sin datos")),"")</f>
        <v/>
      </c>
      <c r="H112" s="93">
        <f>IFERROR(IF(VLOOKUP(B112,Detalle!$A:$AA,$H$1,0)=0,"Sin datos",IFERROR(VLOOKUP(B112,Detalle!$A:$AA,$H$1,0),"Sin datos")),"")</f>
        <v/>
      </c>
      <c r="I112" s="327">
        <f>IFERROR(IF(VLOOKUP(B112,Detalle!$A:$AA,$I$1,0)=0,"Sin datos",IFERROR(VLOOKUP(B112,Detalle!$A:$AA,$I$1,0),"Sin datos")),"")</f>
        <v/>
      </c>
      <c r="J112" s="93">
        <f>IFERROR(IF(VLOOKUP(B112,Detalle!$A:$AA,$J$1,0)=0,"Sin datos",IFERROR(VLOOKUP(B112,Detalle!$A:$AA,$J$1,0),"Sin datos")),"")</f>
        <v/>
      </c>
      <c r="K112" s="98" t="n"/>
      <c r="L112" s="328" t="n"/>
      <c r="M112" s="329">
        <f>IFERROR(IF(MIN(H112,J112)=F112,IF(G112=I112,"Escenario 5","Escenario 4"),IF(MIN(H112,J112)&lt;F112,IF(AND(F112-2&lt;=MIN(H112,J112),G112&lt;&gt;I112),"Escenario 1",IF(AND(F112-2&lt;=MIN(H112,J112),G112=I112),"Escenario 2","Escenario 3")),IF(MIN(H112,J112)&gt;F112,IF(AND(F112+2&gt;=MIN(H112,J112),G112=I112),"Escenario 7",IF(AND(F112+2&gt;=MIN(H112,J112),G112&lt;&gt;I112),"Escenario 6",IF(F112+5&lt;=MIN(H112,J112),"Escenario 9","Escenario 8"))),"error"))),"Falta info")</f>
        <v/>
      </c>
      <c r="N112" s="98">
        <f>IFERROR(VLOOKUP(M112,Base!$BJ$28:$BL$36,3,0),0)</f>
        <v/>
      </c>
      <c r="O112" s="330" t="n"/>
      <c r="P112" s="330" t="n"/>
      <c r="Q112" s="327" t="n"/>
      <c r="R112" s="93" t="n"/>
      <c r="S112" s="327" t="n"/>
      <c r="T112" s="93" t="n"/>
      <c r="U112" s="327" t="n"/>
      <c r="V112" s="93" t="n"/>
      <c r="W112" s="98" t="n"/>
      <c r="X112" s="328">
        <f>MIN(Q112,S112,U112)</f>
        <v/>
      </c>
      <c r="Y112" s="328">
        <f>IFERROR(IF(MIN(T112,V112)=R112,IF(S112=U112,"Escenario 5","Escenario 4"),IF(MIN(T112,V112)&lt;R112,IF(AND(R112-2&lt;=MIN(T112,V112),S112&lt;&gt;U112),"Escenario 1",IF(AND(R112-2&lt;=MIN(T112,V112),S112=U112),"Escenario 2","Escenario 3")),IF(MIN(T112,V112)&gt;R112,IF(AND(R112+2&gt;=MIN(T112,V112),S112=U112),"Escenario 7",IF(AND(R112+2&gt;=MIN(T112,V112),S112&lt;&gt;U112),"Escenario 6",IF(R112+5&lt;=MIN(T112,V112),"Escenario 9","Escenario 8"))),"error"))),"Falta info")</f>
        <v/>
      </c>
      <c r="Z112" s="98">
        <f>IFERROR(VLOOKUP(Y112,Base!$BJ$19:$BL$27,3,0),0)</f>
        <v/>
      </c>
      <c r="AA112" s="330" t="n"/>
      <c r="AB112" s="330" t="n"/>
      <c r="AC112" s="327" t="n"/>
      <c r="AD112" s="93" t="n"/>
      <c r="AE112" s="327" t="n"/>
      <c r="AF112" s="93" t="n"/>
      <c r="AG112" s="327" t="n"/>
      <c r="AH112" s="93" t="n"/>
      <c r="AI112" s="98">
        <f>IF(AB112="",IF(MIN(AC112,AE112,AG112)&gt;E112,"Si","No"),IF(MIN(AC112,AG112,AG112)&gt;AB112,"Si","No"))</f>
        <v/>
      </c>
      <c r="AJ112" s="328">
        <f>MIN(AC112,AE112,AG112)</f>
        <v/>
      </c>
      <c r="AK112" s="328">
        <f>IFERROR(IF(MIN(AF112,AH112)=AD112,IF(AE112=AG112,"Escenario 5","Escenario 4"),IF(MIN(AF112,AH112)&lt;AD112,IF(AND(AD112-2&lt;=MIN(AF112,AH112),AE112&lt;&gt;AG112),"Escenario 1",IF(AND(AD112-2&lt;=MIN(AF112,AH112),AE112=AG112),"Escenario 2","Escenario 3")),IF(MIN(AF112,AH112)&gt;AD112,IF(AND(AD112+2&gt;=MIN(AF112,AH112),AE112=AG112),"Escenario 7",IF(AND(AD112+2&gt;=MIN(AF112,AH112),AE112&lt;&gt;AG112),"Escenario 6",IF(AD112+5&lt;=MIN(AF112,AH112),"Escenario 9","Escenario 8"))),"error"))),"Falta info")</f>
        <v/>
      </c>
      <c r="AL112" s="98">
        <f>IFERROR(VLOOKUP(AK112,Base!$BJ$37:$BL$45,3,0),0)</f>
        <v/>
      </c>
      <c r="AM112" s="330">
        <f>IF(LOOKUP(AK112,Base!$X$8:$BG$8)=AK112,VLOOKUP(B112,Base!E:BG,AL112,0),0)</f>
        <v/>
      </c>
      <c r="AN112" s="330" t="e">
        <v>#N/A</v>
      </c>
      <c r="AP112" s="331">
        <f>IF(AM112&lt;=AA112,"REVISAR!","ok")</f>
        <v/>
      </c>
    </row>
    <row customHeight="1" ht="12.95" r="113" s="183" spans="1:43">
      <c r="B113" s="108" t="n"/>
      <c r="C113" s="89" t="n"/>
      <c r="D113" s="106">
        <f>VLOOKUP(B113,Base!E:G,3,0)</f>
        <v/>
      </c>
      <c r="E113" s="326" t="n"/>
      <c r="F113" s="91">
        <f>IFERROR(IF(VLOOKUP(B113,Detalle!$A:$AA,$F$1,0)=0,"Sin datos",IFERROR(VLOOKUP(B113,Detalle!$A:$AA,$F$1,0),"Sin datos")),"")</f>
        <v/>
      </c>
      <c r="G113" s="327">
        <f>IFERROR(IF(VLOOKUP(B113,Detalle!$A:$AA,$G$1,0)=0,"Sin datos",IFERROR(VLOOKUP(B113,Detalle!$A:$AA,$G$1,0),"Sin datos")),"")</f>
        <v/>
      </c>
      <c r="H113" s="93">
        <f>IFERROR(IF(VLOOKUP(B113,Detalle!$A:$AA,$H$1,0)=0,"Sin datos",IFERROR(VLOOKUP(B113,Detalle!$A:$AA,$H$1,0),"Sin datos")),"")</f>
        <v/>
      </c>
      <c r="I113" s="327">
        <f>IFERROR(IF(VLOOKUP(B113,Detalle!$A:$AA,$I$1,0)=0,"Sin datos",IFERROR(VLOOKUP(B113,Detalle!$A:$AA,$I$1,0),"Sin datos")),"")</f>
        <v/>
      </c>
      <c r="J113" s="93">
        <f>IFERROR(IF(VLOOKUP(B113,Detalle!$A:$AA,$J$1,0)=0,"Sin datos",IFERROR(VLOOKUP(B113,Detalle!$A:$AA,$J$1,0),"Sin datos")),"")</f>
        <v/>
      </c>
      <c r="K113" s="98" t="n"/>
      <c r="L113" s="328" t="n"/>
      <c r="M113" s="329">
        <f>IFERROR(IF(MIN(H113,J113)=F113,IF(G113=I113,"Escenario 5","Escenario 4"),IF(MIN(H113,J113)&lt;F113,IF(AND(F113-2&lt;=MIN(H113,J113),G113&lt;&gt;I113),"Escenario 1",IF(AND(F113-2&lt;=MIN(H113,J113),G113=I113),"Escenario 2","Escenario 3")),IF(MIN(H113,J113)&gt;F113,IF(AND(F113+2&gt;=MIN(H113,J113),G113=I113),"Escenario 7",IF(AND(F113+2&gt;=MIN(H113,J113),G113&lt;&gt;I113),"Escenario 6",IF(F113+5&lt;=MIN(H113,J113),"Escenario 9","Escenario 8"))),"error"))),"Falta info")</f>
        <v/>
      </c>
      <c r="N113" s="98">
        <f>IFERROR(VLOOKUP(M113,Base!$BJ$28:$BL$36,3,0),0)</f>
        <v/>
      </c>
      <c r="O113" s="330" t="n"/>
      <c r="P113" s="330" t="n"/>
      <c r="Q113" s="327" t="n"/>
      <c r="R113" s="93" t="n"/>
      <c r="S113" s="327" t="n"/>
      <c r="T113" s="93" t="n"/>
      <c r="U113" s="327" t="n"/>
      <c r="V113" s="93" t="n"/>
      <c r="W113" s="98" t="n"/>
      <c r="X113" s="328">
        <f>MIN(Q113,S113,U113)</f>
        <v/>
      </c>
      <c r="Y113" s="328">
        <f>IFERROR(IF(MIN(T113,V113)=R113,IF(S113=U113,"Escenario 5","Escenario 4"),IF(MIN(T113,V113)&lt;R113,IF(AND(R113-2&lt;=MIN(T113,V113),S113&lt;&gt;U113),"Escenario 1",IF(AND(R113-2&lt;=MIN(T113,V113),S113=U113),"Escenario 2","Escenario 3")),IF(MIN(T113,V113)&gt;R113,IF(AND(R113+2&gt;=MIN(T113,V113),S113=U113),"Escenario 7",IF(AND(R113+2&gt;=MIN(T113,V113),S113&lt;&gt;U113),"Escenario 6",IF(R113+5&lt;=MIN(T113,V113),"Escenario 9","Escenario 8"))),"error"))),"Falta info")</f>
        <v/>
      </c>
      <c r="Z113" s="98">
        <f>IFERROR(VLOOKUP(Y113,Base!$BJ$19:$BL$27,3,0),0)</f>
        <v/>
      </c>
      <c r="AA113" s="330" t="n"/>
      <c r="AB113" s="330" t="n"/>
      <c r="AC113" s="327" t="n"/>
      <c r="AD113" s="93" t="n"/>
      <c r="AE113" s="327" t="n"/>
      <c r="AF113" s="93" t="n"/>
      <c r="AG113" s="327" t="n"/>
      <c r="AH113" s="93" t="n"/>
      <c r="AI113" s="98">
        <f>IF(AB113="",IF(MIN(AC113,AE113,AG113)&gt;E113,"Si","No"),IF(MIN(AC113,AG113,AG113)&gt;AB113,"Si","No"))</f>
        <v/>
      </c>
      <c r="AJ113" s="328">
        <f>MIN(AC113,AE113,AG113)</f>
        <v/>
      </c>
      <c r="AK113" s="328">
        <f>IFERROR(IF(MIN(AF113,AH113)=AD113,IF(AE113=AG113,"Escenario 5","Escenario 4"),IF(MIN(AF113,AH113)&lt;AD113,IF(AND(AD113-2&lt;=MIN(AF113,AH113),AE113&lt;&gt;AG113),"Escenario 1",IF(AND(AD113-2&lt;=MIN(AF113,AH113),AE113=AG113),"Escenario 2","Escenario 3")),IF(MIN(AF113,AH113)&gt;AD113,IF(AND(AD113+2&gt;=MIN(AF113,AH113),AE113=AG113),"Escenario 7",IF(AND(AD113+2&gt;=MIN(AF113,AH113),AE113&lt;&gt;AG113),"Escenario 6",IF(AD113+5&lt;=MIN(AF113,AH113),"Escenario 9","Escenario 8"))),"error"))),"Falta info")</f>
        <v/>
      </c>
      <c r="AL113" s="98">
        <f>IFERROR(VLOOKUP(AK113,Base!$BJ$37:$BL$45,3,0),0)</f>
        <v/>
      </c>
      <c r="AM113" s="330">
        <f>IF(LOOKUP(AK113,Base!$X$8:$BG$8)=AK113,VLOOKUP(B113,Base!E:BG,AL113,0),0)</f>
        <v/>
      </c>
      <c r="AN113" s="330" t="e">
        <v>#N/A</v>
      </c>
      <c r="AP113" s="331">
        <f>IF(AM113&lt;=AA113,"REVISAR!","ok")</f>
        <v/>
      </c>
    </row>
    <row customHeight="1" ht="12.95" r="114" s="183" spans="1:43">
      <c r="B114" s="108" t="n"/>
      <c r="C114" s="89" t="n"/>
      <c r="D114" s="106">
        <f>VLOOKUP(B114,Base!E:G,3,0)</f>
        <v/>
      </c>
      <c r="E114" s="326" t="n"/>
      <c r="F114" s="91">
        <f>IFERROR(IF(VLOOKUP(B114,Detalle!$A:$AA,$F$1,0)=0,"Sin datos",IFERROR(VLOOKUP(B114,Detalle!$A:$AA,$F$1,0),"Sin datos")),"")</f>
        <v/>
      </c>
      <c r="G114" s="327">
        <f>IFERROR(IF(VLOOKUP(B114,Detalle!$A:$AA,$G$1,0)=0,"Sin datos",IFERROR(VLOOKUP(B114,Detalle!$A:$AA,$G$1,0),"Sin datos")),"")</f>
        <v/>
      </c>
      <c r="H114" s="93">
        <f>IFERROR(IF(VLOOKUP(B114,Detalle!$A:$AA,$H$1,0)=0,"Sin datos",IFERROR(VLOOKUP(B114,Detalle!$A:$AA,$H$1,0),"Sin datos")),"")</f>
        <v/>
      </c>
      <c r="I114" s="327">
        <f>IFERROR(IF(VLOOKUP(B114,Detalle!$A:$AA,$I$1,0)=0,"Sin datos",IFERROR(VLOOKUP(B114,Detalle!$A:$AA,$I$1,0),"Sin datos")),"")</f>
        <v/>
      </c>
      <c r="J114" s="93">
        <f>IFERROR(IF(VLOOKUP(B114,Detalle!$A:$AA,$J$1,0)=0,"Sin datos",IFERROR(VLOOKUP(B114,Detalle!$A:$AA,$J$1,0),"Sin datos")),"")</f>
        <v/>
      </c>
      <c r="K114" s="98" t="n"/>
      <c r="L114" s="328" t="n"/>
      <c r="M114" s="329">
        <f>IFERROR(IF(MIN(H114,J114)=F114,IF(G114=I114,"Escenario 5","Escenario 4"),IF(MIN(H114,J114)&lt;F114,IF(AND(F114-2&lt;=MIN(H114,J114),G114&lt;&gt;I114),"Escenario 1",IF(AND(F114-2&lt;=MIN(H114,J114),G114=I114),"Escenario 2","Escenario 3")),IF(MIN(H114,J114)&gt;F114,IF(AND(F114+2&gt;=MIN(H114,J114),G114=I114),"Escenario 7",IF(AND(F114+2&gt;=MIN(H114,J114),G114&lt;&gt;I114),"Escenario 6",IF(F114+5&lt;=MIN(H114,J114),"Escenario 9","Escenario 8"))),"error"))),"Falta info")</f>
        <v/>
      </c>
      <c r="N114" s="98">
        <f>IFERROR(VLOOKUP(M114,Base!$BJ$28:$BL$36,3,0),0)</f>
        <v/>
      </c>
      <c r="O114" s="330" t="n"/>
      <c r="P114" s="330" t="n"/>
      <c r="Q114" s="327" t="n"/>
      <c r="R114" s="93" t="n"/>
      <c r="S114" s="327" t="n"/>
      <c r="T114" s="93" t="n"/>
      <c r="U114" s="327" t="n"/>
      <c r="V114" s="93" t="n"/>
      <c r="W114" s="98" t="n"/>
      <c r="X114" s="328">
        <f>MIN(Q114,S114,U114)</f>
        <v/>
      </c>
      <c r="Y114" s="328">
        <f>IFERROR(IF(MIN(T114,V114)=R114,IF(S114=U114,"Escenario 5","Escenario 4"),IF(MIN(T114,V114)&lt;R114,IF(AND(R114-2&lt;=MIN(T114,V114),S114&lt;&gt;U114),"Escenario 1",IF(AND(R114-2&lt;=MIN(T114,V114),S114=U114),"Escenario 2","Escenario 3")),IF(MIN(T114,V114)&gt;R114,IF(AND(R114+2&gt;=MIN(T114,V114),S114=U114),"Escenario 7",IF(AND(R114+2&gt;=MIN(T114,V114),S114&lt;&gt;U114),"Escenario 6",IF(R114+5&lt;=MIN(T114,V114),"Escenario 9","Escenario 8"))),"error"))),"Falta info")</f>
        <v/>
      </c>
      <c r="Z114" s="98">
        <f>IFERROR(VLOOKUP(Y114,Base!$BJ$19:$BL$27,3,0),0)</f>
        <v/>
      </c>
      <c r="AA114" s="330" t="n"/>
      <c r="AB114" s="330" t="n"/>
      <c r="AC114" s="327" t="n"/>
      <c r="AD114" s="93" t="n"/>
      <c r="AE114" s="327" t="n"/>
      <c r="AF114" s="93" t="n"/>
      <c r="AG114" s="327" t="n"/>
      <c r="AH114" s="93" t="n"/>
      <c r="AI114" s="98">
        <f>IF(AB114="",IF(MIN(AC114,AE114,AG114)&gt;E114,"Si","No"),IF(MIN(AC114,AG114,AG114)&gt;AB114,"Si","No"))</f>
        <v/>
      </c>
      <c r="AJ114" s="328">
        <f>MIN(AC114,AE114,AG114)</f>
        <v/>
      </c>
      <c r="AK114" s="328">
        <f>IFERROR(IF(MIN(AF114,AH114)=AD114,IF(AE114=AG114,"Escenario 5","Escenario 4"),IF(MIN(AF114,AH114)&lt;AD114,IF(AND(AD114-2&lt;=MIN(AF114,AH114),AE114&lt;&gt;AG114),"Escenario 1",IF(AND(AD114-2&lt;=MIN(AF114,AH114),AE114=AG114),"Escenario 2","Escenario 3")),IF(MIN(AF114,AH114)&gt;AD114,IF(AND(AD114+2&gt;=MIN(AF114,AH114),AE114=AG114),"Escenario 7",IF(AND(AD114+2&gt;=MIN(AF114,AH114),AE114&lt;&gt;AG114),"Escenario 6",IF(AD114+5&lt;=MIN(AF114,AH114),"Escenario 9","Escenario 8"))),"error"))),"Falta info")</f>
        <v/>
      </c>
      <c r="AL114" s="98">
        <f>IFERROR(VLOOKUP(AK114,Base!$BJ$37:$BL$45,3,0),0)</f>
        <v/>
      </c>
      <c r="AM114" s="330">
        <f>IF(LOOKUP(AK114,Base!$X$8:$BG$8)=AK114,VLOOKUP(B114,Base!E:BG,AL114,0),0)</f>
        <v/>
      </c>
      <c r="AN114" s="330" t="e">
        <v>#N/A</v>
      </c>
      <c r="AP114" s="331">
        <f>IF(AM114&lt;=AA114,"REVISAR!","ok")</f>
        <v/>
      </c>
    </row>
    <row customHeight="1" ht="12.95" r="115" s="183" spans="1:43">
      <c r="B115" s="108" t="n"/>
      <c r="C115" s="89" t="n"/>
      <c r="D115" s="106">
        <f>VLOOKUP(B115,Base!E:G,3,0)</f>
        <v/>
      </c>
      <c r="E115" s="326" t="n"/>
      <c r="F115" s="91">
        <f>IFERROR(IF(VLOOKUP(B115,Detalle!$A:$AA,$F$1,0)=0,"Sin datos",IFERROR(VLOOKUP(B115,Detalle!$A:$AA,$F$1,0),"Sin datos")),"")</f>
        <v/>
      </c>
      <c r="G115" s="327">
        <f>IFERROR(IF(VLOOKUP(B115,Detalle!$A:$AA,$G$1,0)=0,"Sin datos",IFERROR(VLOOKUP(B115,Detalle!$A:$AA,$G$1,0),"Sin datos")),"")</f>
        <v/>
      </c>
      <c r="H115" s="93">
        <f>IFERROR(IF(VLOOKUP(B115,Detalle!$A:$AA,$H$1,0)=0,"Sin datos",IFERROR(VLOOKUP(B115,Detalle!$A:$AA,$H$1,0),"Sin datos")),"")</f>
        <v/>
      </c>
      <c r="I115" s="327">
        <f>IFERROR(IF(VLOOKUP(B115,Detalle!$A:$AA,$I$1,0)=0,"Sin datos",IFERROR(VLOOKUP(B115,Detalle!$A:$AA,$I$1,0),"Sin datos")),"")</f>
        <v/>
      </c>
      <c r="J115" s="93">
        <f>IFERROR(IF(VLOOKUP(B115,Detalle!$A:$AA,$J$1,0)=0,"Sin datos",IFERROR(VLOOKUP(B115,Detalle!$A:$AA,$J$1,0),"Sin datos")),"")</f>
        <v/>
      </c>
      <c r="K115" s="98" t="n"/>
      <c r="L115" s="328" t="n"/>
      <c r="M115" s="329">
        <f>IFERROR(IF(MIN(H115,J115)=F115,IF(G115=I115,"Escenario 5","Escenario 4"),IF(MIN(H115,J115)&lt;F115,IF(AND(F115-2&lt;=MIN(H115,J115),G115&lt;&gt;I115),"Escenario 1",IF(AND(F115-2&lt;=MIN(H115,J115),G115=I115),"Escenario 2","Escenario 3")),IF(MIN(H115,J115)&gt;F115,IF(AND(F115+2&gt;=MIN(H115,J115),G115=I115),"Escenario 7",IF(AND(F115+2&gt;=MIN(H115,J115),G115&lt;&gt;I115),"Escenario 6",IF(F115+5&lt;=MIN(H115,J115),"Escenario 9","Escenario 8"))),"error"))),"Falta info")</f>
        <v/>
      </c>
      <c r="N115" s="98">
        <f>IFERROR(VLOOKUP(M115,Base!$BJ$28:$BL$36,3,0),0)</f>
        <v/>
      </c>
      <c r="O115" s="330" t="n"/>
      <c r="P115" s="330" t="n"/>
      <c r="Q115" s="327" t="n"/>
      <c r="R115" s="93" t="n"/>
      <c r="S115" s="327" t="n"/>
      <c r="T115" s="93" t="n"/>
      <c r="U115" s="327" t="n"/>
      <c r="V115" s="93" t="n"/>
      <c r="W115" s="98" t="n"/>
      <c r="X115" s="328">
        <f>MIN(Q115,S115,U115)</f>
        <v/>
      </c>
      <c r="Y115" s="328">
        <f>IFERROR(IF(MIN(T115,V115)=R115,IF(S115=U115,"Escenario 5","Escenario 4"),IF(MIN(T115,V115)&lt;R115,IF(AND(R115-2&lt;=MIN(T115,V115),S115&lt;&gt;U115),"Escenario 1",IF(AND(R115-2&lt;=MIN(T115,V115),S115=U115),"Escenario 2","Escenario 3")),IF(MIN(T115,V115)&gt;R115,IF(AND(R115+2&gt;=MIN(T115,V115),S115=U115),"Escenario 7",IF(AND(R115+2&gt;=MIN(T115,V115),S115&lt;&gt;U115),"Escenario 6",IF(R115+5&lt;=MIN(T115,V115),"Escenario 9","Escenario 8"))),"error"))),"Falta info")</f>
        <v/>
      </c>
      <c r="Z115" s="98">
        <f>IFERROR(VLOOKUP(Y115,Base!$BJ$19:$BL$27,3,0),0)</f>
        <v/>
      </c>
      <c r="AA115" s="330" t="n"/>
      <c r="AB115" s="330" t="n"/>
      <c r="AC115" s="327" t="n"/>
      <c r="AD115" s="93" t="n"/>
      <c r="AE115" s="327" t="n"/>
      <c r="AF115" s="93" t="n"/>
      <c r="AG115" s="327" t="n"/>
      <c r="AH115" s="93" t="n"/>
      <c r="AI115" s="98">
        <f>IF(AB115="",IF(MIN(AC115,AE115,AG115)&gt;E115,"Si","No"),IF(MIN(AC115,AG115,AG115)&gt;AB115,"Si","No"))</f>
        <v/>
      </c>
      <c r="AJ115" s="328">
        <f>MIN(AC115,AE115,AG115)</f>
        <v/>
      </c>
      <c r="AK115" s="328">
        <f>IFERROR(IF(MIN(AF115,AH115)=AD115,IF(AE115=AG115,"Escenario 5","Escenario 4"),IF(MIN(AF115,AH115)&lt;AD115,IF(AND(AD115-2&lt;=MIN(AF115,AH115),AE115&lt;&gt;AG115),"Escenario 1",IF(AND(AD115-2&lt;=MIN(AF115,AH115),AE115=AG115),"Escenario 2","Escenario 3")),IF(MIN(AF115,AH115)&gt;AD115,IF(AND(AD115+2&gt;=MIN(AF115,AH115),AE115=AG115),"Escenario 7",IF(AND(AD115+2&gt;=MIN(AF115,AH115),AE115&lt;&gt;AG115),"Escenario 6",IF(AD115+5&lt;=MIN(AF115,AH115),"Escenario 9","Escenario 8"))),"error"))),"Falta info")</f>
        <v/>
      </c>
      <c r="AL115" s="98">
        <f>IFERROR(VLOOKUP(AK115,Base!$BJ$37:$BL$45,3,0),0)</f>
        <v/>
      </c>
      <c r="AM115" s="330">
        <f>IF(LOOKUP(AK115,Base!$X$8:$BG$8)=AK115,VLOOKUP(B115,Base!E:BG,AL115,0),0)</f>
        <v/>
      </c>
      <c r="AN115" s="330" t="e">
        <v>#N/A</v>
      </c>
      <c r="AP115" s="331">
        <f>IF(AM115&lt;=AA115,"REVISAR!","ok")</f>
        <v/>
      </c>
    </row>
    <row customHeight="1" ht="12.95" r="116" s="183" spans="1:43">
      <c r="B116" s="108" t="n"/>
      <c r="C116" s="89" t="n"/>
      <c r="D116" s="106">
        <f>VLOOKUP(B116,Base!E:G,3,0)</f>
        <v/>
      </c>
      <c r="E116" s="326" t="n"/>
      <c r="F116" s="91">
        <f>IFERROR(IF(VLOOKUP(B116,Detalle!$A:$AA,$F$1,0)=0,"Sin datos",IFERROR(VLOOKUP(B116,Detalle!$A:$AA,$F$1,0),"Sin datos")),"")</f>
        <v/>
      </c>
      <c r="G116" s="327">
        <f>IFERROR(IF(VLOOKUP(B116,Detalle!$A:$AA,$G$1,0)=0,"Sin datos",IFERROR(VLOOKUP(B116,Detalle!$A:$AA,$G$1,0),"Sin datos")),"")</f>
        <v/>
      </c>
      <c r="H116" s="93">
        <f>IFERROR(IF(VLOOKUP(B116,Detalle!$A:$AA,$H$1,0)=0,"Sin datos",IFERROR(VLOOKUP(B116,Detalle!$A:$AA,$H$1,0),"Sin datos")),"")</f>
        <v/>
      </c>
      <c r="I116" s="327">
        <f>IFERROR(IF(VLOOKUP(B116,Detalle!$A:$AA,$I$1,0)=0,"Sin datos",IFERROR(VLOOKUP(B116,Detalle!$A:$AA,$I$1,0),"Sin datos")),"")</f>
        <v/>
      </c>
      <c r="J116" s="93">
        <f>IFERROR(IF(VLOOKUP(B116,Detalle!$A:$AA,$J$1,0)=0,"Sin datos",IFERROR(VLOOKUP(B116,Detalle!$A:$AA,$J$1,0),"Sin datos")),"")</f>
        <v/>
      </c>
      <c r="K116" s="98" t="n"/>
      <c r="L116" s="328" t="n"/>
      <c r="M116" s="329">
        <f>IFERROR(IF(MIN(H116,J116)=F116,IF(G116=I116,"Escenario 5","Escenario 4"),IF(MIN(H116,J116)&lt;F116,IF(AND(F116-2&lt;=MIN(H116,J116),G116&lt;&gt;I116),"Escenario 1",IF(AND(F116-2&lt;=MIN(H116,J116),G116=I116),"Escenario 2","Escenario 3")),IF(MIN(H116,J116)&gt;F116,IF(AND(F116+2&gt;=MIN(H116,J116),G116=I116),"Escenario 7",IF(AND(F116+2&gt;=MIN(H116,J116),G116&lt;&gt;I116),"Escenario 6",IF(F116+5&lt;=MIN(H116,J116),"Escenario 9","Escenario 8"))),"error"))),"Falta info")</f>
        <v/>
      </c>
      <c r="N116" s="98">
        <f>IFERROR(VLOOKUP(M116,Base!$BJ$28:$BL$36,3,0),0)</f>
        <v/>
      </c>
      <c r="O116" s="330" t="n"/>
      <c r="P116" s="330" t="n"/>
      <c r="Q116" s="327" t="n"/>
      <c r="R116" s="93" t="n"/>
      <c r="S116" s="327" t="n"/>
      <c r="T116" s="93" t="n"/>
      <c r="U116" s="327" t="n"/>
      <c r="V116" s="93" t="n"/>
      <c r="W116" s="98" t="n"/>
      <c r="X116" s="328">
        <f>MIN(Q116,S116,U116)</f>
        <v/>
      </c>
      <c r="Y116" s="328">
        <f>IFERROR(IF(MIN(T116,V116)=R116,IF(S116=U116,"Escenario 5","Escenario 4"),IF(MIN(T116,V116)&lt;R116,IF(AND(R116-2&lt;=MIN(T116,V116),S116&lt;&gt;U116),"Escenario 1",IF(AND(R116-2&lt;=MIN(T116,V116),S116=U116),"Escenario 2","Escenario 3")),IF(MIN(T116,V116)&gt;R116,IF(AND(R116+2&gt;=MIN(T116,V116),S116=U116),"Escenario 7",IF(AND(R116+2&gt;=MIN(T116,V116),S116&lt;&gt;U116),"Escenario 6",IF(R116+5&lt;=MIN(T116,V116),"Escenario 9","Escenario 8"))),"error"))),"Falta info")</f>
        <v/>
      </c>
      <c r="Z116" s="98">
        <f>IFERROR(VLOOKUP(Y116,Base!$BJ$19:$BL$27,3,0),0)</f>
        <v/>
      </c>
      <c r="AA116" s="330" t="n"/>
      <c r="AB116" s="330" t="n"/>
      <c r="AC116" s="327" t="n"/>
      <c r="AD116" s="93" t="n"/>
      <c r="AE116" s="327" t="n"/>
      <c r="AF116" s="93" t="n"/>
      <c r="AG116" s="327" t="n"/>
      <c r="AH116" s="93" t="n"/>
      <c r="AI116" s="98">
        <f>IF(AB116="",IF(MIN(AC116,AE116,AG116)&gt;E116,"Si","No"),IF(MIN(AC116,AG116,AG116)&gt;AB116,"Si","No"))</f>
        <v/>
      </c>
      <c r="AJ116" s="328">
        <f>MIN(AC116,AE116,AG116)</f>
        <v/>
      </c>
      <c r="AK116" s="328">
        <f>IFERROR(IF(MIN(AF116,AH116)=AD116,IF(AE116=AG116,"Escenario 5","Escenario 4"),IF(MIN(AF116,AH116)&lt;AD116,IF(AND(AD116-2&lt;=MIN(AF116,AH116),AE116&lt;&gt;AG116),"Escenario 1",IF(AND(AD116-2&lt;=MIN(AF116,AH116),AE116=AG116),"Escenario 2","Escenario 3")),IF(MIN(AF116,AH116)&gt;AD116,IF(AND(AD116+2&gt;=MIN(AF116,AH116),AE116=AG116),"Escenario 7",IF(AND(AD116+2&gt;=MIN(AF116,AH116),AE116&lt;&gt;AG116),"Escenario 6",IF(AD116+5&lt;=MIN(AF116,AH116),"Escenario 9","Escenario 8"))),"error"))),"Falta info")</f>
        <v/>
      </c>
      <c r="AL116" s="98">
        <f>IFERROR(VLOOKUP(AK116,Base!$BJ$37:$BL$45,3,0),0)</f>
        <v/>
      </c>
      <c r="AM116" s="330">
        <f>IF(LOOKUP(AK116,Base!$X$8:$BG$8)=AK116,VLOOKUP(B116,Base!E:BG,AL116,0),0)</f>
        <v/>
      </c>
      <c r="AN116" s="330" t="e">
        <v>#N/A</v>
      </c>
      <c r="AP116" s="331">
        <f>IF(AM116&lt;=AA116,"REVISAR!","ok")</f>
        <v/>
      </c>
    </row>
    <row customHeight="1" ht="12.95" r="117" s="183" spans="1:43">
      <c r="B117" s="108" t="n"/>
      <c r="C117" s="89" t="n"/>
      <c r="D117" s="106">
        <f>VLOOKUP(B117,Base!E:G,3,0)</f>
        <v/>
      </c>
      <c r="E117" s="326" t="n"/>
      <c r="F117" s="91">
        <f>IFERROR(IF(VLOOKUP(B117,Detalle!$A:$AA,$F$1,0)=0,"Sin datos",IFERROR(VLOOKUP(B117,Detalle!$A:$AA,$F$1,0),"Sin datos")),"")</f>
        <v/>
      </c>
      <c r="G117" s="327">
        <f>IFERROR(IF(VLOOKUP(B117,Detalle!$A:$AA,$G$1,0)=0,"Sin datos",IFERROR(VLOOKUP(B117,Detalle!$A:$AA,$G$1,0),"Sin datos")),"")</f>
        <v/>
      </c>
      <c r="H117" s="93">
        <f>IFERROR(IF(VLOOKUP(B117,Detalle!$A:$AA,$H$1,0)=0,"Sin datos",IFERROR(VLOOKUP(B117,Detalle!$A:$AA,$H$1,0),"Sin datos")),"")</f>
        <v/>
      </c>
      <c r="I117" s="327">
        <f>IFERROR(IF(VLOOKUP(B117,Detalle!$A:$AA,$I$1,0)=0,"Sin datos",IFERROR(VLOOKUP(B117,Detalle!$A:$AA,$I$1,0),"Sin datos")),"")</f>
        <v/>
      </c>
      <c r="J117" s="93">
        <f>IFERROR(IF(VLOOKUP(B117,Detalle!$A:$AA,$J$1,0)=0,"Sin datos",IFERROR(VLOOKUP(B117,Detalle!$A:$AA,$J$1,0),"Sin datos")),"")</f>
        <v/>
      </c>
      <c r="K117" s="98" t="n"/>
      <c r="L117" s="328" t="n"/>
      <c r="M117" s="329">
        <f>IFERROR(IF(MIN(H117,J117)=F117,IF(G117=I117,"Escenario 5","Escenario 4"),IF(MIN(H117,J117)&lt;F117,IF(AND(F117-2&lt;=MIN(H117,J117),G117&lt;&gt;I117),"Escenario 1",IF(AND(F117-2&lt;=MIN(H117,J117),G117=I117),"Escenario 2","Escenario 3")),IF(MIN(H117,J117)&gt;F117,IF(AND(F117+2&gt;=MIN(H117,J117),G117=I117),"Escenario 7",IF(AND(F117+2&gt;=MIN(H117,J117),G117&lt;&gt;I117),"Escenario 6",IF(F117+5&lt;=MIN(H117,J117),"Escenario 9","Escenario 8"))),"error"))),"Falta info")</f>
        <v/>
      </c>
      <c r="N117" s="98">
        <f>IFERROR(VLOOKUP(M117,Base!$BJ$28:$BL$36,3,0),0)</f>
        <v/>
      </c>
      <c r="O117" s="330" t="n"/>
      <c r="P117" s="330" t="n"/>
      <c r="Q117" s="327" t="n"/>
      <c r="R117" s="93" t="n"/>
      <c r="S117" s="327" t="n"/>
      <c r="T117" s="93" t="n"/>
      <c r="U117" s="327" t="n"/>
      <c r="V117" s="93" t="n"/>
      <c r="W117" s="98" t="n"/>
      <c r="X117" s="328">
        <f>MIN(Q117,S117,U117)</f>
        <v/>
      </c>
      <c r="Y117" s="328">
        <f>IFERROR(IF(MIN(T117,V117)=R117,IF(S117=U117,"Escenario 5","Escenario 4"),IF(MIN(T117,V117)&lt;R117,IF(AND(R117-2&lt;=MIN(T117,V117),S117&lt;&gt;U117),"Escenario 1",IF(AND(R117-2&lt;=MIN(T117,V117),S117=U117),"Escenario 2","Escenario 3")),IF(MIN(T117,V117)&gt;R117,IF(AND(R117+2&gt;=MIN(T117,V117),S117=U117),"Escenario 7",IF(AND(R117+2&gt;=MIN(T117,V117),S117&lt;&gt;U117),"Escenario 6",IF(R117+5&lt;=MIN(T117,V117),"Escenario 9","Escenario 8"))),"error"))),"Falta info")</f>
        <v/>
      </c>
      <c r="Z117" s="98">
        <f>IFERROR(VLOOKUP(Y117,Base!$BJ$19:$BL$27,3,0),0)</f>
        <v/>
      </c>
      <c r="AA117" s="330" t="n"/>
      <c r="AB117" s="330" t="n"/>
      <c r="AC117" s="327" t="n"/>
      <c r="AD117" s="93" t="n"/>
      <c r="AE117" s="327" t="n"/>
      <c r="AF117" s="93" t="n"/>
      <c r="AG117" s="327" t="n"/>
      <c r="AH117" s="93" t="n"/>
      <c r="AI117" s="98">
        <f>IF(AB117="",IF(MIN(AC117,AE117,AG117)&gt;E117,"Si","No"),IF(MIN(AC117,AG117,AG117)&gt;AB117,"Si","No"))</f>
        <v/>
      </c>
      <c r="AJ117" s="328">
        <f>MIN(AC117,AE117,AG117)</f>
        <v/>
      </c>
      <c r="AK117" s="328">
        <f>IFERROR(IF(MIN(AF117,AH117)=AD117,IF(AE117=AG117,"Escenario 5","Escenario 4"),IF(MIN(AF117,AH117)&lt;AD117,IF(AND(AD117-2&lt;=MIN(AF117,AH117),AE117&lt;&gt;AG117),"Escenario 1",IF(AND(AD117-2&lt;=MIN(AF117,AH117),AE117=AG117),"Escenario 2","Escenario 3")),IF(MIN(AF117,AH117)&gt;AD117,IF(AND(AD117+2&gt;=MIN(AF117,AH117),AE117=AG117),"Escenario 7",IF(AND(AD117+2&gt;=MIN(AF117,AH117),AE117&lt;&gt;AG117),"Escenario 6",IF(AD117+5&lt;=MIN(AF117,AH117),"Escenario 9","Escenario 8"))),"error"))),"Falta info")</f>
        <v/>
      </c>
      <c r="AL117" s="98">
        <f>IFERROR(VLOOKUP(AK117,Base!$BJ$37:$BL$45,3,0),0)</f>
        <v/>
      </c>
      <c r="AM117" s="330">
        <f>IF(LOOKUP(AK117,Base!$X$8:$BG$8)=AK117,VLOOKUP(B117,Base!E:BG,AL117,0),0)</f>
        <v/>
      </c>
      <c r="AN117" s="330" t="e">
        <v>#N/A</v>
      </c>
      <c r="AP117" s="331">
        <f>IF(AM117&lt;=AA117,"REVISAR!","ok")</f>
        <v/>
      </c>
    </row>
    <row customHeight="1" ht="12.95" r="118" s="183" spans="1:43">
      <c r="B118" s="108" t="n"/>
      <c r="C118" s="89" t="n"/>
      <c r="D118" s="106">
        <f>VLOOKUP(B118,Base!E:G,3,0)</f>
        <v/>
      </c>
      <c r="E118" s="326" t="n"/>
      <c r="F118" s="91">
        <f>IFERROR(IF(VLOOKUP(B118,Detalle!$A:$AA,$F$1,0)=0,"Sin datos",IFERROR(VLOOKUP(B118,Detalle!$A:$AA,$F$1,0),"Sin datos")),"")</f>
        <v/>
      </c>
      <c r="G118" s="327">
        <f>IFERROR(IF(VLOOKUP(B118,Detalle!$A:$AA,$G$1,0)=0,"Sin datos",IFERROR(VLOOKUP(B118,Detalle!$A:$AA,$G$1,0),"Sin datos")),"")</f>
        <v/>
      </c>
      <c r="H118" s="93">
        <f>IFERROR(IF(VLOOKUP(B118,Detalle!$A:$AA,$H$1,0)=0,"Sin datos",IFERROR(VLOOKUP(B118,Detalle!$A:$AA,$H$1,0),"Sin datos")),"")</f>
        <v/>
      </c>
      <c r="I118" s="327">
        <f>IFERROR(IF(VLOOKUP(B118,Detalle!$A:$AA,$I$1,0)=0,"Sin datos",IFERROR(VLOOKUP(B118,Detalle!$A:$AA,$I$1,0),"Sin datos")),"")</f>
        <v/>
      </c>
      <c r="J118" s="93">
        <f>IFERROR(IF(VLOOKUP(B118,Detalle!$A:$AA,$J$1,0)=0,"Sin datos",IFERROR(VLOOKUP(B118,Detalle!$A:$AA,$J$1,0),"Sin datos")),"")</f>
        <v/>
      </c>
      <c r="K118" s="98" t="n"/>
      <c r="L118" s="328" t="n"/>
      <c r="M118" s="329">
        <f>IFERROR(IF(MIN(H118,J118)=F118,IF(G118=I118,"Escenario 5","Escenario 4"),IF(MIN(H118,J118)&lt;F118,IF(AND(F118-2&lt;=MIN(H118,J118),G118&lt;&gt;I118),"Escenario 1",IF(AND(F118-2&lt;=MIN(H118,J118),G118=I118),"Escenario 2","Escenario 3")),IF(MIN(H118,J118)&gt;F118,IF(AND(F118+2&gt;=MIN(H118,J118),G118=I118),"Escenario 7",IF(AND(F118+2&gt;=MIN(H118,J118),G118&lt;&gt;I118),"Escenario 6",IF(F118+5&lt;=MIN(H118,J118),"Escenario 9","Escenario 8"))),"error"))),"Falta info")</f>
        <v/>
      </c>
      <c r="N118" s="98">
        <f>IFERROR(VLOOKUP(M118,Base!$BJ$28:$BL$36,3,0),0)</f>
        <v/>
      </c>
      <c r="O118" s="330" t="n"/>
      <c r="P118" s="330" t="n"/>
      <c r="Q118" s="327" t="n"/>
      <c r="R118" s="93" t="n"/>
      <c r="S118" s="327" t="n"/>
      <c r="T118" s="93" t="n"/>
      <c r="U118" s="327" t="n"/>
      <c r="V118" s="93" t="n"/>
      <c r="W118" s="98" t="n"/>
      <c r="X118" s="328">
        <f>MIN(Q118,S118,U118)</f>
        <v/>
      </c>
      <c r="Y118" s="328">
        <f>IFERROR(IF(MIN(T118,V118)=R118,IF(S118=U118,"Escenario 5","Escenario 4"),IF(MIN(T118,V118)&lt;R118,IF(AND(R118-2&lt;=MIN(T118,V118),S118&lt;&gt;U118),"Escenario 1",IF(AND(R118-2&lt;=MIN(T118,V118),S118=U118),"Escenario 2","Escenario 3")),IF(MIN(T118,V118)&gt;R118,IF(AND(R118+2&gt;=MIN(T118,V118),S118=U118),"Escenario 7",IF(AND(R118+2&gt;=MIN(T118,V118),S118&lt;&gt;U118),"Escenario 6",IF(R118+5&lt;=MIN(T118,V118),"Escenario 9","Escenario 8"))),"error"))),"Falta info")</f>
        <v/>
      </c>
      <c r="Z118" s="98">
        <f>IFERROR(VLOOKUP(Y118,Base!$BJ$19:$BL$27,3,0),0)</f>
        <v/>
      </c>
      <c r="AA118" s="330" t="n"/>
      <c r="AB118" s="330" t="n"/>
      <c r="AC118" s="327" t="n"/>
      <c r="AD118" s="93" t="n"/>
      <c r="AE118" s="327" t="n"/>
      <c r="AF118" s="93" t="n"/>
      <c r="AG118" s="327" t="n"/>
      <c r="AH118" s="93" t="n"/>
      <c r="AI118" s="98">
        <f>IF(AB118="",IF(MIN(AC118,AE118,AG118)&gt;E118,"Si","No"),IF(MIN(AC118,AG118,AG118)&gt;AB118,"Si","No"))</f>
        <v/>
      </c>
      <c r="AJ118" s="328">
        <f>MIN(AC118,AE118,AG118)</f>
        <v/>
      </c>
      <c r="AK118" s="328">
        <f>IFERROR(IF(MIN(AF118,AH118)=AD118,IF(AE118=AG118,"Escenario 5","Escenario 4"),IF(MIN(AF118,AH118)&lt;AD118,IF(AND(AD118-2&lt;=MIN(AF118,AH118),AE118&lt;&gt;AG118),"Escenario 1",IF(AND(AD118-2&lt;=MIN(AF118,AH118),AE118=AG118),"Escenario 2","Escenario 3")),IF(MIN(AF118,AH118)&gt;AD118,IF(AND(AD118+2&gt;=MIN(AF118,AH118),AE118=AG118),"Escenario 7",IF(AND(AD118+2&gt;=MIN(AF118,AH118),AE118&lt;&gt;AG118),"Escenario 6",IF(AD118+5&lt;=MIN(AF118,AH118),"Escenario 9","Escenario 8"))),"error"))),"Falta info")</f>
        <v/>
      </c>
      <c r="AL118" s="98">
        <f>IFERROR(VLOOKUP(AK118,Base!$BJ$37:$BL$45,3,0),0)</f>
        <v/>
      </c>
      <c r="AM118" s="330">
        <f>IF(LOOKUP(AK118,Base!$X$8:$BG$8)=AK118,VLOOKUP(B118,Base!E:BG,AL118,0),0)</f>
        <v/>
      </c>
      <c r="AN118" s="330" t="e">
        <v>#N/A</v>
      </c>
      <c r="AP118" s="331">
        <f>IF(AM118&lt;=AA118,"REVISAR!","ok")</f>
        <v/>
      </c>
    </row>
    <row customHeight="1" ht="12.95" r="119" s="183" spans="1:43">
      <c r="B119" s="108" t="n"/>
      <c r="C119" s="89" t="n"/>
      <c r="D119" s="106">
        <f>VLOOKUP(B119,Base!E:G,3,0)</f>
        <v/>
      </c>
      <c r="E119" s="326" t="n"/>
      <c r="F119" s="91">
        <f>IFERROR(IF(VLOOKUP(B119,Detalle!$A:$AA,$F$1,0)=0,"Sin datos",IFERROR(VLOOKUP(B119,Detalle!$A:$AA,$F$1,0),"Sin datos")),"")</f>
        <v/>
      </c>
      <c r="G119" s="327">
        <f>IFERROR(IF(VLOOKUP(B119,Detalle!$A:$AA,$G$1,0)=0,"Sin datos",IFERROR(VLOOKUP(B119,Detalle!$A:$AA,$G$1,0),"Sin datos")),"")</f>
        <v/>
      </c>
      <c r="H119" s="93">
        <f>IFERROR(IF(VLOOKUP(B119,Detalle!$A:$AA,$H$1,0)=0,"Sin datos",IFERROR(VLOOKUP(B119,Detalle!$A:$AA,$H$1,0),"Sin datos")),"")</f>
        <v/>
      </c>
      <c r="I119" s="327">
        <f>IFERROR(IF(VLOOKUP(B119,Detalle!$A:$AA,$I$1,0)=0,"Sin datos",IFERROR(VLOOKUP(B119,Detalle!$A:$AA,$I$1,0),"Sin datos")),"")</f>
        <v/>
      </c>
      <c r="J119" s="93">
        <f>IFERROR(IF(VLOOKUP(B119,Detalle!$A:$AA,$J$1,0)=0,"Sin datos",IFERROR(VLOOKUP(B119,Detalle!$A:$AA,$J$1,0),"Sin datos")),"")</f>
        <v/>
      </c>
      <c r="K119" s="98" t="n"/>
      <c r="L119" s="328" t="n"/>
      <c r="M119" s="329">
        <f>IFERROR(IF(MIN(H119,J119)=F119,IF(G119=I119,"Escenario 5","Escenario 4"),IF(MIN(H119,J119)&lt;F119,IF(AND(F119-2&lt;=MIN(H119,J119),G119&lt;&gt;I119),"Escenario 1",IF(AND(F119-2&lt;=MIN(H119,J119),G119=I119),"Escenario 2","Escenario 3")),IF(MIN(H119,J119)&gt;F119,IF(AND(F119+2&gt;=MIN(H119,J119),G119=I119),"Escenario 7",IF(AND(F119+2&gt;=MIN(H119,J119),G119&lt;&gt;I119),"Escenario 6",IF(F119+5&lt;=MIN(H119,J119),"Escenario 9","Escenario 8"))),"error"))),"Falta info")</f>
        <v/>
      </c>
      <c r="N119" s="98">
        <f>IFERROR(VLOOKUP(M119,Base!$BJ$28:$BL$36,3,0),0)</f>
        <v/>
      </c>
      <c r="O119" s="330" t="n"/>
      <c r="P119" s="330" t="n"/>
      <c r="Q119" s="327" t="n"/>
      <c r="R119" s="93" t="n"/>
      <c r="S119" s="327" t="n"/>
      <c r="T119" s="93" t="n"/>
      <c r="U119" s="327" t="n"/>
      <c r="V119" s="93" t="n"/>
      <c r="W119" s="98" t="n"/>
      <c r="X119" s="328">
        <f>MIN(Q119,S119,U119)</f>
        <v/>
      </c>
      <c r="Y119" s="328">
        <f>IFERROR(IF(MIN(T119,V119)=R119,IF(S119=U119,"Escenario 5","Escenario 4"),IF(MIN(T119,V119)&lt;R119,IF(AND(R119-2&lt;=MIN(T119,V119),S119&lt;&gt;U119),"Escenario 1",IF(AND(R119-2&lt;=MIN(T119,V119),S119=U119),"Escenario 2","Escenario 3")),IF(MIN(T119,V119)&gt;R119,IF(AND(R119+2&gt;=MIN(T119,V119),S119=U119),"Escenario 7",IF(AND(R119+2&gt;=MIN(T119,V119),S119&lt;&gt;U119),"Escenario 6",IF(R119+5&lt;=MIN(T119,V119),"Escenario 9","Escenario 8"))),"error"))),"Falta info")</f>
        <v/>
      </c>
      <c r="Z119" s="98">
        <f>IFERROR(VLOOKUP(Y119,Base!$BJ$19:$BL$27,3,0),0)</f>
        <v/>
      </c>
      <c r="AA119" s="330" t="n"/>
      <c r="AB119" s="330" t="n"/>
      <c r="AC119" s="327" t="n"/>
      <c r="AD119" s="93" t="n"/>
      <c r="AE119" s="327" t="n"/>
      <c r="AF119" s="93" t="n"/>
      <c r="AG119" s="327" t="n"/>
      <c r="AH119" s="93" t="n"/>
      <c r="AI119" s="98">
        <f>IF(AB119="",IF(MIN(AC119,AE119,AG119)&gt;E119,"Si","No"),IF(MIN(AC119,AG119,AG119)&gt;AB119,"Si","No"))</f>
        <v/>
      </c>
      <c r="AJ119" s="328">
        <f>MIN(AC119,AE119,AG119)</f>
        <v/>
      </c>
      <c r="AK119" s="328">
        <f>IFERROR(IF(MIN(AF119,AH119)=AD119,IF(AE119=AG119,"Escenario 5","Escenario 4"),IF(MIN(AF119,AH119)&lt;AD119,IF(AND(AD119-2&lt;=MIN(AF119,AH119),AE119&lt;&gt;AG119),"Escenario 1",IF(AND(AD119-2&lt;=MIN(AF119,AH119),AE119=AG119),"Escenario 2","Escenario 3")),IF(MIN(AF119,AH119)&gt;AD119,IF(AND(AD119+2&gt;=MIN(AF119,AH119),AE119=AG119),"Escenario 7",IF(AND(AD119+2&gt;=MIN(AF119,AH119),AE119&lt;&gt;AG119),"Escenario 6",IF(AD119+5&lt;=MIN(AF119,AH119),"Escenario 9","Escenario 8"))),"error"))),"Falta info")</f>
        <v/>
      </c>
      <c r="AL119" s="98">
        <f>IFERROR(VLOOKUP(AK119,Base!$BJ$37:$BL$45,3,0),0)</f>
        <v/>
      </c>
      <c r="AM119" s="330">
        <f>IF(LOOKUP(AK119,Base!$X$8:$BG$8)=AK119,VLOOKUP(B119,Base!E:BG,AL119,0),0)</f>
        <v/>
      </c>
      <c r="AN119" s="330" t="e">
        <v>#N/A</v>
      </c>
      <c r="AP119" s="331">
        <f>IF(AM119&lt;=AA119,"REVISAR!","ok")</f>
        <v/>
      </c>
    </row>
    <row customHeight="1" ht="12.95" r="120" s="183" spans="1:43">
      <c r="B120" s="108" t="n"/>
      <c r="C120" s="89" t="n"/>
      <c r="D120" s="106">
        <f>VLOOKUP(B120,Base!E:G,3,0)</f>
        <v/>
      </c>
      <c r="E120" s="326" t="n"/>
      <c r="F120" s="91">
        <f>IFERROR(IF(VLOOKUP(B120,Detalle!$A:$AA,$F$1,0)=0,"Sin datos",IFERROR(VLOOKUP(B120,Detalle!$A:$AA,$F$1,0),"Sin datos")),"")</f>
        <v/>
      </c>
      <c r="G120" s="327">
        <f>IFERROR(IF(VLOOKUP(B120,Detalle!$A:$AA,$G$1,0)=0,"Sin datos",IFERROR(VLOOKUP(B120,Detalle!$A:$AA,$G$1,0),"Sin datos")),"")</f>
        <v/>
      </c>
      <c r="H120" s="93">
        <f>IFERROR(IF(VLOOKUP(B120,Detalle!$A:$AA,$H$1,0)=0,"Sin datos",IFERROR(VLOOKUP(B120,Detalle!$A:$AA,$H$1,0),"Sin datos")),"")</f>
        <v/>
      </c>
      <c r="I120" s="327">
        <f>IFERROR(IF(VLOOKUP(B120,Detalle!$A:$AA,$I$1,0)=0,"Sin datos",IFERROR(VLOOKUP(B120,Detalle!$A:$AA,$I$1,0),"Sin datos")),"")</f>
        <v/>
      </c>
      <c r="J120" s="93">
        <f>IFERROR(IF(VLOOKUP(B120,Detalle!$A:$AA,$J$1,0)=0,"Sin datos",IFERROR(VLOOKUP(B120,Detalle!$A:$AA,$J$1,0),"Sin datos")),"")</f>
        <v/>
      </c>
      <c r="K120" s="98" t="n"/>
      <c r="L120" s="328" t="n"/>
      <c r="M120" s="329">
        <f>IFERROR(IF(MIN(H120,J120)=F120,IF(G120=I120,"Escenario 5","Escenario 4"),IF(MIN(H120,J120)&lt;F120,IF(AND(F120-2&lt;=MIN(H120,J120),G120&lt;&gt;I120),"Escenario 1",IF(AND(F120-2&lt;=MIN(H120,J120),G120=I120),"Escenario 2","Escenario 3")),IF(MIN(H120,J120)&gt;F120,IF(AND(F120+2&gt;=MIN(H120,J120),G120=I120),"Escenario 7",IF(AND(F120+2&gt;=MIN(H120,J120),G120&lt;&gt;I120),"Escenario 6",IF(F120+5&lt;=MIN(H120,J120),"Escenario 9","Escenario 8"))),"error"))),"Falta info")</f>
        <v/>
      </c>
      <c r="N120" s="98">
        <f>IFERROR(VLOOKUP(M120,Base!$BJ$28:$BL$36,3,0),0)</f>
        <v/>
      </c>
      <c r="O120" s="330" t="n"/>
      <c r="P120" s="330" t="n"/>
      <c r="Q120" s="327" t="n"/>
      <c r="R120" s="93" t="n"/>
      <c r="S120" s="327" t="n"/>
      <c r="T120" s="93" t="n"/>
      <c r="U120" s="327" t="n"/>
      <c r="V120" s="93" t="n"/>
      <c r="W120" s="98" t="n"/>
      <c r="X120" s="328">
        <f>MIN(Q120,S120,U120)</f>
        <v/>
      </c>
      <c r="Y120" s="328">
        <f>IFERROR(IF(MIN(T120,V120)=R120,IF(S120=U120,"Escenario 5","Escenario 4"),IF(MIN(T120,V120)&lt;R120,IF(AND(R120-2&lt;=MIN(T120,V120),S120&lt;&gt;U120),"Escenario 1",IF(AND(R120-2&lt;=MIN(T120,V120),S120=U120),"Escenario 2","Escenario 3")),IF(MIN(T120,V120)&gt;R120,IF(AND(R120+2&gt;=MIN(T120,V120),S120=U120),"Escenario 7",IF(AND(R120+2&gt;=MIN(T120,V120),S120&lt;&gt;U120),"Escenario 6",IF(R120+5&lt;=MIN(T120,V120),"Escenario 9","Escenario 8"))),"error"))),"Falta info")</f>
        <v/>
      </c>
      <c r="Z120" s="98">
        <f>IFERROR(VLOOKUP(Y120,Base!$BJ$19:$BL$27,3,0),0)</f>
        <v/>
      </c>
      <c r="AA120" s="330" t="n"/>
      <c r="AB120" s="330" t="n"/>
      <c r="AC120" s="327" t="n"/>
      <c r="AD120" s="93" t="n"/>
      <c r="AE120" s="327" t="n"/>
      <c r="AF120" s="93" t="n"/>
      <c r="AG120" s="327" t="n"/>
      <c r="AH120" s="93" t="n"/>
      <c r="AI120" s="98">
        <f>IF(AB120="",IF(MIN(AC120,AE120,AG120)&gt;E120,"Si","No"),IF(MIN(AC120,AG120,AG120)&gt;AB120,"Si","No"))</f>
        <v/>
      </c>
      <c r="AJ120" s="328">
        <f>MIN(AC120,AE120,AG120)</f>
        <v/>
      </c>
      <c r="AK120" s="328">
        <f>IFERROR(IF(MIN(AF120,AH120)=AD120,IF(AE120=AG120,"Escenario 5","Escenario 4"),IF(MIN(AF120,AH120)&lt;AD120,IF(AND(AD120-2&lt;=MIN(AF120,AH120),AE120&lt;&gt;AG120),"Escenario 1",IF(AND(AD120-2&lt;=MIN(AF120,AH120),AE120=AG120),"Escenario 2","Escenario 3")),IF(MIN(AF120,AH120)&gt;AD120,IF(AND(AD120+2&gt;=MIN(AF120,AH120),AE120=AG120),"Escenario 7",IF(AND(AD120+2&gt;=MIN(AF120,AH120),AE120&lt;&gt;AG120),"Escenario 6",IF(AD120+5&lt;=MIN(AF120,AH120),"Escenario 9","Escenario 8"))),"error"))),"Falta info")</f>
        <v/>
      </c>
      <c r="AL120" s="98">
        <f>IFERROR(VLOOKUP(AK120,Base!$BJ$37:$BL$45,3,0),0)</f>
        <v/>
      </c>
      <c r="AM120" s="330">
        <f>IF(LOOKUP(AK120,Base!$X$8:$BG$8)=AK120,VLOOKUP(B120,Base!E:BG,AL120,0),0)</f>
        <v/>
      </c>
      <c r="AN120" s="330" t="e">
        <v>#N/A</v>
      </c>
      <c r="AP120" s="331">
        <f>IF(AM120&lt;=AA120,"REVISAR!","ok")</f>
        <v/>
      </c>
    </row>
    <row customHeight="1" ht="12.95" r="121" s="183" spans="1:43">
      <c r="B121" s="108" t="n"/>
      <c r="C121" s="89" t="n"/>
      <c r="D121" s="106">
        <f>VLOOKUP(B121,Base!E:G,3,0)</f>
        <v/>
      </c>
      <c r="E121" s="326" t="n"/>
      <c r="F121" s="91">
        <f>IFERROR(IF(VLOOKUP(B121,Detalle!$A:$AA,$F$1,0)=0,"Sin datos",IFERROR(VLOOKUP(B121,Detalle!$A:$AA,$F$1,0),"Sin datos")),"")</f>
        <v/>
      </c>
      <c r="G121" s="327">
        <f>IFERROR(IF(VLOOKUP(B121,Detalle!$A:$AA,$G$1,0)=0,"Sin datos",IFERROR(VLOOKUP(B121,Detalle!$A:$AA,$G$1,0),"Sin datos")),"")</f>
        <v/>
      </c>
      <c r="H121" s="93">
        <f>IFERROR(IF(VLOOKUP(B121,Detalle!$A:$AA,$H$1,0)=0,"Sin datos",IFERROR(VLOOKUP(B121,Detalle!$A:$AA,$H$1,0),"Sin datos")),"")</f>
        <v/>
      </c>
      <c r="I121" s="327">
        <f>IFERROR(IF(VLOOKUP(B121,Detalle!$A:$AA,$I$1,0)=0,"Sin datos",IFERROR(VLOOKUP(B121,Detalle!$A:$AA,$I$1,0),"Sin datos")),"")</f>
        <v/>
      </c>
      <c r="J121" s="93">
        <f>IFERROR(IF(VLOOKUP(B121,Detalle!$A:$AA,$J$1,0)=0,"Sin datos",IFERROR(VLOOKUP(B121,Detalle!$A:$AA,$J$1,0),"Sin datos")),"")</f>
        <v/>
      </c>
      <c r="K121" s="98" t="n"/>
      <c r="L121" s="328" t="n"/>
      <c r="M121" s="329">
        <f>IFERROR(IF(MIN(H121,J121)=F121,IF(G121=I121,"Escenario 5","Escenario 4"),IF(MIN(H121,J121)&lt;F121,IF(AND(F121-2&lt;=MIN(H121,J121),G121&lt;&gt;I121),"Escenario 1",IF(AND(F121-2&lt;=MIN(H121,J121),G121=I121),"Escenario 2","Escenario 3")),IF(MIN(H121,J121)&gt;F121,IF(AND(F121+2&gt;=MIN(H121,J121),G121=I121),"Escenario 7",IF(AND(F121+2&gt;=MIN(H121,J121),G121&lt;&gt;I121),"Escenario 6",IF(F121+5&lt;=MIN(H121,J121),"Escenario 9","Escenario 8"))),"error"))),"Falta info")</f>
        <v/>
      </c>
      <c r="N121" s="98">
        <f>IFERROR(VLOOKUP(M121,Base!$BJ$28:$BL$36,3,0),0)</f>
        <v/>
      </c>
      <c r="O121" s="330" t="n"/>
      <c r="P121" s="330" t="n"/>
      <c r="Q121" s="327" t="n"/>
      <c r="R121" s="93" t="n"/>
      <c r="S121" s="327" t="n"/>
      <c r="T121" s="93" t="n"/>
      <c r="U121" s="327" t="n"/>
      <c r="V121" s="93" t="n"/>
      <c r="W121" s="98" t="n"/>
      <c r="X121" s="328">
        <f>MIN(Q121,S121,U121)</f>
        <v/>
      </c>
      <c r="Y121" s="328">
        <f>IFERROR(IF(MIN(T121,V121)=R121,IF(S121=U121,"Escenario 5","Escenario 4"),IF(MIN(T121,V121)&lt;R121,IF(AND(R121-2&lt;=MIN(T121,V121),S121&lt;&gt;U121),"Escenario 1",IF(AND(R121-2&lt;=MIN(T121,V121),S121=U121),"Escenario 2","Escenario 3")),IF(MIN(T121,V121)&gt;R121,IF(AND(R121+2&gt;=MIN(T121,V121),S121=U121),"Escenario 7",IF(AND(R121+2&gt;=MIN(T121,V121),S121&lt;&gt;U121),"Escenario 6",IF(R121+5&lt;=MIN(T121,V121),"Escenario 9","Escenario 8"))),"error"))),"Falta info")</f>
        <v/>
      </c>
      <c r="Z121" s="98">
        <f>IFERROR(VLOOKUP(Y121,Base!$BJ$19:$BL$27,3,0),0)</f>
        <v/>
      </c>
      <c r="AA121" s="330" t="n"/>
      <c r="AB121" s="330" t="n"/>
      <c r="AC121" s="327" t="n"/>
      <c r="AD121" s="93" t="n"/>
      <c r="AE121" s="327" t="n"/>
      <c r="AF121" s="93" t="n"/>
      <c r="AG121" s="327" t="n"/>
      <c r="AH121" s="93" t="n"/>
      <c r="AI121" s="98">
        <f>IF(AB121="",IF(MIN(AC121,AE121,AG121)&gt;E121,"Si","No"),IF(MIN(AC121,AG121,AG121)&gt;AB121,"Si","No"))</f>
        <v/>
      </c>
      <c r="AJ121" s="328">
        <f>MIN(AC121,AE121,AG121)</f>
        <v/>
      </c>
      <c r="AK121" s="328">
        <f>IFERROR(IF(MIN(AF121,AH121)=AD121,IF(AE121=AG121,"Escenario 5","Escenario 4"),IF(MIN(AF121,AH121)&lt;AD121,IF(AND(AD121-2&lt;=MIN(AF121,AH121),AE121&lt;&gt;AG121),"Escenario 1",IF(AND(AD121-2&lt;=MIN(AF121,AH121),AE121=AG121),"Escenario 2","Escenario 3")),IF(MIN(AF121,AH121)&gt;AD121,IF(AND(AD121+2&gt;=MIN(AF121,AH121),AE121=AG121),"Escenario 7",IF(AND(AD121+2&gt;=MIN(AF121,AH121),AE121&lt;&gt;AG121),"Escenario 6",IF(AD121+5&lt;=MIN(AF121,AH121),"Escenario 9","Escenario 8"))),"error"))),"Falta info")</f>
        <v/>
      </c>
      <c r="AL121" s="98">
        <f>IFERROR(VLOOKUP(AK121,Base!$BJ$37:$BL$45,3,0),0)</f>
        <v/>
      </c>
      <c r="AM121" s="330">
        <f>IF(LOOKUP(AK121,Base!$X$8:$BG$8)=AK121,VLOOKUP(B121,Base!E:BG,AL121,0),0)</f>
        <v/>
      </c>
      <c r="AN121" s="330" t="e">
        <v>#N/A</v>
      </c>
      <c r="AP121" s="331">
        <f>IF(AM121&lt;=AA121,"REVISAR!","ok")</f>
        <v/>
      </c>
    </row>
    <row customHeight="1" ht="12.95" r="122" s="183" spans="1:43">
      <c r="B122" s="108" t="n"/>
      <c r="C122" s="89" t="n"/>
      <c r="D122" s="106">
        <f>VLOOKUP(B122,Base!E:G,3,0)</f>
        <v/>
      </c>
      <c r="E122" s="326" t="n"/>
      <c r="F122" s="91">
        <f>IFERROR(IF(VLOOKUP(B122,Detalle!$A:$AA,$F$1,0)=0,"Sin datos",IFERROR(VLOOKUP(B122,Detalle!$A:$AA,$F$1,0),"Sin datos")),"")</f>
        <v/>
      </c>
      <c r="G122" s="327">
        <f>IFERROR(IF(VLOOKUP(B122,Detalle!$A:$AA,$G$1,0)=0,"Sin datos",IFERROR(VLOOKUP(B122,Detalle!$A:$AA,$G$1,0),"Sin datos")),"")</f>
        <v/>
      </c>
      <c r="H122" s="93">
        <f>IFERROR(IF(VLOOKUP(B122,Detalle!$A:$AA,$H$1,0)=0,"Sin datos",IFERROR(VLOOKUP(B122,Detalle!$A:$AA,$H$1,0),"Sin datos")),"")</f>
        <v/>
      </c>
      <c r="I122" s="327">
        <f>IFERROR(IF(VLOOKUP(B122,Detalle!$A:$AA,$I$1,0)=0,"Sin datos",IFERROR(VLOOKUP(B122,Detalle!$A:$AA,$I$1,0),"Sin datos")),"")</f>
        <v/>
      </c>
      <c r="J122" s="93">
        <f>IFERROR(IF(VLOOKUP(B122,Detalle!$A:$AA,$J$1,0)=0,"Sin datos",IFERROR(VLOOKUP(B122,Detalle!$A:$AA,$J$1,0),"Sin datos")),"")</f>
        <v/>
      </c>
      <c r="K122" s="98" t="n"/>
      <c r="L122" s="328" t="n"/>
      <c r="M122" s="329">
        <f>IFERROR(IF(MIN(H122,J122)=F122,IF(G122=I122,"Escenario 5","Escenario 4"),IF(MIN(H122,J122)&lt;F122,IF(AND(F122-2&lt;=MIN(H122,J122),G122&lt;&gt;I122),"Escenario 1",IF(AND(F122-2&lt;=MIN(H122,J122),G122=I122),"Escenario 2","Escenario 3")),IF(MIN(H122,J122)&gt;F122,IF(AND(F122+2&gt;=MIN(H122,J122),G122=I122),"Escenario 7",IF(AND(F122+2&gt;=MIN(H122,J122),G122&lt;&gt;I122),"Escenario 6",IF(F122+5&lt;=MIN(H122,J122),"Escenario 9","Escenario 8"))),"error"))),"Falta info")</f>
        <v/>
      </c>
      <c r="N122" s="98">
        <f>IFERROR(VLOOKUP(M122,Base!$BJ$28:$BL$36,3,0),0)</f>
        <v/>
      </c>
      <c r="O122" s="330" t="n"/>
      <c r="P122" s="330" t="n"/>
      <c r="Q122" s="327" t="n"/>
      <c r="R122" s="93" t="n"/>
      <c r="S122" s="327" t="n"/>
      <c r="T122" s="93" t="n"/>
      <c r="U122" s="327" t="n"/>
      <c r="V122" s="93" t="n"/>
      <c r="W122" s="98" t="n"/>
      <c r="X122" s="328">
        <f>MIN(Q122,S122,U122)</f>
        <v/>
      </c>
      <c r="Y122" s="328">
        <f>IFERROR(IF(MIN(T122,V122)=R122,IF(S122=U122,"Escenario 5","Escenario 4"),IF(MIN(T122,V122)&lt;R122,IF(AND(R122-2&lt;=MIN(T122,V122),S122&lt;&gt;U122),"Escenario 1",IF(AND(R122-2&lt;=MIN(T122,V122),S122=U122),"Escenario 2","Escenario 3")),IF(MIN(T122,V122)&gt;R122,IF(AND(R122+2&gt;=MIN(T122,V122),S122=U122),"Escenario 7",IF(AND(R122+2&gt;=MIN(T122,V122),S122&lt;&gt;U122),"Escenario 6",IF(R122+5&lt;=MIN(T122,V122),"Escenario 9","Escenario 8"))),"error"))),"Falta info")</f>
        <v/>
      </c>
      <c r="Z122" s="98">
        <f>IFERROR(VLOOKUP(Y122,Base!$BJ$19:$BL$27,3,0),0)</f>
        <v/>
      </c>
      <c r="AA122" s="330" t="n"/>
      <c r="AB122" s="330" t="n"/>
      <c r="AC122" s="327" t="n"/>
      <c r="AD122" s="93" t="n"/>
      <c r="AE122" s="327" t="n"/>
      <c r="AF122" s="93" t="n"/>
      <c r="AG122" s="327" t="n"/>
      <c r="AH122" s="93" t="n"/>
      <c r="AI122" s="98">
        <f>IF(AB122="",IF(MIN(AC122,AE122,AG122)&gt;E122,"Si","No"),IF(MIN(AC122,AG122,AG122)&gt;AB122,"Si","No"))</f>
        <v/>
      </c>
      <c r="AJ122" s="328">
        <f>MIN(AC122,AE122,AG122)</f>
        <v/>
      </c>
      <c r="AK122" s="328">
        <f>IFERROR(IF(MIN(AF122,AH122)=AD122,IF(AE122=AG122,"Escenario 5","Escenario 4"),IF(MIN(AF122,AH122)&lt;AD122,IF(AND(AD122-2&lt;=MIN(AF122,AH122),AE122&lt;&gt;AG122),"Escenario 1",IF(AND(AD122-2&lt;=MIN(AF122,AH122),AE122=AG122),"Escenario 2","Escenario 3")),IF(MIN(AF122,AH122)&gt;AD122,IF(AND(AD122+2&gt;=MIN(AF122,AH122),AE122=AG122),"Escenario 7",IF(AND(AD122+2&gt;=MIN(AF122,AH122),AE122&lt;&gt;AG122),"Escenario 6",IF(AD122+5&lt;=MIN(AF122,AH122),"Escenario 9","Escenario 8"))),"error"))),"Falta info")</f>
        <v/>
      </c>
      <c r="AL122" s="98">
        <f>IFERROR(VLOOKUP(AK122,Base!$BJ$37:$BL$45,3,0),0)</f>
        <v/>
      </c>
      <c r="AM122" s="330">
        <f>IF(LOOKUP(AK122,Base!$X$8:$BG$8)=AK122,VLOOKUP(B122,Base!E:BG,AL122,0),0)</f>
        <v/>
      </c>
      <c r="AN122" s="330" t="e">
        <v>#N/A</v>
      </c>
      <c r="AP122" s="331">
        <f>IF(AM122&lt;=AA122,"REVISAR!","ok")</f>
        <v/>
      </c>
    </row>
    <row customHeight="1" ht="12.95" r="123" s="183" spans="1:43">
      <c r="B123" s="108" t="n"/>
      <c r="C123" s="89" t="n"/>
      <c r="D123" s="106">
        <f>VLOOKUP(B123,Base!E:G,3,0)</f>
        <v/>
      </c>
      <c r="E123" s="326" t="n"/>
      <c r="F123" s="91">
        <f>IFERROR(IF(VLOOKUP(B123,Detalle!$A:$AA,$F$1,0)=0,"Sin datos",IFERROR(VLOOKUP(B123,Detalle!$A:$AA,$F$1,0),"Sin datos")),"")</f>
        <v/>
      </c>
      <c r="G123" s="327">
        <f>IFERROR(IF(VLOOKUP(B123,Detalle!$A:$AA,$G$1,0)=0,"Sin datos",IFERROR(VLOOKUP(B123,Detalle!$A:$AA,$G$1,0),"Sin datos")),"")</f>
        <v/>
      </c>
      <c r="H123" s="93">
        <f>IFERROR(IF(VLOOKUP(B123,Detalle!$A:$AA,$H$1,0)=0,"Sin datos",IFERROR(VLOOKUP(B123,Detalle!$A:$AA,$H$1,0),"Sin datos")),"")</f>
        <v/>
      </c>
      <c r="I123" s="327">
        <f>IFERROR(IF(VLOOKUP(B123,Detalle!$A:$AA,$I$1,0)=0,"Sin datos",IFERROR(VLOOKUP(B123,Detalle!$A:$AA,$I$1,0),"Sin datos")),"")</f>
        <v/>
      </c>
      <c r="J123" s="93">
        <f>IFERROR(IF(VLOOKUP(B123,Detalle!$A:$AA,$J$1,0)=0,"Sin datos",IFERROR(VLOOKUP(B123,Detalle!$A:$AA,$J$1,0),"Sin datos")),"")</f>
        <v/>
      </c>
      <c r="K123" s="98" t="n"/>
      <c r="L123" s="328" t="n"/>
      <c r="M123" s="329">
        <f>IFERROR(IF(MIN(H123,J123)=F123,IF(G123=I123,"Escenario 5","Escenario 4"),IF(MIN(H123,J123)&lt;F123,IF(AND(F123-2&lt;=MIN(H123,J123),G123&lt;&gt;I123),"Escenario 1",IF(AND(F123-2&lt;=MIN(H123,J123),G123=I123),"Escenario 2","Escenario 3")),IF(MIN(H123,J123)&gt;F123,IF(AND(F123+2&gt;=MIN(H123,J123),G123=I123),"Escenario 7",IF(AND(F123+2&gt;=MIN(H123,J123),G123&lt;&gt;I123),"Escenario 6",IF(F123+5&lt;=MIN(H123,J123),"Escenario 9","Escenario 8"))),"error"))),"Falta info")</f>
        <v/>
      </c>
      <c r="N123" s="98">
        <f>IFERROR(VLOOKUP(M123,Base!$BJ$28:$BL$36,3,0),0)</f>
        <v/>
      </c>
      <c r="O123" s="330" t="n"/>
      <c r="P123" s="330" t="n"/>
      <c r="Q123" s="327" t="n"/>
      <c r="R123" s="93" t="n"/>
      <c r="S123" s="327" t="n"/>
      <c r="T123" s="93" t="n"/>
      <c r="U123" s="327" t="n"/>
      <c r="V123" s="93" t="n"/>
      <c r="W123" s="98" t="n"/>
      <c r="X123" s="328">
        <f>MIN(Q123,S123,U123)</f>
        <v/>
      </c>
      <c r="Y123" s="328">
        <f>IFERROR(IF(MIN(T123,V123)=R123,IF(S123=U123,"Escenario 5","Escenario 4"),IF(MIN(T123,V123)&lt;R123,IF(AND(R123-2&lt;=MIN(T123,V123),S123&lt;&gt;U123),"Escenario 1",IF(AND(R123-2&lt;=MIN(T123,V123),S123=U123),"Escenario 2","Escenario 3")),IF(MIN(T123,V123)&gt;R123,IF(AND(R123+2&gt;=MIN(T123,V123),S123=U123),"Escenario 7",IF(AND(R123+2&gt;=MIN(T123,V123),S123&lt;&gt;U123),"Escenario 6",IF(R123+5&lt;=MIN(T123,V123),"Escenario 9","Escenario 8"))),"error"))),"Falta info")</f>
        <v/>
      </c>
      <c r="Z123" s="98">
        <f>IFERROR(VLOOKUP(Y123,Base!$BJ$19:$BL$27,3,0),0)</f>
        <v/>
      </c>
      <c r="AA123" s="330" t="n"/>
      <c r="AB123" s="330" t="n"/>
      <c r="AC123" s="327" t="n"/>
      <c r="AD123" s="93" t="n"/>
      <c r="AE123" s="327" t="n"/>
      <c r="AF123" s="93" t="n"/>
      <c r="AG123" s="327" t="n"/>
      <c r="AH123" s="93" t="n"/>
      <c r="AI123" s="98">
        <f>IF(AB123="",IF(MIN(AC123,AE123,AG123)&gt;E123,"Si","No"),IF(MIN(AC123,AG123,AG123)&gt;AB123,"Si","No"))</f>
        <v/>
      </c>
      <c r="AJ123" s="328">
        <f>MIN(AC123,AE123,AG123)</f>
        <v/>
      </c>
      <c r="AK123" s="328">
        <f>IFERROR(IF(MIN(AF123,AH123)=AD123,IF(AE123=AG123,"Escenario 5","Escenario 4"),IF(MIN(AF123,AH123)&lt;AD123,IF(AND(AD123-2&lt;=MIN(AF123,AH123),AE123&lt;&gt;AG123),"Escenario 1",IF(AND(AD123-2&lt;=MIN(AF123,AH123),AE123=AG123),"Escenario 2","Escenario 3")),IF(MIN(AF123,AH123)&gt;AD123,IF(AND(AD123+2&gt;=MIN(AF123,AH123),AE123=AG123),"Escenario 7",IF(AND(AD123+2&gt;=MIN(AF123,AH123),AE123&lt;&gt;AG123),"Escenario 6",IF(AD123+5&lt;=MIN(AF123,AH123),"Escenario 9","Escenario 8"))),"error"))),"Falta info")</f>
        <v/>
      </c>
      <c r="AL123" s="98">
        <f>IFERROR(VLOOKUP(AK123,Base!$BJ$37:$BL$45,3,0),0)</f>
        <v/>
      </c>
      <c r="AM123" s="330">
        <f>IF(LOOKUP(AK123,Base!$X$8:$BG$8)=AK123,VLOOKUP(B123,Base!E:BG,AL123,0),0)</f>
        <v/>
      </c>
      <c r="AN123" s="330" t="e">
        <v>#N/A</v>
      </c>
      <c r="AP123" s="331">
        <f>IF(AM123&lt;=AA123,"REVISAR!","ok")</f>
        <v/>
      </c>
    </row>
    <row customHeight="1" ht="12.95" r="124" s="183" spans="1:43">
      <c r="B124" s="108" t="n"/>
      <c r="C124" s="89" t="n"/>
      <c r="D124" s="106">
        <f>VLOOKUP(B124,Base!E:G,3,0)</f>
        <v/>
      </c>
      <c r="E124" s="326" t="n"/>
      <c r="F124" s="91">
        <f>IFERROR(IF(VLOOKUP(B124,Detalle!$A:$AA,$F$1,0)=0,"Sin datos",IFERROR(VLOOKUP(B124,Detalle!$A:$AA,$F$1,0),"Sin datos")),"")</f>
        <v/>
      </c>
      <c r="G124" s="327">
        <f>IFERROR(IF(VLOOKUP(B124,Detalle!$A:$AA,$G$1,0)=0,"Sin datos",IFERROR(VLOOKUP(B124,Detalle!$A:$AA,$G$1,0),"Sin datos")),"")</f>
        <v/>
      </c>
      <c r="H124" s="93">
        <f>IFERROR(IF(VLOOKUP(B124,Detalle!$A:$AA,$H$1,0)=0,"Sin datos",IFERROR(VLOOKUP(B124,Detalle!$A:$AA,$H$1,0),"Sin datos")),"")</f>
        <v/>
      </c>
      <c r="I124" s="327">
        <f>IFERROR(IF(VLOOKUP(B124,Detalle!$A:$AA,$I$1,0)=0,"Sin datos",IFERROR(VLOOKUP(B124,Detalle!$A:$AA,$I$1,0),"Sin datos")),"")</f>
        <v/>
      </c>
      <c r="J124" s="93">
        <f>IFERROR(IF(VLOOKUP(B124,Detalle!$A:$AA,$J$1,0)=0,"Sin datos",IFERROR(VLOOKUP(B124,Detalle!$A:$AA,$J$1,0),"Sin datos")),"")</f>
        <v/>
      </c>
      <c r="K124" s="98" t="n"/>
      <c r="L124" s="328" t="n"/>
      <c r="M124" s="329">
        <f>IFERROR(IF(MIN(H124,J124)=F124,IF(G124=I124,"Escenario 5","Escenario 4"),IF(MIN(H124,J124)&lt;F124,IF(AND(F124-2&lt;=MIN(H124,J124),G124&lt;&gt;I124),"Escenario 1",IF(AND(F124-2&lt;=MIN(H124,J124),G124=I124),"Escenario 2","Escenario 3")),IF(MIN(H124,J124)&gt;F124,IF(AND(F124+2&gt;=MIN(H124,J124),G124=I124),"Escenario 7",IF(AND(F124+2&gt;=MIN(H124,J124),G124&lt;&gt;I124),"Escenario 6",IF(F124+5&lt;=MIN(H124,J124),"Escenario 9","Escenario 8"))),"error"))),"Falta info")</f>
        <v/>
      </c>
      <c r="N124" s="98">
        <f>IFERROR(VLOOKUP(M124,Base!$BJ$28:$BL$36,3,0),0)</f>
        <v/>
      </c>
      <c r="O124" s="330" t="n"/>
      <c r="P124" s="330" t="n"/>
      <c r="Q124" s="327" t="n"/>
      <c r="R124" s="93" t="n"/>
      <c r="S124" s="327" t="n"/>
      <c r="T124" s="93" t="n"/>
      <c r="U124" s="327" t="n"/>
      <c r="V124" s="93" t="n"/>
      <c r="W124" s="98" t="n"/>
      <c r="X124" s="328">
        <f>MIN(Q124,S124,U124)</f>
        <v/>
      </c>
      <c r="Y124" s="328">
        <f>IFERROR(IF(MIN(T124,V124)=R124,IF(S124=U124,"Escenario 5","Escenario 4"),IF(MIN(T124,V124)&lt;R124,IF(AND(R124-2&lt;=MIN(T124,V124),S124&lt;&gt;U124),"Escenario 1",IF(AND(R124-2&lt;=MIN(T124,V124),S124=U124),"Escenario 2","Escenario 3")),IF(MIN(T124,V124)&gt;R124,IF(AND(R124+2&gt;=MIN(T124,V124),S124=U124),"Escenario 7",IF(AND(R124+2&gt;=MIN(T124,V124),S124&lt;&gt;U124),"Escenario 6",IF(R124+5&lt;=MIN(T124,V124),"Escenario 9","Escenario 8"))),"error"))),"Falta info")</f>
        <v/>
      </c>
      <c r="Z124" s="98">
        <f>IFERROR(VLOOKUP(Y124,Base!$BJ$19:$BL$27,3,0),0)</f>
        <v/>
      </c>
      <c r="AA124" s="330" t="n"/>
      <c r="AB124" s="330" t="n"/>
      <c r="AC124" s="327" t="n"/>
      <c r="AD124" s="93" t="n"/>
      <c r="AE124" s="327" t="n"/>
      <c r="AF124" s="93" t="n"/>
      <c r="AG124" s="327" t="n"/>
      <c r="AH124" s="93" t="n"/>
      <c r="AI124" s="98">
        <f>IF(AB124="",IF(MIN(AC124,AE124,AG124)&gt;E124,"Si","No"),IF(MIN(AC124,AG124,AG124)&gt;AB124,"Si","No"))</f>
        <v/>
      </c>
      <c r="AJ124" s="328">
        <f>MIN(AC124,AE124,AG124)</f>
        <v/>
      </c>
      <c r="AK124" s="328">
        <f>IFERROR(IF(MIN(AF124,AH124)=AD124,IF(AE124=AG124,"Escenario 5","Escenario 4"),IF(MIN(AF124,AH124)&lt;AD124,IF(AND(AD124-2&lt;=MIN(AF124,AH124),AE124&lt;&gt;AG124),"Escenario 1",IF(AND(AD124-2&lt;=MIN(AF124,AH124),AE124=AG124),"Escenario 2","Escenario 3")),IF(MIN(AF124,AH124)&gt;AD124,IF(AND(AD124+2&gt;=MIN(AF124,AH124),AE124=AG124),"Escenario 7",IF(AND(AD124+2&gt;=MIN(AF124,AH124),AE124&lt;&gt;AG124),"Escenario 6",IF(AD124+5&lt;=MIN(AF124,AH124),"Escenario 9","Escenario 8"))),"error"))),"Falta info")</f>
        <v/>
      </c>
      <c r="AL124" s="98">
        <f>IFERROR(VLOOKUP(AK124,Base!$BJ$37:$BL$45,3,0),0)</f>
        <v/>
      </c>
      <c r="AM124" s="330">
        <f>IF(LOOKUP(AK124,Base!$X$8:$BG$8)=AK124,VLOOKUP(B124,Base!E:BG,AL124,0),0)</f>
        <v/>
      </c>
      <c r="AN124" s="330" t="e">
        <v>#N/A</v>
      </c>
      <c r="AP124" s="331">
        <f>IF(AM124&lt;=AA124,"REVISAR!","ok")</f>
        <v/>
      </c>
    </row>
    <row customHeight="1" ht="12.95" r="125" s="183" spans="1:43">
      <c r="B125" s="108" t="n"/>
      <c r="C125" s="89" t="n"/>
      <c r="D125" s="106">
        <f>VLOOKUP(B125,Base!E:G,3,0)</f>
        <v/>
      </c>
      <c r="E125" s="326" t="n"/>
      <c r="F125" s="91">
        <f>IFERROR(IF(VLOOKUP(B125,Detalle!$A:$AA,$F$1,0)=0,"Sin datos",IFERROR(VLOOKUP(B125,Detalle!$A:$AA,$F$1,0),"Sin datos")),"")</f>
        <v/>
      </c>
      <c r="G125" s="327">
        <f>IFERROR(IF(VLOOKUP(B125,Detalle!$A:$AA,$G$1,0)=0,"Sin datos",IFERROR(VLOOKUP(B125,Detalle!$A:$AA,$G$1,0),"Sin datos")),"")</f>
        <v/>
      </c>
      <c r="H125" s="93">
        <f>IFERROR(IF(VLOOKUP(B125,Detalle!$A:$AA,$H$1,0)=0,"Sin datos",IFERROR(VLOOKUP(B125,Detalle!$A:$AA,$H$1,0),"Sin datos")),"")</f>
        <v/>
      </c>
      <c r="I125" s="327">
        <f>IFERROR(IF(VLOOKUP(B125,Detalle!$A:$AA,$I$1,0)=0,"Sin datos",IFERROR(VLOOKUP(B125,Detalle!$A:$AA,$I$1,0),"Sin datos")),"")</f>
        <v/>
      </c>
      <c r="J125" s="93">
        <f>IFERROR(IF(VLOOKUP(B125,Detalle!$A:$AA,$J$1,0)=0,"Sin datos",IFERROR(VLOOKUP(B125,Detalle!$A:$AA,$J$1,0),"Sin datos")),"")</f>
        <v/>
      </c>
      <c r="K125" s="98" t="n"/>
      <c r="L125" s="328" t="n"/>
      <c r="M125" s="329">
        <f>IFERROR(IF(MIN(H125,J125)=F125,IF(G125=I125,"Escenario 5","Escenario 4"),IF(MIN(H125,J125)&lt;F125,IF(AND(F125-2&lt;=MIN(H125,J125),G125&lt;&gt;I125),"Escenario 1",IF(AND(F125-2&lt;=MIN(H125,J125),G125=I125),"Escenario 2","Escenario 3")),IF(MIN(H125,J125)&gt;F125,IF(AND(F125+2&gt;=MIN(H125,J125),G125=I125),"Escenario 7",IF(AND(F125+2&gt;=MIN(H125,J125),G125&lt;&gt;I125),"Escenario 6",IF(F125+5&lt;=MIN(H125,J125),"Escenario 9","Escenario 8"))),"error"))),"Falta info")</f>
        <v/>
      </c>
      <c r="N125" s="98">
        <f>IFERROR(VLOOKUP(M125,Base!$BJ$28:$BL$36,3,0),0)</f>
        <v/>
      </c>
      <c r="O125" s="330" t="n"/>
      <c r="P125" s="330" t="n"/>
      <c r="Q125" s="327" t="n"/>
      <c r="R125" s="93" t="n"/>
      <c r="S125" s="327" t="n"/>
      <c r="T125" s="93" t="n"/>
      <c r="U125" s="327" t="n"/>
      <c r="V125" s="93" t="n"/>
      <c r="W125" s="98" t="n"/>
      <c r="X125" s="328">
        <f>MIN(Q125,S125,U125)</f>
        <v/>
      </c>
      <c r="Y125" s="328">
        <f>IFERROR(IF(MIN(T125,V125)=R125,IF(S125=U125,"Escenario 5","Escenario 4"),IF(MIN(T125,V125)&lt;R125,IF(AND(R125-2&lt;=MIN(T125,V125),S125&lt;&gt;U125),"Escenario 1",IF(AND(R125-2&lt;=MIN(T125,V125),S125=U125),"Escenario 2","Escenario 3")),IF(MIN(T125,V125)&gt;R125,IF(AND(R125+2&gt;=MIN(T125,V125),S125=U125),"Escenario 7",IF(AND(R125+2&gt;=MIN(T125,V125),S125&lt;&gt;U125),"Escenario 6",IF(R125+5&lt;=MIN(T125,V125),"Escenario 9","Escenario 8"))),"error"))),"Falta info")</f>
        <v/>
      </c>
      <c r="Z125" s="98">
        <f>IFERROR(VLOOKUP(Y125,Base!$BJ$19:$BL$27,3,0),0)</f>
        <v/>
      </c>
      <c r="AA125" s="330" t="n"/>
      <c r="AB125" s="330" t="n"/>
      <c r="AC125" s="327" t="n"/>
      <c r="AD125" s="93" t="n"/>
      <c r="AE125" s="327" t="n"/>
      <c r="AF125" s="93" t="n"/>
      <c r="AG125" s="327" t="n"/>
      <c r="AH125" s="93" t="n"/>
      <c r="AI125" s="98">
        <f>IF(AB125="",IF(MIN(AC125,AE125,AG125)&gt;E125,"Si","No"),IF(MIN(AC125,AG125,AG125)&gt;AB125,"Si","No"))</f>
        <v/>
      </c>
      <c r="AJ125" s="328">
        <f>MIN(AC125,AE125,AG125)</f>
        <v/>
      </c>
      <c r="AK125" s="328">
        <f>IFERROR(IF(MIN(AF125,AH125)=AD125,IF(AE125=AG125,"Escenario 5","Escenario 4"),IF(MIN(AF125,AH125)&lt;AD125,IF(AND(AD125-2&lt;=MIN(AF125,AH125),AE125&lt;&gt;AG125),"Escenario 1",IF(AND(AD125-2&lt;=MIN(AF125,AH125),AE125=AG125),"Escenario 2","Escenario 3")),IF(MIN(AF125,AH125)&gt;AD125,IF(AND(AD125+2&gt;=MIN(AF125,AH125),AE125=AG125),"Escenario 7",IF(AND(AD125+2&gt;=MIN(AF125,AH125),AE125&lt;&gt;AG125),"Escenario 6",IF(AD125+5&lt;=MIN(AF125,AH125),"Escenario 9","Escenario 8"))),"error"))),"Falta info")</f>
        <v/>
      </c>
      <c r="AL125" s="98">
        <f>IFERROR(VLOOKUP(AK125,Base!$BJ$37:$BL$45,3,0),0)</f>
        <v/>
      </c>
      <c r="AM125" s="330">
        <f>IF(LOOKUP(AK125,Base!$X$8:$BG$8)=AK125,VLOOKUP(B125,Base!E:BG,AL125,0),0)</f>
        <v/>
      </c>
      <c r="AN125" s="330" t="e">
        <v>#N/A</v>
      </c>
      <c r="AP125" s="331">
        <f>IF(AM125&lt;=AA125,"REVISAR!","ok")</f>
        <v/>
      </c>
    </row>
    <row customHeight="1" ht="12.95" r="126" s="183" spans="1:43">
      <c r="B126" s="108" t="n"/>
      <c r="C126" s="89" t="n"/>
      <c r="D126" s="106">
        <f>VLOOKUP(B126,Base!E:G,3,0)</f>
        <v/>
      </c>
      <c r="E126" s="326" t="n"/>
      <c r="F126" s="91">
        <f>IFERROR(IF(VLOOKUP(B126,Detalle!$A:$AA,$F$1,0)=0,"Sin datos",IFERROR(VLOOKUP(B126,Detalle!$A:$AA,$F$1,0),"Sin datos")),"")</f>
        <v/>
      </c>
      <c r="G126" s="327">
        <f>IFERROR(IF(VLOOKUP(B126,Detalle!$A:$AA,$G$1,0)=0,"Sin datos",IFERROR(VLOOKUP(B126,Detalle!$A:$AA,$G$1,0),"Sin datos")),"")</f>
        <v/>
      </c>
      <c r="H126" s="93">
        <f>IFERROR(IF(VLOOKUP(B126,Detalle!$A:$AA,$H$1,0)=0,"Sin datos",IFERROR(VLOOKUP(B126,Detalle!$A:$AA,$H$1,0),"Sin datos")),"")</f>
        <v/>
      </c>
      <c r="I126" s="327">
        <f>IFERROR(IF(VLOOKUP(B126,Detalle!$A:$AA,$I$1,0)=0,"Sin datos",IFERROR(VLOOKUP(B126,Detalle!$A:$AA,$I$1,0),"Sin datos")),"")</f>
        <v/>
      </c>
      <c r="J126" s="93">
        <f>IFERROR(IF(VLOOKUP(B126,Detalle!$A:$AA,$J$1,0)=0,"Sin datos",IFERROR(VLOOKUP(B126,Detalle!$A:$AA,$J$1,0),"Sin datos")),"")</f>
        <v/>
      </c>
      <c r="K126" s="98" t="n"/>
      <c r="L126" s="328" t="n"/>
      <c r="M126" s="329">
        <f>IFERROR(IF(MIN(H126,J126)=F126,IF(G126=I126,"Escenario 5","Escenario 4"),IF(MIN(H126,J126)&lt;F126,IF(AND(F126-2&lt;=MIN(H126,J126),G126&lt;&gt;I126),"Escenario 1",IF(AND(F126-2&lt;=MIN(H126,J126),G126=I126),"Escenario 2","Escenario 3")),IF(MIN(H126,J126)&gt;F126,IF(AND(F126+2&gt;=MIN(H126,J126),G126=I126),"Escenario 7",IF(AND(F126+2&gt;=MIN(H126,J126),G126&lt;&gt;I126),"Escenario 6",IF(F126+5&lt;=MIN(H126,J126),"Escenario 9","Escenario 8"))),"error"))),"Falta info")</f>
        <v/>
      </c>
      <c r="N126" s="98">
        <f>IFERROR(VLOOKUP(M126,Base!$BJ$28:$BL$36,3,0),0)</f>
        <v/>
      </c>
      <c r="O126" s="330" t="n"/>
      <c r="P126" s="330" t="n"/>
      <c r="Q126" s="327" t="n"/>
      <c r="R126" s="93" t="n"/>
      <c r="S126" s="327" t="n"/>
      <c r="T126" s="93" t="n"/>
      <c r="U126" s="327" t="n"/>
      <c r="V126" s="93" t="n"/>
      <c r="W126" s="98" t="n"/>
      <c r="X126" s="328">
        <f>MIN(Q126,S126,U126)</f>
        <v/>
      </c>
      <c r="Y126" s="328">
        <f>IFERROR(IF(MIN(T126,V126)=R126,IF(S126=U126,"Escenario 5","Escenario 4"),IF(MIN(T126,V126)&lt;R126,IF(AND(R126-2&lt;=MIN(T126,V126),S126&lt;&gt;U126),"Escenario 1",IF(AND(R126-2&lt;=MIN(T126,V126),S126=U126),"Escenario 2","Escenario 3")),IF(MIN(T126,V126)&gt;R126,IF(AND(R126+2&gt;=MIN(T126,V126),S126=U126),"Escenario 7",IF(AND(R126+2&gt;=MIN(T126,V126),S126&lt;&gt;U126),"Escenario 6",IF(R126+5&lt;=MIN(T126,V126),"Escenario 9","Escenario 8"))),"error"))),"Falta info")</f>
        <v/>
      </c>
      <c r="Z126" s="98">
        <f>IFERROR(VLOOKUP(Y126,Base!$BJ$19:$BL$27,3,0),0)</f>
        <v/>
      </c>
      <c r="AA126" s="330" t="n"/>
      <c r="AB126" s="330" t="n"/>
      <c r="AC126" s="327" t="n"/>
      <c r="AD126" s="93" t="n"/>
      <c r="AE126" s="327" t="n"/>
      <c r="AF126" s="93" t="n"/>
      <c r="AG126" s="327" t="n"/>
      <c r="AH126" s="93" t="n"/>
      <c r="AI126" s="98">
        <f>IF(AB126="",IF(MIN(AC126,AE126,AG126)&gt;E126,"Si","No"),IF(MIN(AC126,AG126,AG126)&gt;AB126,"Si","No"))</f>
        <v/>
      </c>
      <c r="AJ126" s="328">
        <f>MIN(AC126,AE126,AG126)</f>
        <v/>
      </c>
      <c r="AK126" s="328">
        <f>IFERROR(IF(MIN(AF126,AH126)=AD126,IF(AE126=AG126,"Escenario 5","Escenario 4"),IF(MIN(AF126,AH126)&lt;AD126,IF(AND(AD126-2&lt;=MIN(AF126,AH126),AE126&lt;&gt;AG126),"Escenario 1",IF(AND(AD126-2&lt;=MIN(AF126,AH126),AE126=AG126),"Escenario 2","Escenario 3")),IF(MIN(AF126,AH126)&gt;AD126,IF(AND(AD126+2&gt;=MIN(AF126,AH126),AE126=AG126),"Escenario 7",IF(AND(AD126+2&gt;=MIN(AF126,AH126),AE126&lt;&gt;AG126),"Escenario 6",IF(AD126+5&lt;=MIN(AF126,AH126),"Escenario 9","Escenario 8"))),"error"))),"Falta info")</f>
        <v/>
      </c>
      <c r="AL126" s="98">
        <f>IFERROR(VLOOKUP(AK126,Base!$BJ$37:$BL$45,3,0),0)</f>
        <v/>
      </c>
      <c r="AM126" s="330">
        <f>IF(LOOKUP(AK126,Base!$X$8:$BG$8)=AK126,VLOOKUP(B126,Base!E:BG,AL126,0),0)</f>
        <v/>
      </c>
      <c r="AN126" s="330" t="e">
        <v>#N/A</v>
      </c>
      <c r="AP126" s="331">
        <f>IF(AM126&lt;=AA126,"REVISAR!","ok")</f>
        <v/>
      </c>
    </row>
    <row customHeight="1" ht="12.95" r="127" s="183" spans="1:43">
      <c r="B127" s="108" t="n"/>
      <c r="C127" s="89" t="n"/>
      <c r="D127" s="106">
        <f>VLOOKUP(B127,Base!E:G,3,0)</f>
        <v/>
      </c>
      <c r="E127" s="326" t="n"/>
      <c r="F127" s="91">
        <f>IFERROR(IF(VLOOKUP(B127,Detalle!$A:$AA,$F$1,0)=0,"Sin datos",IFERROR(VLOOKUP(B127,Detalle!$A:$AA,$F$1,0),"Sin datos")),"")</f>
        <v/>
      </c>
      <c r="G127" s="327">
        <f>IFERROR(IF(VLOOKUP(B127,Detalle!$A:$AA,$G$1,0)=0,"Sin datos",IFERROR(VLOOKUP(B127,Detalle!$A:$AA,$G$1,0),"Sin datos")),"")</f>
        <v/>
      </c>
      <c r="H127" s="93">
        <f>IFERROR(IF(VLOOKUP(B127,Detalle!$A:$AA,$H$1,0)=0,"Sin datos",IFERROR(VLOOKUP(B127,Detalle!$A:$AA,$H$1,0),"Sin datos")),"")</f>
        <v/>
      </c>
      <c r="I127" s="327">
        <f>IFERROR(IF(VLOOKUP(B127,Detalle!$A:$AA,$I$1,0)=0,"Sin datos",IFERROR(VLOOKUP(B127,Detalle!$A:$AA,$I$1,0),"Sin datos")),"")</f>
        <v/>
      </c>
      <c r="J127" s="93">
        <f>IFERROR(IF(VLOOKUP(B127,Detalle!$A:$AA,$J$1,0)=0,"Sin datos",IFERROR(VLOOKUP(B127,Detalle!$A:$AA,$J$1,0),"Sin datos")),"")</f>
        <v/>
      </c>
      <c r="K127" s="98" t="n"/>
      <c r="L127" s="328" t="n"/>
      <c r="M127" s="329">
        <f>IFERROR(IF(MIN(H127,J127)=F127,IF(G127=I127,"Escenario 5","Escenario 4"),IF(MIN(H127,J127)&lt;F127,IF(AND(F127-2&lt;=MIN(H127,J127),G127&lt;&gt;I127),"Escenario 1",IF(AND(F127-2&lt;=MIN(H127,J127),G127=I127),"Escenario 2","Escenario 3")),IF(MIN(H127,J127)&gt;F127,IF(AND(F127+2&gt;=MIN(H127,J127),G127=I127),"Escenario 7",IF(AND(F127+2&gt;=MIN(H127,J127),G127&lt;&gt;I127),"Escenario 6",IF(F127+5&lt;=MIN(H127,J127),"Escenario 9","Escenario 8"))),"error"))),"Falta info")</f>
        <v/>
      </c>
      <c r="N127" s="98">
        <f>IFERROR(VLOOKUP(M127,Base!$BJ$28:$BL$36,3,0),0)</f>
        <v/>
      </c>
      <c r="O127" s="330" t="n"/>
      <c r="P127" s="330" t="n"/>
      <c r="Q127" s="327" t="n"/>
      <c r="R127" s="93" t="n"/>
      <c r="S127" s="327" t="n"/>
      <c r="T127" s="93" t="n"/>
      <c r="U127" s="327" t="n"/>
      <c r="V127" s="93" t="n"/>
      <c r="W127" s="98" t="n"/>
      <c r="X127" s="328">
        <f>MIN(Q127,S127,U127)</f>
        <v/>
      </c>
      <c r="Y127" s="328">
        <f>IFERROR(IF(MIN(T127,V127)=R127,IF(S127=U127,"Escenario 5","Escenario 4"),IF(MIN(T127,V127)&lt;R127,IF(AND(R127-2&lt;=MIN(T127,V127),S127&lt;&gt;U127),"Escenario 1",IF(AND(R127-2&lt;=MIN(T127,V127),S127=U127),"Escenario 2","Escenario 3")),IF(MIN(T127,V127)&gt;R127,IF(AND(R127+2&gt;=MIN(T127,V127),S127=U127),"Escenario 7",IF(AND(R127+2&gt;=MIN(T127,V127),S127&lt;&gt;U127),"Escenario 6",IF(R127+5&lt;=MIN(T127,V127),"Escenario 9","Escenario 8"))),"error"))),"Falta info")</f>
        <v/>
      </c>
      <c r="Z127" s="98">
        <f>IFERROR(VLOOKUP(Y127,Base!$BJ$19:$BL$27,3,0),0)</f>
        <v/>
      </c>
      <c r="AA127" s="330" t="n"/>
      <c r="AB127" s="330" t="n"/>
      <c r="AC127" s="327" t="n"/>
      <c r="AD127" s="93" t="n"/>
      <c r="AE127" s="327" t="n"/>
      <c r="AF127" s="93" t="n"/>
      <c r="AG127" s="327" t="n"/>
      <c r="AH127" s="93" t="n"/>
      <c r="AI127" s="98">
        <f>IF(AB127="",IF(MIN(AC127,AE127,AG127)&gt;E127,"Si","No"),IF(MIN(AC127,AG127,AG127)&gt;AB127,"Si","No"))</f>
        <v/>
      </c>
      <c r="AJ127" s="328">
        <f>MIN(AC127,AE127,AG127)</f>
        <v/>
      </c>
      <c r="AK127" s="328">
        <f>IFERROR(IF(MIN(AF127,AH127)=AD127,IF(AE127=AG127,"Escenario 5","Escenario 4"),IF(MIN(AF127,AH127)&lt;AD127,IF(AND(AD127-2&lt;=MIN(AF127,AH127),AE127&lt;&gt;AG127),"Escenario 1",IF(AND(AD127-2&lt;=MIN(AF127,AH127),AE127=AG127),"Escenario 2","Escenario 3")),IF(MIN(AF127,AH127)&gt;AD127,IF(AND(AD127+2&gt;=MIN(AF127,AH127),AE127=AG127),"Escenario 7",IF(AND(AD127+2&gt;=MIN(AF127,AH127),AE127&lt;&gt;AG127),"Escenario 6",IF(AD127+5&lt;=MIN(AF127,AH127),"Escenario 9","Escenario 8"))),"error"))),"Falta info")</f>
        <v/>
      </c>
      <c r="AL127" s="98">
        <f>IFERROR(VLOOKUP(AK127,Base!$BJ$37:$BL$45,3,0),0)</f>
        <v/>
      </c>
      <c r="AM127" s="330">
        <f>IF(LOOKUP(AK127,Base!$X$8:$BG$8)=AK127,VLOOKUP(B127,Base!E:BG,AL127,0),0)</f>
        <v/>
      </c>
      <c r="AN127" s="330" t="e">
        <v>#N/A</v>
      </c>
      <c r="AP127" s="331">
        <f>IF(AM127&lt;=AA127,"REVISAR!","ok")</f>
        <v/>
      </c>
    </row>
    <row customHeight="1" ht="12.95" r="128" s="183" spans="1:43">
      <c r="B128" s="108" t="n"/>
      <c r="C128" s="89" t="n"/>
      <c r="D128" s="106">
        <f>VLOOKUP(B128,Base!E:G,3,0)</f>
        <v/>
      </c>
      <c r="E128" s="326" t="n"/>
      <c r="F128" s="91">
        <f>IFERROR(IF(VLOOKUP(B128,Detalle!$A:$AA,$F$1,0)=0,"Sin datos",IFERROR(VLOOKUP(B128,Detalle!$A:$AA,$F$1,0),"Sin datos")),"")</f>
        <v/>
      </c>
      <c r="G128" s="327">
        <f>IFERROR(IF(VLOOKUP(B128,Detalle!$A:$AA,$G$1,0)=0,"Sin datos",IFERROR(VLOOKUP(B128,Detalle!$A:$AA,$G$1,0),"Sin datos")),"")</f>
        <v/>
      </c>
      <c r="H128" s="93">
        <f>IFERROR(IF(VLOOKUP(B128,Detalle!$A:$AA,$H$1,0)=0,"Sin datos",IFERROR(VLOOKUP(B128,Detalle!$A:$AA,$H$1,0),"Sin datos")),"")</f>
        <v/>
      </c>
      <c r="I128" s="327">
        <f>IFERROR(IF(VLOOKUP(B128,Detalle!$A:$AA,$I$1,0)=0,"Sin datos",IFERROR(VLOOKUP(B128,Detalle!$A:$AA,$I$1,0),"Sin datos")),"")</f>
        <v/>
      </c>
      <c r="J128" s="93">
        <f>IFERROR(IF(VLOOKUP(B128,Detalle!$A:$AA,$J$1,0)=0,"Sin datos",IFERROR(VLOOKUP(B128,Detalle!$A:$AA,$J$1,0),"Sin datos")),"")</f>
        <v/>
      </c>
      <c r="K128" s="98" t="n"/>
      <c r="L128" s="328" t="n"/>
      <c r="M128" s="329">
        <f>IFERROR(IF(MIN(H128,J128)=F128,IF(G128=I128,"Escenario 5","Escenario 4"),IF(MIN(H128,J128)&lt;F128,IF(AND(F128-2&lt;=MIN(H128,J128),G128&lt;&gt;I128),"Escenario 1",IF(AND(F128-2&lt;=MIN(H128,J128),G128=I128),"Escenario 2","Escenario 3")),IF(MIN(H128,J128)&gt;F128,IF(AND(F128+2&gt;=MIN(H128,J128),G128=I128),"Escenario 7",IF(AND(F128+2&gt;=MIN(H128,J128),G128&lt;&gt;I128),"Escenario 6",IF(F128+5&lt;=MIN(H128,J128),"Escenario 9","Escenario 8"))),"error"))),"Falta info")</f>
        <v/>
      </c>
      <c r="N128" s="98">
        <f>IFERROR(VLOOKUP(M128,Base!$BJ$28:$BL$36,3,0),0)</f>
        <v/>
      </c>
      <c r="O128" s="330" t="n"/>
      <c r="P128" s="330" t="n"/>
      <c r="Q128" s="327" t="n"/>
      <c r="R128" s="93" t="n"/>
      <c r="S128" s="327" t="n"/>
      <c r="T128" s="93" t="n"/>
      <c r="U128" s="327" t="n"/>
      <c r="V128" s="93" t="n"/>
      <c r="W128" s="98" t="n"/>
      <c r="X128" s="328">
        <f>MIN(Q128,S128,U128)</f>
        <v/>
      </c>
      <c r="Y128" s="328">
        <f>IFERROR(IF(MIN(T128,V128)=R128,IF(S128=U128,"Escenario 5","Escenario 4"),IF(MIN(T128,V128)&lt;R128,IF(AND(R128-2&lt;=MIN(T128,V128),S128&lt;&gt;U128),"Escenario 1",IF(AND(R128-2&lt;=MIN(T128,V128),S128=U128),"Escenario 2","Escenario 3")),IF(MIN(T128,V128)&gt;R128,IF(AND(R128+2&gt;=MIN(T128,V128),S128=U128),"Escenario 7",IF(AND(R128+2&gt;=MIN(T128,V128),S128&lt;&gt;U128),"Escenario 6",IF(R128+5&lt;=MIN(T128,V128),"Escenario 9","Escenario 8"))),"error"))),"Falta info")</f>
        <v/>
      </c>
      <c r="Z128" s="98">
        <f>IFERROR(VLOOKUP(Y128,Base!$BJ$19:$BL$27,3,0),0)</f>
        <v/>
      </c>
      <c r="AA128" s="330" t="n"/>
      <c r="AB128" s="330" t="n"/>
      <c r="AC128" s="327" t="n"/>
      <c r="AD128" s="93" t="n"/>
      <c r="AE128" s="327" t="n"/>
      <c r="AF128" s="93" t="n"/>
      <c r="AG128" s="327" t="n"/>
      <c r="AH128" s="93" t="n"/>
      <c r="AI128" s="98">
        <f>IF(AB128="",IF(MIN(AC128,AE128,AG128)&gt;E128,"Si","No"),IF(MIN(AC128,AG128,AG128)&gt;AB128,"Si","No"))</f>
        <v/>
      </c>
      <c r="AJ128" s="328">
        <f>MIN(AC128,AE128,AG128)</f>
        <v/>
      </c>
      <c r="AK128" s="328">
        <f>IFERROR(IF(MIN(AF128,AH128)=AD128,IF(AE128=AG128,"Escenario 5","Escenario 4"),IF(MIN(AF128,AH128)&lt;AD128,IF(AND(AD128-2&lt;=MIN(AF128,AH128),AE128&lt;&gt;AG128),"Escenario 1",IF(AND(AD128-2&lt;=MIN(AF128,AH128),AE128=AG128),"Escenario 2","Escenario 3")),IF(MIN(AF128,AH128)&gt;AD128,IF(AND(AD128+2&gt;=MIN(AF128,AH128),AE128=AG128),"Escenario 7",IF(AND(AD128+2&gt;=MIN(AF128,AH128),AE128&lt;&gt;AG128),"Escenario 6",IF(AD128+5&lt;=MIN(AF128,AH128),"Escenario 9","Escenario 8"))),"error"))),"Falta info")</f>
        <v/>
      </c>
      <c r="AL128" s="98">
        <f>IFERROR(VLOOKUP(AK128,Base!$BJ$37:$BL$45,3,0),0)</f>
        <v/>
      </c>
      <c r="AM128" s="330">
        <f>IF(LOOKUP(AK128,Base!$X$8:$BG$8)=AK128,VLOOKUP(B128,Base!E:BG,AL128,0),0)</f>
        <v/>
      </c>
      <c r="AN128" s="330" t="e">
        <v>#N/A</v>
      </c>
      <c r="AP128" s="331">
        <f>IF(AM128&lt;=AA128,"REVISAR!","ok")</f>
        <v/>
      </c>
    </row>
    <row customHeight="1" ht="12.95" r="129" s="183" spans="1:43">
      <c r="B129" s="108" t="n"/>
      <c r="C129" s="89" t="n"/>
      <c r="D129" s="106">
        <f>VLOOKUP(B129,Base!E:G,3,0)</f>
        <v/>
      </c>
      <c r="E129" s="326" t="n"/>
      <c r="F129" s="91">
        <f>IFERROR(IF(VLOOKUP(B129,Detalle!$A:$AA,$F$1,0)=0,"Sin datos",IFERROR(VLOOKUP(B129,Detalle!$A:$AA,$F$1,0),"Sin datos")),"")</f>
        <v/>
      </c>
      <c r="G129" s="327">
        <f>IFERROR(IF(VLOOKUP(B129,Detalle!$A:$AA,$G$1,0)=0,"Sin datos",IFERROR(VLOOKUP(B129,Detalle!$A:$AA,$G$1,0),"Sin datos")),"")</f>
        <v/>
      </c>
      <c r="H129" s="93">
        <f>IFERROR(IF(VLOOKUP(B129,Detalle!$A:$AA,$H$1,0)=0,"Sin datos",IFERROR(VLOOKUP(B129,Detalle!$A:$AA,$H$1,0),"Sin datos")),"")</f>
        <v/>
      </c>
      <c r="I129" s="327">
        <f>IFERROR(IF(VLOOKUP(B129,Detalle!$A:$AA,$I$1,0)=0,"Sin datos",IFERROR(VLOOKUP(B129,Detalle!$A:$AA,$I$1,0),"Sin datos")),"")</f>
        <v/>
      </c>
      <c r="J129" s="93">
        <f>IFERROR(IF(VLOOKUP(B129,Detalle!$A:$AA,$J$1,0)=0,"Sin datos",IFERROR(VLOOKUP(B129,Detalle!$A:$AA,$J$1,0),"Sin datos")),"")</f>
        <v/>
      </c>
      <c r="K129" s="98" t="n"/>
      <c r="L129" s="328" t="n"/>
      <c r="M129" s="329">
        <f>IFERROR(IF(MIN(H129,J129)=F129,IF(G129=I129,"Escenario 5","Escenario 4"),IF(MIN(H129,J129)&lt;F129,IF(AND(F129-2&lt;=MIN(H129,J129),G129&lt;&gt;I129),"Escenario 1",IF(AND(F129-2&lt;=MIN(H129,J129),G129=I129),"Escenario 2","Escenario 3")),IF(MIN(H129,J129)&gt;F129,IF(AND(F129+2&gt;=MIN(H129,J129),G129=I129),"Escenario 7",IF(AND(F129+2&gt;=MIN(H129,J129),G129&lt;&gt;I129),"Escenario 6",IF(F129+5&lt;=MIN(H129,J129),"Escenario 9","Escenario 8"))),"error"))),"Falta info")</f>
        <v/>
      </c>
      <c r="N129" s="98">
        <f>IFERROR(VLOOKUP(M129,Base!$BJ$28:$BL$36,3,0),0)</f>
        <v/>
      </c>
      <c r="O129" s="330" t="n"/>
      <c r="P129" s="330" t="n"/>
      <c r="Q129" s="327" t="n"/>
      <c r="R129" s="93" t="n"/>
      <c r="S129" s="327" t="n"/>
      <c r="T129" s="93" t="n"/>
      <c r="U129" s="327" t="n"/>
      <c r="V129" s="93" t="n"/>
      <c r="W129" s="98" t="n"/>
      <c r="X129" s="328">
        <f>MIN(Q129,S129,U129)</f>
        <v/>
      </c>
      <c r="Y129" s="328">
        <f>IFERROR(IF(MIN(T129,V129)=R129,IF(S129=U129,"Escenario 5","Escenario 4"),IF(MIN(T129,V129)&lt;R129,IF(AND(R129-2&lt;=MIN(T129,V129),S129&lt;&gt;U129),"Escenario 1",IF(AND(R129-2&lt;=MIN(T129,V129),S129=U129),"Escenario 2","Escenario 3")),IF(MIN(T129,V129)&gt;R129,IF(AND(R129+2&gt;=MIN(T129,V129),S129=U129),"Escenario 7",IF(AND(R129+2&gt;=MIN(T129,V129),S129&lt;&gt;U129),"Escenario 6",IF(R129+5&lt;=MIN(T129,V129),"Escenario 9","Escenario 8"))),"error"))),"Falta info")</f>
        <v/>
      </c>
      <c r="Z129" s="98">
        <f>IFERROR(VLOOKUP(Y129,Base!$BJ$19:$BL$27,3,0),0)</f>
        <v/>
      </c>
      <c r="AA129" s="330" t="n"/>
      <c r="AB129" s="330" t="n"/>
      <c r="AC129" s="327" t="n"/>
      <c r="AD129" s="93" t="n"/>
      <c r="AE129" s="327" t="n"/>
      <c r="AF129" s="93" t="n"/>
      <c r="AG129" s="327" t="n"/>
      <c r="AH129" s="93" t="n"/>
      <c r="AI129" s="98">
        <f>IF(AB129="",IF(MIN(AC129,AE129,AG129)&gt;E129,"Si","No"),IF(MIN(AC129,AG129,AG129)&gt;AB129,"Si","No"))</f>
        <v/>
      </c>
      <c r="AJ129" s="328">
        <f>MIN(AC129,AE129,AG129)</f>
        <v/>
      </c>
      <c r="AK129" s="328">
        <f>IFERROR(IF(MIN(AF129,AH129)=AD129,IF(AE129=AG129,"Escenario 5","Escenario 4"),IF(MIN(AF129,AH129)&lt;AD129,IF(AND(AD129-2&lt;=MIN(AF129,AH129),AE129&lt;&gt;AG129),"Escenario 1",IF(AND(AD129-2&lt;=MIN(AF129,AH129),AE129=AG129),"Escenario 2","Escenario 3")),IF(MIN(AF129,AH129)&gt;AD129,IF(AND(AD129+2&gt;=MIN(AF129,AH129),AE129=AG129),"Escenario 7",IF(AND(AD129+2&gt;=MIN(AF129,AH129),AE129&lt;&gt;AG129),"Escenario 6",IF(AD129+5&lt;=MIN(AF129,AH129),"Escenario 9","Escenario 8"))),"error"))),"Falta info")</f>
        <v/>
      </c>
      <c r="AL129" s="98">
        <f>IFERROR(VLOOKUP(AK129,Base!$BJ$37:$BL$45,3,0),0)</f>
        <v/>
      </c>
      <c r="AM129" s="330">
        <f>IF(LOOKUP(AK129,Base!$X$8:$BG$8)=AK129,VLOOKUP(B129,Base!E:BG,AL129,0),0)</f>
        <v/>
      </c>
      <c r="AN129" s="330" t="e">
        <v>#N/A</v>
      </c>
      <c r="AP129" s="331">
        <f>IF(AM129&lt;=AA129,"REVISAR!","ok")</f>
        <v/>
      </c>
    </row>
    <row customHeight="1" ht="12.95" r="130" s="183" spans="1:43">
      <c r="B130" s="108" t="n"/>
      <c r="C130" s="89" t="n"/>
      <c r="D130" s="106">
        <f>VLOOKUP(B130,Base!E:G,3,0)</f>
        <v/>
      </c>
      <c r="E130" s="326" t="n"/>
      <c r="F130" s="91">
        <f>IFERROR(IF(VLOOKUP(B130,Detalle!$A:$AA,$F$1,0)=0,"Sin datos",IFERROR(VLOOKUP(B130,Detalle!$A:$AA,$F$1,0),"Sin datos")),"")</f>
        <v/>
      </c>
      <c r="G130" s="327">
        <f>IFERROR(IF(VLOOKUP(B130,Detalle!$A:$AA,$G$1,0)=0,"Sin datos",IFERROR(VLOOKUP(B130,Detalle!$A:$AA,$G$1,0),"Sin datos")),"")</f>
        <v/>
      </c>
      <c r="H130" s="93">
        <f>IFERROR(IF(VLOOKUP(B130,Detalle!$A:$AA,$H$1,0)=0,"Sin datos",IFERROR(VLOOKUP(B130,Detalle!$A:$AA,$H$1,0),"Sin datos")),"")</f>
        <v/>
      </c>
      <c r="I130" s="327">
        <f>IFERROR(IF(VLOOKUP(B130,Detalle!$A:$AA,$I$1,0)=0,"Sin datos",IFERROR(VLOOKUP(B130,Detalle!$A:$AA,$I$1,0),"Sin datos")),"")</f>
        <v/>
      </c>
      <c r="J130" s="93">
        <f>IFERROR(IF(VLOOKUP(B130,Detalle!$A:$AA,$J$1,0)=0,"Sin datos",IFERROR(VLOOKUP(B130,Detalle!$A:$AA,$J$1,0),"Sin datos")),"")</f>
        <v/>
      </c>
      <c r="K130" s="98" t="n"/>
      <c r="L130" s="328" t="n"/>
      <c r="M130" s="329">
        <f>IFERROR(IF(MIN(H130,J130)=F130,IF(G130=I130,"Escenario 5","Escenario 4"),IF(MIN(H130,J130)&lt;F130,IF(AND(F130-2&lt;=MIN(H130,J130),G130&lt;&gt;I130),"Escenario 1",IF(AND(F130-2&lt;=MIN(H130,J130),G130=I130),"Escenario 2","Escenario 3")),IF(MIN(H130,J130)&gt;F130,IF(AND(F130+2&gt;=MIN(H130,J130),G130=I130),"Escenario 7",IF(AND(F130+2&gt;=MIN(H130,J130),G130&lt;&gt;I130),"Escenario 6",IF(F130+5&lt;=MIN(H130,J130),"Escenario 9","Escenario 8"))),"error"))),"Falta info")</f>
        <v/>
      </c>
      <c r="N130" s="98">
        <f>IFERROR(VLOOKUP(M130,Base!$BJ$28:$BL$36,3,0),0)</f>
        <v/>
      </c>
      <c r="O130" s="330" t="n"/>
      <c r="P130" s="330" t="n"/>
      <c r="Q130" s="327" t="n"/>
      <c r="R130" s="93" t="n"/>
      <c r="S130" s="327" t="n"/>
      <c r="T130" s="93" t="n"/>
      <c r="U130" s="327" t="n"/>
      <c r="V130" s="93" t="n"/>
      <c r="W130" s="98" t="n"/>
      <c r="X130" s="328">
        <f>MIN(Q130,S130,U130)</f>
        <v/>
      </c>
      <c r="Y130" s="328">
        <f>IFERROR(IF(MIN(T130,V130)=R130,IF(S130=U130,"Escenario 5","Escenario 4"),IF(MIN(T130,V130)&lt;R130,IF(AND(R130-2&lt;=MIN(T130,V130),S130&lt;&gt;U130),"Escenario 1",IF(AND(R130-2&lt;=MIN(T130,V130),S130=U130),"Escenario 2","Escenario 3")),IF(MIN(T130,V130)&gt;R130,IF(AND(R130+2&gt;=MIN(T130,V130),S130=U130),"Escenario 7",IF(AND(R130+2&gt;=MIN(T130,V130),S130&lt;&gt;U130),"Escenario 6",IF(R130+5&lt;=MIN(T130,V130),"Escenario 9","Escenario 8"))),"error"))),"Falta info")</f>
        <v/>
      </c>
      <c r="Z130" s="98">
        <f>IFERROR(VLOOKUP(Y130,Base!$BJ$19:$BL$27,3,0),0)</f>
        <v/>
      </c>
      <c r="AA130" s="330" t="n"/>
      <c r="AB130" s="330" t="n"/>
      <c r="AC130" s="327" t="n"/>
      <c r="AD130" s="93" t="n"/>
      <c r="AE130" s="327" t="n"/>
      <c r="AF130" s="93" t="n"/>
      <c r="AG130" s="327" t="n"/>
      <c r="AH130" s="93" t="n"/>
      <c r="AI130" s="98">
        <f>IF(AB130="",IF(MIN(AC130,AE130,AG130)&gt;E130,"Si","No"),IF(MIN(AC130,AG130,AG130)&gt;AB130,"Si","No"))</f>
        <v/>
      </c>
      <c r="AJ130" s="328">
        <f>MIN(AC130,AE130,AG130)</f>
        <v/>
      </c>
      <c r="AK130" s="328">
        <f>IFERROR(IF(MIN(AF130,AH130)=AD130,IF(AE130=AG130,"Escenario 5","Escenario 4"),IF(MIN(AF130,AH130)&lt;AD130,IF(AND(AD130-2&lt;=MIN(AF130,AH130),AE130&lt;&gt;AG130),"Escenario 1",IF(AND(AD130-2&lt;=MIN(AF130,AH130),AE130=AG130),"Escenario 2","Escenario 3")),IF(MIN(AF130,AH130)&gt;AD130,IF(AND(AD130+2&gt;=MIN(AF130,AH130),AE130=AG130),"Escenario 7",IF(AND(AD130+2&gt;=MIN(AF130,AH130),AE130&lt;&gt;AG130),"Escenario 6",IF(AD130+5&lt;=MIN(AF130,AH130),"Escenario 9","Escenario 8"))),"error"))),"Falta info")</f>
        <v/>
      </c>
      <c r="AL130" s="98">
        <f>IFERROR(VLOOKUP(AK130,Base!$BJ$37:$BL$45,3,0),0)</f>
        <v/>
      </c>
      <c r="AM130" s="330">
        <f>IF(LOOKUP(AK130,Base!$X$8:$BG$8)=AK130,VLOOKUP(B130,Base!E:BG,AL130,0),0)</f>
        <v/>
      </c>
      <c r="AN130" s="330" t="e">
        <v>#N/A</v>
      </c>
      <c r="AP130" s="331">
        <f>IF(AM130&lt;=AA130,"REVISAR!","ok")</f>
        <v/>
      </c>
    </row>
    <row customHeight="1" ht="12.95" r="131" s="183" spans="1:43">
      <c r="B131" s="108" t="n"/>
      <c r="C131" s="89" t="n"/>
      <c r="D131" s="106">
        <f>VLOOKUP(B131,Base!E:G,3,0)</f>
        <v/>
      </c>
      <c r="E131" s="326" t="n"/>
      <c r="F131" s="91">
        <f>IFERROR(IF(VLOOKUP(B131,Detalle!$A:$AA,$F$1,0)=0,"Sin datos",IFERROR(VLOOKUP(B131,Detalle!$A:$AA,$F$1,0),"Sin datos")),"")</f>
        <v/>
      </c>
      <c r="G131" s="327">
        <f>IFERROR(IF(VLOOKUP(B131,Detalle!$A:$AA,$G$1,0)=0,"Sin datos",IFERROR(VLOOKUP(B131,Detalle!$A:$AA,$G$1,0),"Sin datos")),"")</f>
        <v/>
      </c>
      <c r="H131" s="93">
        <f>IFERROR(IF(VLOOKUP(B131,Detalle!$A:$AA,$H$1,0)=0,"Sin datos",IFERROR(VLOOKUP(B131,Detalle!$A:$AA,$H$1,0),"Sin datos")),"")</f>
        <v/>
      </c>
      <c r="I131" s="327">
        <f>IFERROR(IF(VLOOKUP(B131,Detalle!$A:$AA,$I$1,0)=0,"Sin datos",IFERROR(VLOOKUP(B131,Detalle!$A:$AA,$I$1,0),"Sin datos")),"")</f>
        <v/>
      </c>
      <c r="J131" s="93">
        <f>IFERROR(IF(VLOOKUP(B131,Detalle!$A:$AA,$J$1,0)=0,"Sin datos",IFERROR(VLOOKUP(B131,Detalle!$A:$AA,$J$1,0),"Sin datos")),"")</f>
        <v/>
      </c>
      <c r="K131" s="98" t="n"/>
      <c r="L131" s="328" t="n"/>
      <c r="M131" s="329">
        <f>IFERROR(IF(MIN(H131,J131)=F131,IF(G131=I131,"Escenario 5","Escenario 4"),IF(MIN(H131,J131)&lt;F131,IF(AND(F131-2&lt;=MIN(H131,J131),G131&lt;&gt;I131),"Escenario 1",IF(AND(F131-2&lt;=MIN(H131,J131),G131=I131),"Escenario 2","Escenario 3")),IF(MIN(H131,J131)&gt;F131,IF(AND(F131+2&gt;=MIN(H131,J131),G131=I131),"Escenario 7",IF(AND(F131+2&gt;=MIN(H131,J131),G131&lt;&gt;I131),"Escenario 6",IF(F131+5&lt;=MIN(H131,J131),"Escenario 9","Escenario 8"))),"error"))),"Falta info")</f>
        <v/>
      </c>
      <c r="N131" s="98">
        <f>IFERROR(VLOOKUP(M131,Base!$BJ$28:$BL$36,3,0),0)</f>
        <v/>
      </c>
      <c r="O131" s="330" t="n"/>
      <c r="P131" s="330" t="n"/>
      <c r="Q131" s="327" t="n"/>
      <c r="R131" s="93" t="n"/>
      <c r="S131" s="327" t="n"/>
      <c r="T131" s="93" t="n"/>
      <c r="U131" s="327" t="n"/>
      <c r="V131" s="93" t="n"/>
      <c r="W131" s="98" t="n"/>
      <c r="X131" s="328">
        <f>MIN(Q131,S131,U131)</f>
        <v/>
      </c>
      <c r="Y131" s="328">
        <f>IFERROR(IF(MIN(T131,V131)=R131,IF(S131=U131,"Escenario 5","Escenario 4"),IF(MIN(T131,V131)&lt;R131,IF(AND(R131-2&lt;=MIN(T131,V131),S131&lt;&gt;U131),"Escenario 1",IF(AND(R131-2&lt;=MIN(T131,V131),S131=U131),"Escenario 2","Escenario 3")),IF(MIN(T131,V131)&gt;R131,IF(AND(R131+2&gt;=MIN(T131,V131),S131=U131),"Escenario 7",IF(AND(R131+2&gt;=MIN(T131,V131),S131&lt;&gt;U131),"Escenario 6",IF(R131+5&lt;=MIN(T131,V131),"Escenario 9","Escenario 8"))),"error"))),"Falta info")</f>
        <v/>
      </c>
      <c r="Z131" s="98">
        <f>IFERROR(VLOOKUP(Y131,Base!$BJ$19:$BL$27,3,0),0)</f>
        <v/>
      </c>
      <c r="AA131" s="330" t="n"/>
      <c r="AB131" s="330" t="n"/>
      <c r="AC131" s="327" t="n"/>
      <c r="AD131" s="93" t="n"/>
      <c r="AE131" s="327" t="n"/>
      <c r="AF131" s="93" t="n"/>
      <c r="AG131" s="327" t="n"/>
      <c r="AH131" s="93" t="n"/>
      <c r="AI131" s="98">
        <f>IF(AB131="",IF(MIN(AC131,AE131,AG131)&gt;E131,"Si","No"),IF(MIN(AC131,AG131,AG131)&gt;AB131,"Si","No"))</f>
        <v/>
      </c>
      <c r="AJ131" s="328">
        <f>MIN(AC131,AE131,AG131)</f>
        <v/>
      </c>
      <c r="AK131" s="328">
        <f>IFERROR(IF(MIN(AF131,AH131)=AD131,IF(AE131=AG131,"Escenario 5","Escenario 4"),IF(MIN(AF131,AH131)&lt;AD131,IF(AND(AD131-2&lt;=MIN(AF131,AH131),AE131&lt;&gt;AG131),"Escenario 1",IF(AND(AD131-2&lt;=MIN(AF131,AH131),AE131=AG131),"Escenario 2","Escenario 3")),IF(MIN(AF131,AH131)&gt;AD131,IF(AND(AD131+2&gt;=MIN(AF131,AH131),AE131=AG131),"Escenario 7",IF(AND(AD131+2&gt;=MIN(AF131,AH131),AE131&lt;&gt;AG131),"Escenario 6",IF(AD131+5&lt;=MIN(AF131,AH131),"Escenario 9","Escenario 8"))),"error"))),"Falta info")</f>
        <v/>
      </c>
      <c r="AL131" s="98">
        <f>IFERROR(VLOOKUP(AK131,Base!$BJ$37:$BL$45,3,0),0)</f>
        <v/>
      </c>
      <c r="AM131" s="330">
        <f>IF(LOOKUP(AK131,Base!$X$8:$BG$8)=AK131,VLOOKUP(B131,Base!E:BG,AL131,0),0)</f>
        <v/>
      </c>
      <c r="AN131" s="330" t="e">
        <v>#N/A</v>
      </c>
      <c r="AP131" s="331">
        <f>IF(AM131&lt;=AA131,"REVISAR!","ok")</f>
        <v/>
      </c>
    </row>
    <row customHeight="1" ht="12.95" r="132" s="183" spans="1:43">
      <c r="B132" s="108" t="n"/>
      <c r="C132" s="89" t="n"/>
      <c r="D132" s="106">
        <f>VLOOKUP(B132,Base!E:G,3,0)</f>
        <v/>
      </c>
      <c r="E132" s="326" t="n"/>
      <c r="F132" s="91">
        <f>IFERROR(IF(VLOOKUP(B132,Detalle!$A:$AA,$F$1,0)=0,"Sin datos",IFERROR(VLOOKUP(B132,Detalle!$A:$AA,$F$1,0),"Sin datos")),"")</f>
        <v/>
      </c>
      <c r="G132" s="327">
        <f>IFERROR(IF(VLOOKUP(B132,Detalle!$A:$AA,$G$1,0)=0,"Sin datos",IFERROR(VLOOKUP(B132,Detalle!$A:$AA,$G$1,0),"Sin datos")),"")</f>
        <v/>
      </c>
      <c r="H132" s="93">
        <f>IFERROR(IF(VLOOKUP(B132,Detalle!$A:$AA,$H$1,0)=0,"Sin datos",IFERROR(VLOOKUP(B132,Detalle!$A:$AA,$H$1,0),"Sin datos")),"")</f>
        <v/>
      </c>
      <c r="I132" s="327">
        <f>IFERROR(IF(VLOOKUP(B132,Detalle!$A:$AA,$I$1,0)=0,"Sin datos",IFERROR(VLOOKUP(B132,Detalle!$A:$AA,$I$1,0),"Sin datos")),"")</f>
        <v/>
      </c>
      <c r="J132" s="93">
        <f>IFERROR(IF(VLOOKUP(B132,Detalle!$A:$AA,$J$1,0)=0,"Sin datos",IFERROR(VLOOKUP(B132,Detalle!$A:$AA,$J$1,0),"Sin datos")),"")</f>
        <v/>
      </c>
      <c r="K132" s="98" t="n"/>
      <c r="L132" s="328" t="n"/>
      <c r="M132" s="329">
        <f>IFERROR(IF(MIN(H132,J132)=F132,IF(G132=I132,"Escenario 5","Escenario 4"),IF(MIN(H132,J132)&lt;F132,IF(AND(F132-2&lt;=MIN(H132,J132),G132&lt;&gt;I132),"Escenario 1",IF(AND(F132-2&lt;=MIN(H132,J132),G132=I132),"Escenario 2","Escenario 3")),IF(MIN(H132,J132)&gt;F132,IF(AND(F132+2&gt;=MIN(H132,J132),G132=I132),"Escenario 7",IF(AND(F132+2&gt;=MIN(H132,J132),G132&lt;&gt;I132),"Escenario 6",IF(F132+5&lt;=MIN(H132,J132),"Escenario 9","Escenario 8"))),"error"))),"Falta info")</f>
        <v/>
      </c>
      <c r="N132" s="98">
        <f>IFERROR(VLOOKUP(M132,Base!$BJ$28:$BL$36,3,0),0)</f>
        <v/>
      </c>
      <c r="O132" s="330" t="n"/>
      <c r="P132" s="330" t="n"/>
      <c r="Q132" s="327" t="n"/>
      <c r="R132" s="93" t="n"/>
      <c r="S132" s="327" t="n"/>
      <c r="T132" s="93" t="n"/>
      <c r="U132" s="327" t="n"/>
      <c r="V132" s="93" t="n"/>
      <c r="W132" s="98" t="n"/>
      <c r="X132" s="328">
        <f>MIN(Q132,S132,U132)</f>
        <v/>
      </c>
      <c r="Y132" s="328">
        <f>IFERROR(IF(MIN(T132,V132)=R132,IF(S132=U132,"Escenario 5","Escenario 4"),IF(MIN(T132,V132)&lt;R132,IF(AND(R132-2&lt;=MIN(T132,V132),S132&lt;&gt;U132),"Escenario 1",IF(AND(R132-2&lt;=MIN(T132,V132),S132=U132),"Escenario 2","Escenario 3")),IF(MIN(T132,V132)&gt;R132,IF(AND(R132+2&gt;=MIN(T132,V132),S132=U132),"Escenario 7",IF(AND(R132+2&gt;=MIN(T132,V132),S132&lt;&gt;U132),"Escenario 6",IF(R132+5&lt;=MIN(T132,V132),"Escenario 9","Escenario 8"))),"error"))),"Falta info")</f>
        <v/>
      </c>
      <c r="Z132" s="98">
        <f>IFERROR(VLOOKUP(Y132,Base!$BJ$19:$BL$27,3,0),0)</f>
        <v/>
      </c>
      <c r="AA132" s="330" t="n"/>
      <c r="AB132" s="330" t="n"/>
      <c r="AC132" s="327" t="n"/>
      <c r="AD132" s="93" t="n"/>
      <c r="AE132" s="327" t="n"/>
      <c r="AF132" s="93" t="n"/>
      <c r="AG132" s="327" t="n"/>
      <c r="AH132" s="93" t="n"/>
      <c r="AI132" s="98">
        <f>IF(AB132="",IF(MIN(AC132,AE132,AG132)&gt;E132,"Si","No"),IF(MIN(AC132,AG132,AG132)&gt;AB132,"Si","No"))</f>
        <v/>
      </c>
      <c r="AJ132" s="328">
        <f>MIN(AC132,AE132,AG132)</f>
        <v/>
      </c>
      <c r="AK132" s="328">
        <f>IFERROR(IF(MIN(AF132,AH132)=AD132,IF(AE132=AG132,"Escenario 5","Escenario 4"),IF(MIN(AF132,AH132)&lt;AD132,IF(AND(AD132-2&lt;=MIN(AF132,AH132),AE132&lt;&gt;AG132),"Escenario 1",IF(AND(AD132-2&lt;=MIN(AF132,AH132),AE132=AG132),"Escenario 2","Escenario 3")),IF(MIN(AF132,AH132)&gt;AD132,IF(AND(AD132+2&gt;=MIN(AF132,AH132),AE132=AG132),"Escenario 7",IF(AND(AD132+2&gt;=MIN(AF132,AH132),AE132&lt;&gt;AG132),"Escenario 6",IF(AD132+5&lt;=MIN(AF132,AH132),"Escenario 9","Escenario 8"))),"error"))),"Falta info")</f>
        <v/>
      </c>
      <c r="AL132" s="98">
        <f>IFERROR(VLOOKUP(AK132,Base!$BJ$37:$BL$45,3,0),0)</f>
        <v/>
      </c>
      <c r="AM132" s="330">
        <f>IF(LOOKUP(AK132,Base!$X$8:$BG$8)=AK132,VLOOKUP(B132,Base!E:BG,AL132,0),0)</f>
        <v/>
      </c>
      <c r="AN132" s="330" t="e">
        <v>#N/A</v>
      </c>
      <c r="AP132" s="331">
        <f>IF(AM132&lt;=AA132,"REVISAR!","ok")</f>
        <v/>
      </c>
    </row>
    <row customHeight="1" ht="12.95" r="133" s="183" spans="1:43">
      <c r="B133" s="108" t="n"/>
      <c r="C133" s="89" t="n"/>
      <c r="D133" s="106">
        <f>VLOOKUP(B133,Base!E:G,3,0)</f>
        <v/>
      </c>
      <c r="E133" s="326" t="n"/>
      <c r="F133" s="91">
        <f>IFERROR(IF(VLOOKUP(B133,Detalle!$A:$AA,$F$1,0)=0,"Sin datos",IFERROR(VLOOKUP(B133,Detalle!$A:$AA,$F$1,0),"Sin datos")),"")</f>
        <v/>
      </c>
      <c r="G133" s="327">
        <f>IFERROR(IF(VLOOKUP(B133,Detalle!$A:$AA,$G$1,0)=0,"Sin datos",IFERROR(VLOOKUP(B133,Detalle!$A:$AA,$G$1,0),"Sin datos")),"")</f>
        <v/>
      </c>
      <c r="H133" s="93">
        <f>IFERROR(IF(VLOOKUP(B133,Detalle!$A:$AA,$H$1,0)=0,"Sin datos",IFERROR(VLOOKUP(B133,Detalle!$A:$AA,$H$1,0),"Sin datos")),"")</f>
        <v/>
      </c>
      <c r="I133" s="327">
        <f>IFERROR(IF(VLOOKUP(B133,Detalle!$A:$AA,$I$1,0)=0,"Sin datos",IFERROR(VLOOKUP(B133,Detalle!$A:$AA,$I$1,0),"Sin datos")),"")</f>
        <v/>
      </c>
      <c r="J133" s="93">
        <f>IFERROR(IF(VLOOKUP(B133,Detalle!$A:$AA,$J$1,0)=0,"Sin datos",IFERROR(VLOOKUP(B133,Detalle!$A:$AA,$J$1,0),"Sin datos")),"")</f>
        <v/>
      </c>
      <c r="K133" s="98" t="n"/>
      <c r="L133" s="328" t="n"/>
      <c r="M133" s="329">
        <f>IFERROR(IF(MIN(H133,J133)=F133,IF(G133=I133,"Escenario 5","Escenario 4"),IF(MIN(H133,J133)&lt;F133,IF(AND(F133-2&lt;=MIN(H133,J133),G133&lt;&gt;I133),"Escenario 1",IF(AND(F133-2&lt;=MIN(H133,J133),G133=I133),"Escenario 2","Escenario 3")),IF(MIN(H133,J133)&gt;F133,IF(AND(F133+2&gt;=MIN(H133,J133),G133=I133),"Escenario 7",IF(AND(F133+2&gt;=MIN(H133,J133),G133&lt;&gt;I133),"Escenario 6",IF(F133+5&lt;=MIN(H133,J133),"Escenario 9","Escenario 8"))),"error"))),"Falta info")</f>
        <v/>
      </c>
      <c r="N133" s="98">
        <f>IFERROR(VLOOKUP(M133,Base!$BJ$28:$BL$36,3,0),0)</f>
        <v/>
      </c>
      <c r="O133" s="330" t="n"/>
      <c r="P133" s="330" t="n"/>
      <c r="Q133" s="327" t="n"/>
      <c r="R133" s="93" t="n"/>
      <c r="S133" s="327" t="n"/>
      <c r="T133" s="93" t="n"/>
      <c r="U133" s="327" t="n"/>
      <c r="V133" s="93" t="n"/>
      <c r="W133" s="98" t="n"/>
      <c r="X133" s="328">
        <f>MIN(Q133,S133,U133)</f>
        <v/>
      </c>
      <c r="Y133" s="328">
        <f>IFERROR(IF(MIN(T133,V133)=R133,IF(S133=U133,"Escenario 5","Escenario 4"),IF(MIN(T133,V133)&lt;R133,IF(AND(R133-2&lt;=MIN(T133,V133),S133&lt;&gt;U133),"Escenario 1",IF(AND(R133-2&lt;=MIN(T133,V133),S133=U133),"Escenario 2","Escenario 3")),IF(MIN(T133,V133)&gt;R133,IF(AND(R133+2&gt;=MIN(T133,V133),S133=U133),"Escenario 7",IF(AND(R133+2&gt;=MIN(T133,V133),S133&lt;&gt;U133),"Escenario 6",IF(R133+5&lt;=MIN(T133,V133),"Escenario 9","Escenario 8"))),"error"))),"Falta info")</f>
        <v/>
      </c>
      <c r="Z133" s="98">
        <f>IFERROR(VLOOKUP(Y133,Base!$BJ$19:$BL$27,3,0),0)</f>
        <v/>
      </c>
      <c r="AA133" s="330" t="n"/>
      <c r="AB133" s="330" t="n"/>
      <c r="AC133" s="327" t="n"/>
      <c r="AD133" s="93" t="n"/>
      <c r="AE133" s="327" t="n"/>
      <c r="AF133" s="93" t="n"/>
      <c r="AG133" s="327" t="n"/>
      <c r="AH133" s="93" t="n"/>
      <c r="AI133" s="98">
        <f>IF(AB133="",IF(MIN(AC133,AE133,AG133)&gt;E133,"Si","No"),IF(MIN(AC133,AG133,AG133)&gt;AB133,"Si","No"))</f>
        <v/>
      </c>
      <c r="AJ133" s="328">
        <f>MIN(AC133,AE133,AG133)</f>
        <v/>
      </c>
      <c r="AK133" s="328">
        <f>IFERROR(IF(MIN(AF133,AH133)=AD133,IF(AE133=AG133,"Escenario 5","Escenario 4"),IF(MIN(AF133,AH133)&lt;AD133,IF(AND(AD133-2&lt;=MIN(AF133,AH133),AE133&lt;&gt;AG133),"Escenario 1",IF(AND(AD133-2&lt;=MIN(AF133,AH133),AE133=AG133),"Escenario 2","Escenario 3")),IF(MIN(AF133,AH133)&gt;AD133,IF(AND(AD133+2&gt;=MIN(AF133,AH133),AE133=AG133),"Escenario 7",IF(AND(AD133+2&gt;=MIN(AF133,AH133),AE133&lt;&gt;AG133),"Escenario 6",IF(AD133+5&lt;=MIN(AF133,AH133),"Escenario 9","Escenario 8"))),"error"))),"Falta info")</f>
        <v/>
      </c>
      <c r="AL133" s="98">
        <f>IFERROR(VLOOKUP(AK133,Base!$BJ$37:$BL$45,3,0),0)</f>
        <v/>
      </c>
      <c r="AM133" s="330">
        <f>IF(LOOKUP(AK133,Base!$X$8:$BG$8)=AK133,VLOOKUP(B133,Base!E:BG,AL133,0),0)</f>
        <v/>
      </c>
      <c r="AN133" s="330" t="e">
        <v>#N/A</v>
      </c>
      <c r="AP133" s="331">
        <f>IF(AM133&lt;=AA133,"REVISAR!","ok")</f>
        <v/>
      </c>
    </row>
    <row customHeight="1" ht="12.95" r="134" s="183" spans="1:43">
      <c r="B134" s="108" t="n"/>
      <c r="C134" s="89" t="n"/>
      <c r="D134" s="106">
        <f>VLOOKUP(B134,Base!E:G,3,0)</f>
        <v/>
      </c>
      <c r="E134" s="326" t="n"/>
      <c r="F134" s="91">
        <f>IFERROR(IF(VLOOKUP(B134,Detalle!$A:$AA,$F$1,0)=0,"Sin datos",IFERROR(VLOOKUP(B134,Detalle!$A:$AA,$F$1,0),"Sin datos")),"")</f>
        <v/>
      </c>
      <c r="G134" s="327">
        <f>IFERROR(IF(VLOOKUP(B134,Detalle!$A:$AA,$G$1,0)=0,"Sin datos",IFERROR(VLOOKUP(B134,Detalle!$A:$AA,$G$1,0),"Sin datos")),"")</f>
        <v/>
      </c>
      <c r="H134" s="93">
        <f>IFERROR(IF(VLOOKUP(B134,Detalle!$A:$AA,$H$1,0)=0,"Sin datos",IFERROR(VLOOKUP(B134,Detalle!$A:$AA,$H$1,0),"Sin datos")),"")</f>
        <v/>
      </c>
      <c r="I134" s="327">
        <f>IFERROR(IF(VLOOKUP(B134,Detalle!$A:$AA,$I$1,0)=0,"Sin datos",IFERROR(VLOOKUP(B134,Detalle!$A:$AA,$I$1,0),"Sin datos")),"")</f>
        <v/>
      </c>
      <c r="J134" s="93">
        <f>IFERROR(IF(VLOOKUP(B134,Detalle!$A:$AA,$J$1,0)=0,"Sin datos",IFERROR(VLOOKUP(B134,Detalle!$A:$AA,$J$1,0),"Sin datos")),"")</f>
        <v/>
      </c>
      <c r="K134" s="98" t="n"/>
      <c r="L134" s="328" t="n"/>
      <c r="M134" s="329">
        <f>IFERROR(IF(MIN(H134,J134)=F134,IF(G134=I134,"Escenario 5","Escenario 4"),IF(MIN(H134,J134)&lt;F134,IF(AND(F134-2&lt;=MIN(H134,J134),G134&lt;&gt;I134),"Escenario 1",IF(AND(F134-2&lt;=MIN(H134,J134),G134=I134),"Escenario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/>
      </c>
      <c r="N134" s="98">
        <f>IFERROR(VLOOKUP(M134,Base!$BJ$28:$BL$36,3,0),0)</f>
        <v/>
      </c>
      <c r="O134" s="330" t="n"/>
      <c r="P134" s="330" t="n"/>
      <c r="Q134" s="327" t="n"/>
      <c r="R134" s="93" t="n"/>
      <c r="S134" s="327" t="n"/>
      <c r="T134" s="93" t="n"/>
      <c r="U134" s="327" t="n"/>
      <c r="V134" s="93" t="n"/>
      <c r="W134" s="98" t="n"/>
      <c r="X134" s="328">
        <f>MIN(Q134,S134,U134)</f>
        <v/>
      </c>
      <c r="Y134" s="328">
        <f>IFERROR(IF(MIN(T134,V134)=R134,IF(S134=U134,"Escenario 5","Escenario 4"),IF(MIN(T134,V134)&lt;R134,IF(AND(R134-2&lt;=MIN(T134,V134),S134&lt;&gt;U134),"Escenario 1",IF(AND(R134-2&lt;=MIN(T134,V134),S134=U134),"Escenario 2","Escenario 3")),IF(MIN(T134,V134)&gt;R134,IF(AND(R134+2&gt;=MIN(T134,V134),S134=U134),"Escenario 7",IF(AND(R134+2&gt;=MIN(T134,V134),S134&lt;&gt;U134),"Escenario 6",IF(R134+5&lt;=MIN(T134,V134),"Escenario 9","Escenario 8"))),"error"))),"Falta info")</f>
        <v/>
      </c>
      <c r="Z134" s="98">
        <f>IFERROR(VLOOKUP(Y134,Base!$BJ$19:$BL$27,3,0),0)</f>
        <v/>
      </c>
      <c r="AA134" s="330" t="n"/>
      <c r="AB134" s="330" t="n"/>
      <c r="AC134" s="327" t="n"/>
      <c r="AD134" s="93" t="n"/>
      <c r="AE134" s="327" t="n"/>
      <c r="AF134" s="93" t="n"/>
      <c r="AG134" s="327" t="n"/>
      <c r="AH134" s="93" t="n"/>
      <c r="AI134" s="98">
        <f>IF(AB134="",IF(MIN(AC134,AE134,AG134)&gt;E134,"Si","No"),IF(MIN(AC134,AG134,AG134)&gt;AB134,"Si","No"))</f>
        <v/>
      </c>
      <c r="AJ134" s="328">
        <f>MIN(AC134,AE134,AG134)</f>
        <v/>
      </c>
      <c r="AK134" s="328">
        <f>IFERROR(IF(MIN(AF134,AH134)=AD134,IF(AE134=AG134,"Escenario 5","Escenario 4"),IF(MIN(AF134,AH134)&lt;AD134,IF(AND(AD134-2&lt;=MIN(AF134,AH134),AE134&lt;&gt;AG134),"Escenario 1",IF(AND(AD134-2&lt;=MIN(AF134,AH134),AE134=AG134),"Escenario 2","Escenario 3")),IF(MIN(AF134,AH134)&gt;AD134,IF(AND(AD134+2&gt;=MIN(AF134,AH134),AE134=AG134),"Escenario 7",IF(AND(AD134+2&gt;=MIN(AF134,AH134),AE134&lt;&gt;AG134),"Escenario 6",IF(AD134+5&lt;=MIN(AF134,AH134),"Escenario 9","Escenario 8"))),"error"))),"Falta info")</f>
        <v/>
      </c>
      <c r="AL134" s="98">
        <f>IFERROR(VLOOKUP(AK134,Base!$BJ$37:$BL$45,3,0),0)</f>
        <v/>
      </c>
      <c r="AM134" s="330">
        <f>IF(LOOKUP(AK134,Base!$X$8:$BG$8)=AK134,VLOOKUP(B134,Base!E:BG,AL134,0),0)</f>
        <v/>
      </c>
      <c r="AN134" s="330" t="e">
        <v>#N/A</v>
      </c>
      <c r="AP134" s="331">
        <f>IF(AM134&lt;=AA134,"REVISAR!","ok")</f>
        <v/>
      </c>
    </row>
    <row customHeight="1" ht="12.95" r="135" s="183" spans="1:43">
      <c r="B135" s="108" t="n"/>
      <c r="C135" s="89" t="n"/>
      <c r="D135" s="106">
        <f>VLOOKUP(B135,Base!E:G,3,0)</f>
        <v/>
      </c>
      <c r="E135" s="326" t="n"/>
      <c r="F135" s="91">
        <f>IFERROR(IF(VLOOKUP(B135,Detalle!$A:$AA,$F$1,0)=0,"Sin datos",IFERROR(VLOOKUP(B135,Detalle!$A:$AA,$F$1,0),"Sin datos")),"")</f>
        <v/>
      </c>
      <c r="G135" s="327">
        <f>IFERROR(IF(VLOOKUP(B135,Detalle!$A:$AA,$G$1,0)=0,"Sin datos",IFERROR(VLOOKUP(B135,Detalle!$A:$AA,$G$1,0),"Sin datos")),"")</f>
        <v/>
      </c>
      <c r="H135" s="93">
        <f>IFERROR(IF(VLOOKUP(B135,Detalle!$A:$AA,$H$1,0)=0,"Sin datos",IFERROR(VLOOKUP(B135,Detalle!$A:$AA,$H$1,0),"Sin datos")),"")</f>
        <v/>
      </c>
      <c r="I135" s="327">
        <f>IFERROR(IF(VLOOKUP(B135,Detalle!$A:$AA,$I$1,0)=0,"Sin datos",IFERROR(VLOOKUP(B135,Detalle!$A:$AA,$I$1,0),"Sin datos")),"")</f>
        <v/>
      </c>
      <c r="J135" s="93">
        <f>IFERROR(IF(VLOOKUP(B135,Detalle!$A:$AA,$J$1,0)=0,"Sin datos",IFERROR(VLOOKUP(B135,Detalle!$A:$AA,$J$1,0),"Sin datos")),"")</f>
        <v/>
      </c>
      <c r="K135" s="98" t="n"/>
      <c r="L135" s="328" t="n"/>
      <c r="M135" s="329">
        <f>IFERROR(IF(MIN(H135,J135)=F135,IF(G135=I135,"Escenario 5","Escenario 4"),IF(MIN(H135,J135)&lt;F135,IF(AND(F135-2&lt;=MIN(H135,J135),G135&lt;&gt;I135),"Escenario 1",IF(AND(F135-2&lt;=MIN(H135,J135),G135=I135),"Escenario 2","Escenario 3")),IF(MIN(H135,J135)&gt;F135,IF(AND(F135+2&gt;=MIN(H135,J135),G135=I135),"Escenario 7",IF(AND(F135+2&gt;=MIN(H135,J135),G135&lt;&gt;I135),"Escenario 6",IF(F135+5&lt;=MIN(H135,J135),"Escenario 9","Escenario 8"))),"error"))),"Falta info")</f>
        <v/>
      </c>
      <c r="N135" s="98">
        <f>IFERROR(VLOOKUP(M135,Base!$BJ$28:$BL$36,3,0),0)</f>
        <v/>
      </c>
      <c r="O135" s="330" t="n"/>
      <c r="P135" s="330" t="n"/>
      <c r="Q135" s="327" t="n"/>
      <c r="R135" s="93" t="n"/>
      <c r="S135" s="327" t="n"/>
      <c r="T135" s="93" t="n"/>
      <c r="U135" s="327" t="n"/>
      <c r="V135" s="93" t="n"/>
      <c r="W135" s="98" t="n"/>
      <c r="X135" s="328">
        <f>MIN(Q135,S135,U135)</f>
        <v/>
      </c>
      <c r="Y135" s="328">
        <f>IFERROR(IF(MIN(T135,V135)=R135,IF(S135=U135,"Escenario 5","Escenario 4"),IF(MIN(T135,V135)&lt;R135,IF(AND(R135-2&lt;=MIN(T135,V135),S135&lt;&gt;U135),"Escenario 1",IF(AND(R135-2&lt;=MIN(T135,V135),S135=U135),"Escenario 2","Escenario 3")),IF(MIN(T135,V135)&gt;R135,IF(AND(R135+2&gt;=MIN(T135,V135),S135=U135),"Escenario 7",IF(AND(R135+2&gt;=MIN(T135,V135),S135&lt;&gt;U135),"Escenario 6",IF(R135+5&lt;=MIN(T135,V135),"Escenario 9","Escenario 8"))),"error"))),"Falta info")</f>
        <v/>
      </c>
      <c r="Z135" s="98">
        <f>IFERROR(VLOOKUP(Y135,Base!$BJ$19:$BL$27,3,0),0)</f>
        <v/>
      </c>
      <c r="AA135" s="330" t="n"/>
      <c r="AB135" s="330" t="n"/>
      <c r="AC135" s="327" t="n"/>
      <c r="AD135" s="93" t="n"/>
      <c r="AE135" s="327" t="n"/>
      <c r="AF135" s="93" t="n"/>
      <c r="AG135" s="327" t="n"/>
      <c r="AH135" s="93" t="n"/>
      <c r="AI135" s="98">
        <f>IF(AB135="",IF(MIN(AC135,AE135,AG135)&gt;E135,"Si","No"),IF(MIN(AC135,AG135,AG135)&gt;AB135,"Si","No"))</f>
        <v/>
      </c>
      <c r="AJ135" s="328">
        <f>MIN(AC135,AE135,AG135)</f>
        <v/>
      </c>
      <c r="AK135" s="328">
        <f>IFERROR(IF(MIN(AF135,AH135)=AD135,IF(AE135=AG135,"Escenario 5","Escenario 4"),IF(MIN(AF135,AH135)&lt;AD135,IF(AND(AD135-2&lt;=MIN(AF135,AH135),AE135&lt;&gt;AG135),"Escenario 1",IF(AND(AD135-2&lt;=MIN(AF135,AH135),AE135=AG135),"Escenario 2","Escenario 3")),IF(MIN(AF135,AH135)&gt;AD135,IF(AND(AD135+2&gt;=MIN(AF135,AH135),AE135=AG135),"Escenario 7",IF(AND(AD135+2&gt;=MIN(AF135,AH135),AE135&lt;&gt;AG135),"Escenario 6",IF(AD135+5&lt;=MIN(AF135,AH135),"Escenario 9","Escenario 8"))),"error"))),"Falta info")</f>
        <v/>
      </c>
      <c r="AL135" s="98">
        <f>IFERROR(VLOOKUP(AK135,Base!$BJ$37:$BL$45,3,0),0)</f>
        <v/>
      </c>
      <c r="AM135" s="330">
        <f>IF(LOOKUP(AK135,Base!$X$8:$BG$8)=AK135,VLOOKUP(B135,Base!E:BG,AL135,0),0)</f>
        <v/>
      </c>
      <c r="AN135" s="330" t="e">
        <v>#N/A</v>
      </c>
      <c r="AP135" s="331">
        <f>IF(AM135&lt;=AA135,"REVISAR!","ok")</f>
        <v/>
      </c>
    </row>
    <row customHeight="1" ht="12.95" r="136" s="183" spans="1:43">
      <c r="B136" s="108" t="n"/>
      <c r="C136" s="89" t="n"/>
      <c r="D136" s="106">
        <f>VLOOKUP(B136,Base!E:G,3,0)</f>
        <v/>
      </c>
      <c r="E136" s="326" t="n"/>
      <c r="F136" s="91">
        <f>IFERROR(IF(VLOOKUP(B136,Detalle!$A:$AA,$F$1,0)=0,"Sin datos",IFERROR(VLOOKUP(B136,Detalle!$A:$AA,$F$1,0),"Sin datos")),"")</f>
        <v/>
      </c>
      <c r="G136" s="327">
        <f>IFERROR(IF(VLOOKUP(B136,Detalle!$A:$AA,$G$1,0)=0,"Sin datos",IFERROR(VLOOKUP(B136,Detalle!$A:$AA,$G$1,0),"Sin datos")),"")</f>
        <v/>
      </c>
      <c r="H136" s="93">
        <f>IFERROR(IF(VLOOKUP(B136,Detalle!$A:$AA,$H$1,0)=0,"Sin datos",IFERROR(VLOOKUP(B136,Detalle!$A:$AA,$H$1,0),"Sin datos")),"")</f>
        <v/>
      </c>
      <c r="I136" s="327">
        <f>IFERROR(IF(VLOOKUP(B136,Detalle!$A:$AA,$I$1,0)=0,"Sin datos",IFERROR(VLOOKUP(B136,Detalle!$A:$AA,$I$1,0),"Sin datos")),"")</f>
        <v/>
      </c>
      <c r="J136" s="93">
        <f>IFERROR(IF(VLOOKUP(B136,Detalle!$A:$AA,$J$1,0)=0,"Sin datos",IFERROR(VLOOKUP(B136,Detalle!$A:$AA,$J$1,0),"Sin datos")),"")</f>
        <v/>
      </c>
      <c r="K136" s="98" t="n"/>
      <c r="L136" s="328" t="n"/>
      <c r="M136" s="329">
        <f>IFERROR(IF(MIN(H136,J136)=F136,IF(G136=I136,"Escenario 5","Escenario 4"),IF(MIN(H136,J136)&lt;F136,IF(AND(F136-2&lt;=MIN(H136,J136),G136&lt;&gt;I136),"Escenario 1",IF(AND(F136-2&lt;=MIN(H136,J136),G136=I136),"Escenario 2","Escenario 3")),IF(MIN(H136,J136)&gt;F136,IF(AND(F136+2&gt;=MIN(H136,J136),G136=I136),"Escenario 7",IF(AND(F136+2&gt;=MIN(H136,J136),G136&lt;&gt;I136),"Escenario 6",IF(F136+5&lt;=MIN(H136,J136),"Escenario 9","Escenario 8"))),"error"))),"Falta info")</f>
        <v/>
      </c>
      <c r="N136" s="98">
        <f>IFERROR(VLOOKUP(M136,Base!$BJ$28:$BL$36,3,0),0)</f>
        <v/>
      </c>
      <c r="O136" s="330" t="n"/>
      <c r="P136" s="330" t="n"/>
      <c r="Q136" s="327" t="n"/>
      <c r="R136" s="93" t="n"/>
      <c r="S136" s="327" t="n"/>
      <c r="T136" s="93" t="n"/>
      <c r="U136" s="327" t="n"/>
      <c r="V136" s="93" t="n"/>
      <c r="W136" s="98" t="n"/>
      <c r="X136" s="328">
        <f>MIN(Q136,S136,U136)</f>
        <v/>
      </c>
      <c r="Y136" s="328">
        <f>IFERROR(IF(MIN(T136,V136)=R136,IF(S136=U136,"Escenario 5","Escenario 4"),IF(MIN(T136,V136)&lt;R136,IF(AND(R136-2&lt;=MIN(T136,V136),S136&lt;&gt;U136),"Escenario 1",IF(AND(R136-2&lt;=MIN(T136,V136),S136=U136),"Escenario 2","Escenario 3")),IF(MIN(T136,V136)&gt;R136,IF(AND(R136+2&gt;=MIN(T136,V136),S136=U136),"Escenario 7",IF(AND(R136+2&gt;=MIN(T136,V136),S136&lt;&gt;U136),"Escenario 6",IF(R136+5&lt;=MIN(T136,V136),"Escenario 9","Escenario 8"))),"error"))),"Falta info")</f>
        <v/>
      </c>
      <c r="Z136" s="98">
        <f>IFERROR(VLOOKUP(Y136,Base!$BJ$19:$BL$27,3,0),0)</f>
        <v/>
      </c>
      <c r="AA136" s="330" t="n"/>
      <c r="AB136" s="330" t="n"/>
      <c r="AC136" s="327" t="n"/>
      <c r="AD136" s="93" t="n"/>
      <c r="AE136" s="327" t="n"/>
      <c r="AF136" s="93" t="n"/>
      <c r="AG136" s="327" t="n"/>
      <c r="AH136" s="93" t="n"/>
      <c r="AI136" s="98">
        <f>IF(AB136="",IF(MIN(AC136,AE136,AG136)&gt;E136,"Si","No"),IF(MIN(AC136,AG136,AG136)&gt;AB136,"Si","No"))</f>
        <v/>
      </c>
      <c r="AJ136" s="328">
        <f>MIN(AC136,AE136,AG136)</f>
        <v/>
      </c>
      <c r="AK136" s="328">
        <f>IFERROR(IF(MIN(AF136,AH136)=AD136,IF(AE136=AG136,"Escenario 5","Escenario 4"),IF(MIN(AF136,AH136)&lt;AD136,IF(AND(AD136-2&lt;=MIN(AF136,AH136),AE136&lt;&gt;AG136),"Escenario 1",IF(AND(AD136-2&lt;=MIN(AF136,AH136),AE136=AG136),"Escenario 2","Escenario 3")),IF(MIN(AF136,AH136)&gt;AD136,IF(AND(AD136+2&gt;=MIN(AF136,AH136),AE136=AG136),"Escenario 7",IF(AND(AD136+2&gt;=MIN(AF136,AH136),AE136&lt;&gt;AG136),"Escenario 6",IF(AD136+5&lt;=MIN(AF136,AH136),"Escenario 9","Escenario 8"))),"error"))),"Falta info")</f>
        <v/>
      </c>
      <c r="AL136" s="98">
        <f>IFERROR(VLOOKUP(AK136,Base!$BJ$37:$BL$45,3,0),0)</f>
        <v/>
      </c>
      <c r="AM136" s="330">
        <f>IF(LOOKUP(AK136,Base!$X$8:$BG$8)=AK136,VLOOKUP(B136,Base!E:BG,AL136,0),0)</f>
        <v/>
      </c>
      <c r="AN136" s="330" t="e">
        <v>#N/A</v>
      </c>
      <c r="AP136" s="331">
        <f>IF(AM136&lt;=AA136,"REVISAR!","ok")</f>
        <v/>
      </c>
    </row>
    <row customHeight="1" ht="12.95" r="137" s="183" spans="1:43">
      <c r="B137" s="108" t="n"/>
      <c r="C137" s="89" t="n"/>
      <c r="D137" s="106">
        <f>VLOOKUP(B137,Base!E:G,3,0)</f>
        <v/>
      </c>
      <c r="E137" s="326" t="n"/>
      <c r="F137" s="91">
        <f>IFERROR(IF(VLOOKUP(B137,Detalle!$A:$AA,$F$1,0)=0,"Sin datos",IFERROR(VLOOKUP(B137,Detalle!$A:$AA,$F$1,0),"Sin datos")),"")</f>
        <v/>
      </c>
      <c r="G137" s="327">
        <f>IFERROR(IF(VLOOKUP(B137,Detalle!$A:$AA,$G$1,0)=0,"Sin datos",IFERROR(VLOOKUP(B137,Detalle!$A:$AA,$G$1,0),"Sin datos")),"")</f>
        <v/>
      </c>
      <c r="H137" s="93">
        <f>IFERROR(IF(VLOOKUP(B137,Detalle!$A:$AA,$H$1,0)=0,"Sin datos",IFERROR(VLOOKUP(B137,Detalle!$A:$AA,$H$1,0),"Sin datos")),"")</f>
        <v/>
      </c>
      <c r="I137" s="327">
        <f>IFERROR(IF(VLOOKUP(B137,Detalle!$A:$AA,$I$1,0)=0,"Sin datos",IFERROR(VLOOKUP(B137,Detalle!$A:$AA,$I$1,0),"Sin datos")),"")</f>
        <v/>
      </c>
      <c r="J137" s="93">
        <f>IFERROR(IF(VLOOKUP(B137,Detalle!$A:$AA,$J$1,0)=0,"Sin datos",IFERROR(VLOOKUP(B137,Detalle!$A:$AA,$J$1,0),"Sin datos")),"")</f>
        <v/>
      </c>
      <c r="K137" s="98" t="n"/>
      <c r="L137" s="328" t="n"/>
      <c r="M137" s="329">
        <f>IFERROR(IF(MIN(H137,J137)=F137,IF(G137=I137,"Escenario 5","Escenario 4"),IF(MIN(H137,J137)&lt;F137,IF(AND(F137-2&lt;=MIN(H137,J137),G137&lt;&gt;I137),"Escenario 1",IF(AND(F137-2&lt;=MIN(H137,J137),G137=I137),"Escenario 2","Escenario 3")),IF(MIN(H137,J137)&gt;F137,IF(AND(F137+2&gt;=MIN(H137,J137),G137=I137),"Escenario 7",IF(AND(F137+2&gt;=MIN(H137,J137),G137&lt;&gt;I137),"Escenario 6",IF(F137+5&lt;=MIN(H137,J137),"Escenario 9","Escenario 8"))),"error"))),"Falta info")</f>
        <v/>
      </c>
      <c r="N137" s="98">
        <f>IFERROR(VLOOKUP(M137,Base!$BJ$28:$BL$36,3,0),0)</f>
        <v/>
      </c>
      <c r="O137" s="330" t="n"/>
      <c r="P137" s="330" t="n"/>
      <c r="Q137" s="327" t="n"/>
      <c r="R137" s="93" t="n"/>
      <c r="S137" s="327" t="n"/>
      <c r="T137" s="93" t="n"/>
      <c r="U137" s="327" t="n"/>
      <c r="V137" s="93" t="n"/>
      <c r="W137" s="98" t="n"/>
      <c r="X137" s="328">
        <f>MIN(Q137,S137,U137)</f>
        <v/>
      </c>
      <c r="Y137" s="328">
        <f>IFERROR(IF(MIN(T137,V137)=R137,IF(S137=U137,"Escenario 5","Escenario 4"),IF(MIN(T137,V137)&lt;R137,IF(AND(R137-2&lt;=MIN(T137,V137),S137&lt;&gt;U137),"Escenario 1",IF(AND(R137-2&lt;=MIN(T137,V137),S137=U137),"Escenario 2","Escenario 3")),IF(MIN(T137,V137)&gt;R137,IF(AND(R137+2&gt;=MIN(T137,V137),S137=U137),"Escenario 7",IF(AND(R137+2&gt;=MIN(T137,V137),S137&lt;&gt;U137),"Escenario 6",IF(R137+5&lt;=MIN(T137,V137),"Escenario 9","Escenario 8"))),"error"))),"Falta info")</f>
        <v/>
      </c>
      <c r="Z137" s="98">
        <f>IFERROR(VLOOKUP(Y137,Base!$BJ$19:$BL$27,3,0),0)</f>
        <v/>
      </c>
      <c r="AA137" s="330" t="n"/>
      <c r="AB137" s="330" t="n"/>
      <c r="AC137" s="327" t="n"/>
      <c r="AD137" s="93" t="n"/>
      <c r="AE137" s="327" t="n"/>
      <c r="AF137" s="93" t="n"/>
      <c r="AG137" s="327" t="n"/>
      <c r="AH137" s="93" t="n"/>
      <c r="AI137" s="98">
        <f>IF(AB137="",IF(MIN(AC137,AE137,AG137)&gt;E137,"Si","No"),IF(MIN(AC137,AG137,AG137)&gt;AB137,"Si","No"))</f>
        <v/>
      </c>
      <c r="AJ137" s="328">
        <f>MIN(AC137,AE137,AG137)</f>
        <v/>
      </c>
      <c r="AK137" s="328">
        <f>IFERROR(IF(MIN(AF137,AH137)=AD137,IF(AE137=AG137,"Escenario 5","Escenario 4"),IF(MIN(AF137,AH137)&lt;AD137,IF(AND(AD137-2&lt;=MIN(AF137,AH137),AE137&lt;&gt;AG137),"Escenario 1",IF(AND(AD137-2&lt;=MIN(AF137,AH137),AE137=AG137),"Escenario 2","Escenario 3")),IF(MIN(AF137,AH137)&gt;AD137,IF(AND(AD137+2&gt;=MIN(AF137,AH137),AE137=AG137),"Escenario 7",IF(AND(AD137+2&gt;=MIN(AF137,AH137),AE137&lt;&gt;AG137),"Escenario 6",IF(AD137+5&lt;=MIN(AF137,AH137),"Escenario 9","Escenario 8"))),"error"))),"Falta info")</f>
        <v/>
      </c>
      <c r="AL137" s="98">
        <f>IFERROR(VLOOKUP(AK137,Base!$BJ$37:$BL$45,3,0),0)</f>
        <v/>
      </c>
      <c r="AM137" s="330">
        <f>IF(LOOKUP(AK137,Base!$X$8:$BG$8)=AK137,VLOOKUP(B137,Base!E:BG,AL137,0),0)</f>
        <v/>
      </c>
      <c r="AN137" s="330" t="e">
        <v>#N/A</v>
      </c>
      <c r="AP137" s="331">
        <f>IF(AM137&lt;=AA137,"REVISAR!","ok")</f>
        <v/>
      </c>
    </row>
    <row customHeight="1" ht="12.95" r="138" s="183" spans="1:43">
      <c r="B138" s="108" t="n"/>
      <c r="C138" s="89" t="n"/>
      <c r="D138" s="106">
        <f>VLOOKUP(B138,Base!E:G,3,0)</f>
        <v/>
      </c>
      <c r="E138" s="326" t="n"/>
      <c r="F138" s="91">
        <f>IFERROR(IF(VLOOKUP(B138,Detalle!$A:$AA,$F$1,0)=0,"Sin datos",IFERROR(VLOOKUP(B138,Detalle!$A:$AA,$F$1,0),"Sin datos")),"")</f>
        <v/>
      </c>
      <c r="G138" s="327">
        <f>IFERROR(IF(VLOOKUP(B138,Detalle!$A:$AA,$G$1,0)=0,"Sin datos",IFERROR(VLOOKUP(B138,Detalle!$A:$AA,$G$1,0),"Sin datos")),"")</f>
        <v/>
      </c>
      <c r="H138" s="93">
        <f>IFERROR(IF(VLOOKUP(B138,Detalle!$A:$AA,$H$1,0)=0,"Sin datos",IFERROR(VLOOKUP(B138,Detalle!$A:$AA,$H$1,0),"Sin datos")),"")</f>
        <v/>
      </c>
      <c r="I138" s="327">
        <f>IFERROR(IF(VLOOKUP(B138,Detalle!$A:$AA,$I$1,0)=0,"Sin datos",IFERROR(VLOOKUP(B138,Detalle!$A:$AA,$I$1,0),"Sin datos")),"")</f>
        <v/>
      </c>
      <c r="J138" s="93">
        <f>IFERROR(IF(VLOOKUP(B138,Detalle!$A:$AA,$J$1,0)=0,"Sin datos",IFERROR(VLOOKUP(B138,Detalle!$A:$AA,$J$1,0),"Sin datos")),"")</f>
        <v/>
      </c>
      <c r="K138" s="98" t="n"/>
      <c r="L138" s="328" t="n"/>
      <c r="M138" s="329">
        <f>IFERROR(IF(MIN(H138,J138)=F138,IF(G138=I138,"Escenario 5","Escenario 4"),IF(MIN(H138,J138)&lt;F138,IF(AND(F138-2&lt;=MIN(H138,J138),G138&lt;&gt;I138),"Escenario 1",IF(AND(F138-2&lt;=MIN(H138,J138),G138=I138),"Escenario 2","Escenario 3")),IF(MIN(H138,J138)&gt;F138,IF(AND(F138+2&gt;=MIN(H138,J138),G138=I138),"Escenario 7",IF(AND(F138+2&gt;=MIN(H138,J138),G138&lt;&gt;I138),"Escenario 6",IF(F138+5&lt;=MIN(H138,J138),"Escenario 9","Escenario 8"))),"error"))),"Falta info")</f>
        <v/>
      </c>
      <c r="N138" s="98">
        <f>IFERROR(VLOOKUP(M138,Base!$BJ$28:$BL$36,3,0),0)</f>
        <v/>
      </c>
      <c r="O138" s="330" t="n"/>
      <c r="P138" s="330" t="n"/>
      <c r="Q138" s="327" t="n"/>
      <c r="R138" s="93" t="n"/>
      <c r="S138" s="327" t="n"/>
      <c r="T138" s="93" t="n"/>
      <c r="U138" s="327" t="n"/>
      <c r="V138" s="93" t="n"/>
      <c r="W138" s="98" t="n"/>
      <c r="X138" s="328">
        <f>MIN(Q138,S138,U138)</f>
        <v/>
      </c>
      <c r="Y138" s="328">
        <f>IFERROR(IF(MIN(T138,V138)=R138,IF(S138=U138,"Escenario 5","Escenario 4"),IF(MIN(T138,V138)&lt;R138,IF(AND(R138-2&lt;=MIN(T138,V138),S138&lt;&gt;U138),"Escenario 1",IF(AND(R138-2&lt;=MIN(T138,V138),S138=U138),"Escenario 2","Escenario 3")),IF(MIN(T138,V138)&gt;R138,IF(AND(R138+2&gt;=MIN(T138,V138),S138=U138),"Escenario 7",IF(AND(R138+2&gt;=MIN(T138,V138),S138&lt;&gt;U138),"Escenario 6",IF(R138+5&lt;=MIN(T138,V138),"Escenario 9","Escenario 8"))),"error"))),"Falta info")</f>
        <v/>
      </c>
      <c r="Z138" s="98">
        <f>IFERROR(VLOOKUP(Y138,Base!$BJ$19:$BL$27,3,0),0)</f>
        <v/>
      </c>
      <c r="AA138" s="330" t="n"/>
      <c r="AB138" s="330" t="n"/>
      <c r="AC138" s="327" t="n"/>
      <c r="AD138" s="93" t="n"/>
      <c r="AE138" s="327" t="n"/>
      <c r="AF138" s="93" t="n"/>
      <c r="AG138" s="327" t="n"/>
      <c r="AH138" s="93" t="n"/>
      <c r="AI138" s="98">
        <f>IF(AB138="",IF(MIN(AC138,AE138,AG138)&gt;E138,"Si","No"),IF(MIN(AC138,AG138,AG138)&gt;AB138,"Si","No"))</f>
        <v/>
      </c>
      <c r="AJ138" s="328">
        <f>MIN(AC138,AE138,AG138)</f>
        <v/>
      </c>
      <c r="AK138" s="328">
        <f>IFERROR(IF(MIN(AF138,AH138)=AD138,IF(AE138=AG138,"Escenario 5","Escenario 4"),IF(MIN(AF138,AH138)&lt;AD138,IF(AND(AD138-2&lt;=MIN(AF138,AH138),AE138&lt;&gt;AG138),"Escenario 1",IF(AND(AD138-2&lt;=MIN(AF138,AH138),AE138=AG138),"Escenario 2","Escenario 3")),IF(MIN(AF138,AH138)&gt;AD138,IF(AND(AD138+2&gt;=MIN(AF138,AH138),AE138=AG138),"Escenario 7",IF(AND(AD138+2&gt;=MIN(AF138,AH138),AE138&lt;&gt;AG138),"Escenario 6",IF(AD138+5&lt;=MIN(AF138,AH138),"Escenario 9","Escenario 8"))),"error"))),"Falta info")</f>
        <v/>
      </c>
      <c r="AL138" s="98">
        <f>IFERROR(VLOOKUP(AK138,Base!$BJ$37:$BL$45,3,0),0)</f>
        <v/>
      </c>
      <c r="AM138" s="330">
        <f>IF(LOOKUP(AK138,Base!$X$8:$BG$8)=AK138,VLOOKUP(B138,Base!E:BG,AL138,0),0)</f>
        <v/>
      </c>
      <c r="AN138" s="330" t="e">
        <v>#N/A</v>
      </c>
      <c r="AP138" s="331">
        <f>IF(AM138&lt;=AA138,"REVISAR!","ok")</f>
        <v/>
      </c>
    </row>
    <row customHeight="1" ht="12.95" r="139" s="183" spans="1:43">
      <c r="B139" s="108" t="n"/>
      <c r="C139" s="89" t="n"/>
      <c r="D139" s="106">
        <f>VLOOKUP(B139,Base!E:G,3,0)</f>
        <v/>
      </c>
      <c r="E139" s="326" t="n"/>
      <c r="F139" s="91">
        <f>IFERROR(IF(VLOOKUP(B139,Detalle!$A:$AA,$F$1,0)=0,"Sin datos",IFERROR(VLOOKUP(B139,Detalle!$A:$AA,$F$1,0),"Sin datos")),"")</f>
        <v/>
      </c>
      <c r="G139" s="327">
        <f>IFERROR(IF(VLOOKUP(B139,Detalle!$A:$AA,$G$1,0)=0,"Sin datos",IFERROR(VLOOKUP(B139,Detalle!$A:$AA,$G$1,0),"Sin datos")),"")</f>
        <v/>
      </c>
      <c r="H139" s="93">
        <f>IFERROR(IF(VLOOKUP(B139,Detalle!$A:$AA,$H$1,0)=0,"Sin datos",IFERROR(VLOOKUP(B139,Detalle!$A:$AA,$H$1,0),"Sin datos")),"")</f>
        <v/>
      </c>
      <c r="I139" s="327">
        <f>IFERROR(IF(VLOOKUP(B139,Detalle!$A:$AA,$I$1,0)=0,"Sin datos",IFERROR(VLOOKUP(B139,Detalle!$A:$AA,$I$1,0),"Sin datos")),"")</f>
        <v/>
      </c>
      <c r="J139" s="93">
        <f>IFERROR(IF(VLOOKUP(B139,Detalle!$A:$AA,$J$1,0)=0,"Sin datos",IFERROR(VLOOKUP(B139,Detalle!$A:$AA,$J$1,0),"Sin datos")),"")</f>
        <v/>
      </c>
      <c r="K139" s="98" t="n"/>
      <c r="L139" s="328" t="n"/>
      <c r="M139" s="329">
        <f>IFERROR(IF(MIN(H139,J139)=F139,IF(G139=I139,"Escenario 5","Escenario 4"),IF(MIN(H139,J139)&lt;F139,IF(AND(F139-2&lt;=MIN(H139,J139),G139&lt;&gt;I139),"Escenario 1",IF(AND(F139-2&lt;=MIN(H139,J139),G139=I139),"Escenario 2","Escenario 3")),IF(MIN(H139,J139)&gt;F139,IF(AND(F139+2&gt;=MIN(H139,J139),G139=I139),"Escenario 7",IF(AND(F139+2&gt;=MIN(H139,J139),G139&lt;&gt;I139),"Escenario 6",IF(F139+5&lt;=MIN(H139,J139),"Escenario 9","Escenario 8"))),"error"))),"Falta info")</f>
        <v/>
      </c>
      <c r="N139" s="98">
        <f>IFERROR(VLOOKUP(M139,Base!$BJ$28:$BL$36,3,0),0)</f>
        <v/>
      </c>
      <c r="O139" s="330" t="n"/>
      <c r="P139" s="330" t="n"/>
      <c r="Q139" s="327" t="n"/>
      <c r="R139" s="93" t="n"/>
      <c r="S139" s="327" t="n"/>
      <c r="T139" s="93" t="n"/>
      <c r="U139" s="327" t="n"/>
      <c r="V139" s="93" t="n"/>
      <c r="W139" s="98" t="n"/>
      <c r="X139" s="328">
        <f>MIN(Q139,S139,U139)</f>
        <v/>
      </c>
      <c r="Y139" s="328">
        <f>IFERROR(IF(MIN(T139,V139)=R139,IF(S139=U139,"Escenario 5","Escenario 4"),IF(MIN(T139,V139)&lt;R139,IF(AND(R139-2&lt;=MIN(T139,V139),S139&lt;&gt;U139),"Escenario 1",IF(AND(R139-2&lt;=MIN(T139,V139),S139=U139),"Escenario 2","Escenario 3")),IF(MIN(T139,V139)&gt;R139,IF(AND(R139+2&gt;=MIN(T139,V139),S139=U139),"Escenario 7",IF(AND(R139+2&gt;=MIN(T139,V139),S139&lt;&gt;U139),"Escenario 6",IF(R139+5&lt;=MIN(T139,V139),"Escenario 9","Escenario 8"))),"error"))),"Falta info")</f>
        <v/>
      </c>
      <c r="Z139" s="98">
        <f>IFERROR(VLOOKUP(Y139,Base!$BJ$19:$BL$27,3,0),0)</f>
        <v/>
      </c>
      <c r="AA139" s="330" t="n"/>
      <c r="AB139" s="330" t="n"/>
      <c r="AC139" s="327" t="n"/>
      <c r="AD139" s="93" t="n"/>
      <c r="AE139" s="327" t="n"/>
      <c r="AF139" s="93" t="n"/>
      <c r="AG139" s="327" t="n"/>
      <c r="AH139" s="93" t="n"/>
      <c r="AI139" s="98">
        <f>IF(AB139="",IF(MIN(AC139,AE139,AG139)&gt;E139,"Si","No"),IF(MIN(AC139,AG139,AG139)&gt;AB139,"Si","No"))</f>
        <v/>
      </c>
      <c r="AJ139" s="328">
        <f>MIN(AC139,AE139,AG139)</f>
        <v/>
      </c>
      <c r="AK139" s="328">
        <f>IFERROR(IF(MIN(AF139,AH139)=AD139,IF(AE139=AG139,"Escenario 5","Escenario 4"),IF(MIN(AF139,AH139)&lt;AD139,IF(AND(AD139-2&lt;=MIN(AF139,AH139),AE139&lt;&gt;AG139),"Escenario 1",IF(AND(AD139-2&lt;=MIN(AF139,AH139),AE139=AG139),"Escenario 2","Escenario 3")),IF(MIN(AF139,AH139)&gt;AD139,IF(AND(AD139+2&gt;=MIN(AF139,AH139),AE139=AG139),"Escenario 7",IF(AND(AD139+2&gt;=MIN(AF139,AH139),AE139&lt;&gt;AG139),"Escenario 6",IF(AD139+5&lt;=MIN(AF139,AH139),"Escenario 9","Escenario 8"))),"error"))),"Falta info")</f>
        <v/>
      </c>
      <c r="AL139" s="98">
        <f>IFERROR(VLOOKUP(AK139,Base!$BJ$37:$BL$45,3,0),0)</f>
        <v/>
      </c>
      <c r="AM139" s="330">
        <f>IF(LOOKUP(AK139,Base!$X$8:$BG$8)=AK139,VLOOKUP(B139,Base!E:BG,AL139,0),0)</f>
        <v/>
      </c>
      <c r="AN139" s="330" t="e">
        <v>#N/A</v>
      </c>
      <c r="AP139" s="331">
        <f>IF(AM139&lt;=AA139,"REVISAR!","ok")</f>
        <v/>
      </c>
    </row>
    <row customHeight="1" ht="12.95" r="140" s="183" spans="1:43">
      <c r="B140" s="108" t="n"/>
      <c r="C140" s="89" t="n"/>
      <c r="D140" s="106">
        <f>VLOOKUP(B140,Base!E:G,3,0)</f>
        <v/>
      </c>
      <c r="E140" s="326" t="n"/>
      <c r="F140" s="91">
        <f>IFERROR(IF(VLOOKUP(B140,Detalle!$A:$AA,$F$1,0)=0,"Sin datos",IFERROR(VLOOKUP(B140,Detalle!$A:$AA,$F$1,0),"Sin datos")),"")</f>
        <v/>
      </c>
      <c r="G140" s="327">
        <f>IFERROR(IF(VLOOKUP(B140,Detalle!$A:$AA,$G$1,0)=0,"Sin datos",IFERROR(VLOOKUP(B140,Detalle!$A:$AA,$G$1,0),"Sin datos")),"")</f>
        <v/>
      </c>
      <c r="H140" s="93">
        <f>IFERROR(IF(VLOOKUP(B140,Detalle!$A:$AA,$H$1,0)=0,"Sin datos",IFERROR(VLOOKUP(B140,Detalle!$A:$AA,$H$1,0),"Sin datos")),"")</f>
        <v/>
      </c>
      <c r="I140" s="327">
        <f>IFERROR(IF(VLOOKUP(B140,Detalle!$A:$AA,$I$1,0)=0,"Sin datos",IFERROR(VLOOKUP(B140,Detalle!$A:$AA,$I$1,0),"Sin datos")),"")</f>
        <v/>
      </c>
      <c r="J140" s="93">
        <f>IFERROR(IF(VLOOKUP(B140,Detalle!$A:$AA,$J$1,0)=0,"Sin datos",IFERROR(VLOOKUP(B140,Detalle!$A:$AA,$J$1,0),"Sin datos")),"")</f>
        <v/>
      </c>
      <c r="K140" s="98" t="n"/>
      <c r="L140" s="328" t="n"/>
      <c r="M140" s="329">
        <f>IFERROR(IF(MIN(H140,J140)=F140,IF(G140=I140,"Escenario 5","Escenario 4"),IF(MIN(H140,J140)&lt;F140,IF(AND(F140-2&lt;=MIN(H140,J140),G140&lt;&gt;I140),"Escenario 1",IF(AND(F140-2&lt;=MIN(H140,J140),G140=I140),"Escenario 2","Escenario 3")),IF(MIN(H140,J140)&gt;F140,IF(AND(F140+2&gt;=MIN(H140,J140),G140=I140),"Escenario 7",IF(AND(F140+2&gt;=MIN(H140,J140),G140&lt;&gt;I140),"Escenario 6",IF(F140+5&lt;=MIN(H140,J140),"Escenario 9","Escenario 8"))),"error"))),"Falta info")</f>
        <v/>
      </c>
      <c r="N140" s="98">
        <f>IFERROR(VLOOKUP(M140,Base!$BJ$28:$BL$36,3,0),0)</f>
        <v/>
      </c>
      <c r="O140" s="330" t="n"/>
      <c r="P140" s="330" t="n"/>
      <c r="Q140" s="327" t="n"/>
      <c r="R140" s="93" t="n"/>
      <c r="S140" s="327" t="n"/>
      <c r="T140" s="93" t="n"/>
      <c r="U140" s="327" t="n"/>
      <c r="V140" s="93" t="n"/>
      <c r="W140" s="98" t="n"/>
      <c r="X140" s="328">
        <f>MIN(Q140,S140,U140)</f>
        <v/>
      </c>
      <c r="Y140" s="328">
        <f>IFERROR(IF(MIN(T140,V140)=R140,IF(S140=U140,"Escenario 5","Escenario 4"),IF(MIN(T140,V140)&lt;R140,IF(AND(R140-2&lt;=MIN(T140,V140),S140&lt;&gt;U140),"Escenario 1",IF(AND(R140-2&lt;=MIN(T140,V140),S140=U140),"Escenario 2","Escenario 3")),IF(MIN(T140,V140)&gt;R140,IF(AND(R140+2&gt;=MIN(T140,V140),S140=U140),"Escenario 7",IF(AND(R140+2&gt;=MIN(T140,V140),S140&lt;&gt;U140),"Escenario 6",IF(R140+5&lt;=MIN(T140,V140),"Escenario 9","Escenario 8"))),"error"))),"Falta info")</f>
        <v/>
      </c>
      <c r="Z140" s="98">
        <f>IFERROR(VLOOKUP(Y140,Base!$BJ$19:$BL$27,3,0),0)</f>
        <v/>
      </c>
      <c r="AA140" s="330" t="n"/>
      <c r="AB140" s="330" t="n"/>
      <c r="AC140" s="327" t="n"/>
      <c r="AD140" s="93" t="n"/>
      <c r="AE140" s="327" t="n"/>
      <c r="AF140" s="93" t="n"/>
      <c r="AG140" s="327" t="n"/>
      <c r="AH140" s="93" t="n"/>
      <c r="AI140" s="98">
        <f>IF(AB140="",IF(MIN(AC140,AE140,AG140)&gt;E140,"Si","No"),IF(MIN(AC140,AG140,AG140)&gt;AB140,"Si","No"))</f>
        <v/>
      </c>
      <c r="AJ140" s="328">
        <f>MIN(AC140,AE140,AG140)</f>
        <v/>
      </c>
      <c r="AK140" s="328">
        <f>IFERROR(IF(MIN(AF140,AH140)=AD140,IF(AE140=AG140,"Escenario 5","Escenario 4"),IF(MIN(AF140,AH140)&lt;AD140,IF(AND(AD140-2&lt;=MIN(AF140,AH140),AE140&lt;&gt;AG140),"Escenario 1",IF(AND(AD140-2&lt;=MIN(AF140,AH140),AE140=AG140),"Escenario 2","Escenario 3")),IF(MIN(AF140,AH140)&gt;AD140,IF(AND(AD140+2&gt;=MIN(AF140,AH140),AE140=AG140),"Escenario 7",IF(AND(AD140+2&gt;=MIN(AF140,AH140),AE140&lt;&gt;AG140),"Escenario 6",IF(AD140+5&lt;=MIN(AF140,AH140),"Escenario 9","Escenario 8"))),"error"))),"Falta info")</f>
        <v/>
      </c>
      <c r="AL140" s="98">
        <f>IFERROR(VLOOKUP(AK140,Base!$BJ$37:$BL$45,3,0),0)</f>
        <v/>
      </c>
      <c r="AM140" s="330">
        <f>IF(LOOKUP(AK140,Base!$X$8:$BG$8)=AK140,VLOOKUP(B140,Base!E:BG,AL140,0),0)</f>
        <v/>
      </c>
      <c r="AN140" s="330" t="e">
        <v>#N/A</v>
      </c>
      <c r="AP140" s="331">
        <f>IF(AM140&lt;=AA140,"REVISAR!","ok")</f>
        <v/>
      </c>
    </row>
    <row customHeight="1" ht="12.95" r="141" s="183" spans="1:43">
      <c r="B141" s="108" t="n"/>
      <c r="C141" s="89" t="n"/>
      <c r="D141" s="106">
        <f>VLOOKUP(B141,Base!E:G,3,0)</f>
        <v/>
      </c>
      <c r="E141" s="326" t="n"/>
      <c r="F141" s="91">
        <f>IFERROR(IF(VLOOKUP(B141,Detalle!$A:$AA,$F$1,0)=0,"Sin datos",IFERROR(VLOOKUP(B141,Detalle!$A:$AA,$F$1,0),"Sin datos")),"")</f>
        <v/>
      </c>
      <c r="G141" s="327">
        <f>IFERROR(IF(VLOOKUP(B141,Detalle!$A:$AA,$G$1,0)=0,"Sin datos",IFERROR(VLOOKUP(B141,Detalle!$A:$AA,$G$1,0),"Sin datos")),"")</f>
        <v/>
      </c>
      <c r="H141" s="93">
        <f>IFERROR(IF(VLOOKUP(B141,Detalle!$A:$AA,$H$1,0)=0,"Sin datos",IFERROR(VLOOKUP(B141,Detalle!$A:$AA,$H$1,0),"Sin datos")),"")</f>
        <v/>
      </c>
      <c r="I141" s="327">
        <f>IFERROR(IF(VLOOKUP(B141,Detalle!$A:$AA,$I$1,0)=0,"Sin datos",IFERROR(VLOOKUP(B141,Detalle!$A:$AA,$I$1,0),"Sin datos")),"")</f>
        <v/>
      </c>
      <c r="J141" s="93">
        <f>IFERROR(IF(VLOOKUP(B141,Detalle!$A:$AA,$J$1,0)=0,"Sin datos",IFERROR(VLOOKUP(B141,Detalle!$A:$AA,$J$1,0),"Sin datos")),"")</f>
        <v/>
      </c>
      <c r="K141" s="98" t="n"/>
      <c r="L141" s="328" t="n"/>
      <c r="M141" s="329">
        <f>IFERROR(IF(MIN(H141,J141)=F141,IF(G141=I141,"Escenario 5","Escenario 4"),IF(MIN(H141,J141)&lt;F141,IF(AND(F141-2&lt;=MIN(H141,J141),G141&lt;&gt;I141),"Escenario 1",IF(AND(F141-2&lt;=MIN(H141,J141),G141=I141),"Escenario 2","Escenario 3")),IF(MIN(H141,J141)&gt;F141,IF(AND(F141+2&gt;=MIN(H141,J141),G141=I141),"Escenario 7",IF(AND(F141+2&gt;=MIN(H141,J141),G141&lt;&gt;I141),"Escenario 6",IF(F141+5&lt;=MIN(H141,J141),"Escenario 9","Escenario 8"))),"error"))),"Falta info")</f>
        <v/>
      </c>
      <c r="N141" s="98">
        <f>IFERROR(VLOOKUP(M141,Base!$BJ$28:$BL$36,3,0),0)</f>
        <v/>
      </c>
      <c r="O141" s="330" t="n"/>
      <c r="P141" s="330" t="n"/>
      <c r="Q141" s="327" t="n"/>
      <c r="R141" s="93" t="n"/>
      <c r="S141" s="327" t="n"/>
      <c r="T141" s="93" t="n"/>
      <c r="U141" s="327" t="n"/>
      <c r="V141" s="93" t="n"/>
      <c r="W141" s="98" t="n"/>
      <c r="X141" s="328">
        <f>MIN(Q141,S141,U141)</f>
        <v/>
      </c>
      <c r="Y141" s="328">
        <f>IFERROR(IF(MIN(T141,V141)=R141,IF(S141=U141,"Escenario 5","Escenario 4"),IF(MIN(T141,V141)&lt;R141,IF(AND(R141-2&lt;=MIN(T141,V141),S141&lt;&gt;U141),"Escenario 1",IF(AND(R141-2&lt;=MIN(T141,V141),S141=U141),"Escenario 2","Escenario 3")),IF(MIN(T141,V141)&gt;R141,IF(AND(R141+2&gt;=MIN(T141,V141),S141=U141),"Escenario 7",IF(AND(R141+2&gt;=MIN(T141,V141),S141&lt;&gt;U141),"Escenario 6",IF(R141+5&lt;=MIN(T141,V141),"Escenario 9","Escenario 8"))),"error"))),"Falta info")</f>
        <v/>
      </c>
      <c r="Z141" s="98">
        <f>IFERROR(VLOOKUP(Y141,Base!$BJ$19:$BL$27,3,0),0)</f>
        <v/>
      </c>
      <c r="AA141" s="330" t="n"/>
      <c r="AB141" s="330" t="n"/>
      <c r="AC141" s="327" t="n"/>
      <c r="AD141" s="93" t="n"/>
      <c r="AE141" s="327" t="n"/>
      <c r="AF141" s="93" t="n"/>
      <c r="AG141" s="327" t="n"/>
      <c r="AH141" s="93" t="n"/>
      <c r="AI141" s="98">
        <f>IF(AB141="",IF(MIN(AC141,AE141,AG141)&gt;E141,"Si","No"),IF(MIN(AC141,AG141,AG141)&gt;AB141,"Si","No"))</f>
        <v/>
      </c>
      <c r="AJ141" s="328">
        <f>MIN(AC141,AE141,AG141)</f>
        <v/>
      </c>
      <c r="AK141" s="328">
        <f>IFERROR(IF(MIN(AF141,AH141)=AD141,IF(AE141=AG141,"Escenario 5","Escenario 4"),IF(MIN(AF141,AH141)&lt;AD141,IF(AND(AD141-2&lt;=MIN(AF141,AH141),AE141&lt;&gt;AG141),"Escenario 1",IF(AND(AD141-2&lt;=MIN(AF141,AH141),AE141=AG141),"Escenario 2","Escenario 3")),IF(MIN(AF141,AH141)&gt;AD141,IF(AND(AD141+2&gt;=MIN(AF141,AH141),AE141=AG141),"Escenario 7",IF(AND(AD141+2&gt;=MIN(AF141,AH141),AE141&lt;&gt;AG141),"Escenario 6",IF(AD141+5&lt;=MIN(AF141,AH141),"Escenario 9","Escenario 8"))),"error"))),"Falta info")</f>
        <v/>
      </c>
      <c r="AL141" s="98">
        <f>IFERROR(VLOOKUP(AK141,Base!$BJ$37:$BL$45,3,0),0)</f>
        <v/>
      </c>
      <c r="AM141" s="330">
        <f>IF(LOOKUP(AK141,Base!$X$8:$BG$8)=AK141,VLOOKUP(B141,Base!E:BG,AL141,0),0)</f>
        <v/>
      </c>
      <c r="AN141" s="330" t="e">
        <v>#N/A</v>
      </c>
      <c r="AP141" s="331">
        <f>IF(AM141&lt;=AA141,"REVISAR!","ok")</f>
        <v/>
      </c>
    </row>
    <row customHeight="1" ht="12.95" r="142" s="183" spans="1:43">
      <c r="B142" s="108" t="n"/>
      <c r="C142" s="89" t="n"/>
      <c r="D142" s="106">
        <f>VLOOKUP(B142,Base!E:G,3,0)</f>
        <v/>
      </c>
      <c r="E142" s="326" t="n"/>
      <c r="F142" s="91">
        <f>IFERROR(IF(VLOOKUP(B142,Detalle!$A:$AA,$F$1,0)=0,"Sin datos",IFERROR(VLOOKUP(B142,Detalle!$A:$AA,$F$1,0),"Sin datos")),"")</f>
        <v/>
      </c>
      <c r="G142" s="327">
        <f>IFERROR(IF(VLOOKUP(B142,Detalle!$A:$AA,$G$1,0)=0,"Sin datos",IFERROR(VLOOKUP(B142,Detalle!$A:$AA,$G$1,0),"Sin datos")),"")</f>
        <v/>
      </c>
      <c r="H142" s="93">
        <f>IFERROR(IF(VLOOKUP(B142,Detalle!$A:$AA,$H$1,0)=0,"Sin datos",IFERROR(VLOOKUP(B142,Detalle!$A:$AA,$H$1,0),"Sin datos")),"")</f>
        <v/>
      </c>
      <c r="I142" s="327">
        <f>IFERROR(IF(VLOOKUP(B142,Detalle!$A:$AA,$I$1,0)=0,"Sin datos",IFERROR(VLOOKUP(B142,Detalle!$A:$AA,$I$1,0),"Sin datos")),"")</f>
        <v/>
      </c>
      <c r="J142" s="93">
        <f>IFERROR(IF(VLOOKUP(B142,Detalle!$A:$AA,$J$1,0)=0,"Sin datos",IFERROR(VLOOKUP(B142,Detalle!$A:$AA,$J$1,0),"Sin datos")),"")</f>
        <v/>
      </c>
      <c r="K142" s="98" t="n"/>
      <c r="L142" s="328" t="n"/>
      <c r="M142" s="329">
        <f>IFERROR(IF(MIN(H142,J142)=F142,IF(G142=I142,"Escenario 5","Escenario 4"),IF(MIN(H142,J142)&lt;F142,IF(AND(F142-2&lt;=MIN(H142,J142),G142&lt;&gt;I142),"Escenario 1",IF(AND(F142-2&lt;=MIN(H142,J142),G142=I142),"Escenario 2","Escenario 3")),IF(MIN(H142,J142)&gt;F142,IF(AND(F142+2&gt;=MIN(H142,J142),G142=I142),"Escenario 7",IF(AND(F142+2&gt;=MIN(H142,J142),G142&lt;&gt;I142),"Escenario 6",IF(F142+5&lt;=MIN(H142,J142),"Escenario 9","Escenario 8"))),"error"))),"Falta info")</f>
        <v/>
      </c>
      <c r="N142" s="98">
        <f>IFERROR(VLOOKUP(M142,Base!$BJ$28:$BL$36,3,0),0)</f>
        <v/>
      </c>
      <c r="O142" s="330" t="n"/>
      <c r="P142" s="330" t="n"/>
      <c r="Q142" s="327" t="n"/>
      <c r="R142" s="93" t="n"/>
      <c r="S142" s="327" t="n"/>
      <c r="T142" s="93" t="n"/>
      <c r="U142" s="327" t="n"/>
      <c r="V142" s="93" t="n"/>
      <c r="W142" s="98" t="n"/>
      <c r="X142" s="328">
        <f>MIN(Q142,S142,U142)</f>
        <v/>
      </c>
      <c r="Y142" s="328">
        <f>IFERROR(IF(MIN(T142,V142)=R142,IF(S142=U142,"Escenario 5","Escenario 4"),IF(MIN(T142,V142)&lt;R142,IF(AND(R142-2&lt;=MIN(T142,V142),S142&lt;&gt;U142),"Escenario 1",IF(AND(R142-2&lt;=MIN(T142,V142),S142=U142),"Escenario 2","Escenario 3")),IF(MIN(T142,V142)&gt;R142,IF(AND(R142+2&gt;=MIN(T142,V142),S142=U142),"Escenario 7",IF(AND(R142+2&gt;=MIN(T142,V142),S142&lt;&gt;U142),"Escenario 6",IF(R142+5&lt;=MIN(T142,V142),"Escenario 9","Escenario 8"))),"error"))),"Falta info")</f>
        <v/>
      </c>
      <c r="Z142" s="98">
        <f>IFERROR(VLOOKUP(Y142,Base!$BJ$19:$BL$27,3,0),0)</f>
        <v/>
      </c>
      <c r="AA142" s="330" t="n"/>
      <c r="AB142" s="330" t="n"/>
      <c r="AC142" s="327" t="n"/>
      <c r="AD142" s="93" t="n"/>
      <c r="AE142" s="327" t="n"/>
      <c r="AF142" s="93" t="n"/>
      <c r="AG142" s="327" t="n"/>
      <c r="AH142" s="93" t="n"/>
      <c r="AI142" s="98">
        <f>IF(AB142="",IF(MIN(AC142,AE142,AG142)&gt;E142,"Si","No"),IF(MIN(AC142,AG142,AG142)&gt;AB142,"Si","No"))</f>
        <v/>
      </c>
      <c r="AJ142" s="328">
        <f>MIN(AC142,AE142,AG142)</f>
        <v/>
      </c>
      <c r="AK142" s="328">
        <f>IFERROR(IF(MIN(AF142,AH142)=AD142,IF(AE142=AG142,"Escenario 5","Escenario 4"),IF(MIN(AF142,AH142)&lt;AD142,IF(AND(AD142-2&lt;=MIN(AF142,AH142),AE142&lt;&gt;AG142),"Escenario 1",IF(AND(AD142-2&lt;=MIN(AF142,AH142),AE142=AG142),"Escenario 2","Escenario 3")),IF(MIN(AF142,AH142)&gt;AD142,IF(AND(AD142+2&gt;=MIN(AF142,AH142),AE142=AG142),"Escenario 7",IF(AND(AD142+2&gt;=MIN(AF142,AH142),AE142&lt;&gt;AG142),"Escenario 6",IF(AD142+5&lt;=MIN(AF142,AH142),"Escenario 9","Escenario 8"))),"error"))),"Falta info")</f>
        <v/>
      </c>
      <c r="AL142" s="98">
        <f>IFERROR(VLOOKUP(AK142,Base!$BJ$37:$BL$45,3,0),0)</f>
        <v/>
      </c>
      <c r="AM142" s="330">
        <f>IF(LOOKUP(AK142,Base!$X$8:$BG$8)=AK142,VLOOKUP(B142,Base!E:BG,AL142,0),0)</f>
        <v/>
      </c>
      <c r="AN142" s="330" t="e">
        <v>#N/A</v>
      </c>
      <c r="AP142" s="331">
        <f>IF(AM142&lt;=AA142,"REVISAR!","ok")</f>
        <v/>
      </c>
    </row>
    <row customHeight="1" ht="12.95" r="143" s="183" spans="1:43">
      <c r="B143" s="108" t="n"/>
      <c r="C143" s="89" t="n"/>
      <c r="D143" s="106">
        <f>VLOOKUP(B143,Base!E:G,3,0)</f>
        <v/>
      </c>
      <c r="E143" s="326" t="n"/>
      <c r="F143" s="91">
        <f>IFERROR(IF(VLOOKUP(B143,Detalle!$A:$AA,$F$1,0)=0,"Sin datos",IFERROR(VLOOKUP(B143,Detalle!$A:$AA,$F$1,0),"Sin datos")),"")</f>
        <v/>
      </c>
      <c r="G143" s="327">
        <f>IFERROR(IF(VLOOKUP(B143,Detalle!$A:$AA,$G$1,0)=0,"Sin datos",IFERROR(VLOOKUP(B143,Detalle!$A:$AA,$G$1,0),"Sin datos")),"")</f>
        <v/>
      </c>
      <c r="H143" s="93">
        <f>IFERROR(IF(VLOOKUP(B143,Detalle!$A:$AA,$H$1,0)=0,"Sin datos",IFERROR(VLOOKUP(B143,Detalle!$A:$AA,$H$1,0),"Sin datos")),"")</f>
        <v/>
      </c>
      <c r="I143" s="327">
        <f>IFERROR(IF(VLOOKUP(B143,Detalle!$A:$AA,$I$1,0)=0,"Sin datos",IFERROR(VLOOKUP(B143,Detalle!$A:$AA,$I$1,0),"Sin datos")),"")</f>
        <v/>
      </c>
      <c r="J143" s="93">
        <f>IFERROR(IF(VLOOKUP(B143,Detalle!$A:$AA,$J$1,0)=0,"Sin datos",IFERROR(VLOOKUP(B143,Detalle!$A:$AA,$J$1,0),"Sin datos")),"")</f>
        <v/>
      </c>
      <c r="K143" s="98" t="n"/>
      <c r="L143" s="328" t="n"/>
      <c r="M143" s="329">
        <f>IFERROR(IF(MIN(H143,J143)=F143,IF(G143=I143,"Escenario 5","Escenario 4"),IF(MIN(H143,J143)&lt;F143,IF(AND(F143-2&lt;=MIN(H143,J143),G143&lt;&gt;I143),"Escenario 1",IF(AND(F143-2&lt;=MIN(H143,J143),G143=I143),"Escenario 2","Escenario 3")),IF(MIN(H143,J143)&gt;F143,IF(AND(F143+2&gt;=MIN(H143,J143),G143=I143),"Escenario 7",IF(AND(F143+2&gt;=MIN(H143,J143),G143&lt;&gt;I143),"Escenario 6",IF(F143+5&lt;=MIN(H143,J143),"Escenario 9","Escenario 8"))),"error"))),"Falta info")</f>
        <v/>
      </c>
      <c r="N143" s="98">
        <f>IFERROR(VLOOKUP(M143,Base!$BJ$28:$BL$36,3,0),0)</f>
        <v/>
      </c>
      <c r="O143" s="330" t="n"/>
      <c r="P143" s="330" t="n"/>
      <c r="Q143" s="327" t="n"/>
      <c r="R143" s="93" t="n"/>
      <c r="S143" s="327" t="n"/>
      <c r="T143" s="93" t="n"/>
      <c r="U143" s="327" t="n"/>
      <c r="V143" s="93" t="n"/>
      <c r="W143" s="98" t="n"/>
      <c r="X143" s="328">
        <f>MIN(Q143,S143,U143)</f>
        <v/>
      </c>
      <c r="Y143" s="328">
        <f>IFERROR(IF(MIN(T143,V143)=R143,IF(S143=U143,"Escenario 5","Escenario 4"),IF(MIN(T143,V143)&lt;R143,IF(AND(R143-2&lt;=MIN(T143,V143),S143&lt;&gt;U143),"Escenario 1",IF(AND(R143-2&lt;=MIN(T143,V143),S143=U143),"Escenario 2","Escenario 3")),IF(MIN(T143,V143)&gt;R143,IF(AND(R143+2&gt;=MIN(T143,V143),S143=U143),"Escenario 7",IF(AND(R143+2&gt;=MIN(T143,V143),S143&lt;&gt;U143),"Escenario 6",IF(R143+5&lt;=MIN(T143,V143),"Escenario 9","Escenario 8"))),"error"))),"Falta info")</f>
        <v/>
      </c>
      <c r="Z143" s="98">
        <f>IFERROR(VLOOKUP(Y143,Base!$BJ$19:$BL$27,3,0),0)</f>
        <v/>
      </c>
      <c r="AA143" s="330" t="n"/>
      <c r="AB143" s="330" t="n"/>
      <c r="AC143" s="327" t="n"/>
      <c r="AD143" s="93" t="n"/>
      <c r="AE143" s="327" t="n"/>
      <c r="AF143" s="93" t="n"/>
      <c r="AG143" s="327" t="n"/>
      <c r="AH143" s="93" t="n"/>
      <c r="AI143" s="98">
        <f>IF(AB143="",IF(MIN(AC143,AE143,AG143)&gt;E143,"Si","No"),IF(MIN(AC143,AG143,AG143)&gt;AB143,"Si","No"))</f>
        <v/>
      </c>
      <c r="AJ143" s="328">
        <f>MIN(AC143,AE143,AG143)</f>
        <v/>
      </c>
      <c r="AK143" s="328">
        <f>IFERROR(IF(MIN(AF143,AH143)=AD143,IF(AE143=AG143,"Escenario 5","Escenario 4"),IF(MIN(AF143,AH143)&lt;AD143,IF(AND(AD143-2&lt;=MIN(AF143,AH143),AE143&lt;&gt;AG143),"Escenario 1",IF(AND(AD143-2&lt;=MIN(AF143,AH143),AE143=AG143),"Escenario 2","Escenario 3")),IF(MIN(AF143,AH143)&gt;AD143,IF(AND(AD143+2&gt;=MIN(AF143,AH143),AE143=AG143),"Escenario 7",IF(AND(AD143+2&gt;=MIN(AF143,AH143),AE143&lt;&gt;AG143),"Escenario 6",IF(AD143+5&lt;=MIN(AF143,AH143),"Escenario 9","Escenario 8"))),"error"))),"Falta info")</f>
        <v/>
      </c>
      <c r="AL143" s="98">
        <f>IFERROR(VLOOKUP(AK143,Base!$BJ$37:$BL$45,3,0),0)</f>
        <v/>
      </c>
      <c r="AM143" s="330">
        <f>IF(LOOKUP(AK143,Base!$X$8:$BG$8)=AK143,VLOOKUP(B143,Base!E:BG,AL143,0),0)</f>
        <v/>
      </c>
      <c r="AN143" s="330" t="e">
        <v>#N/A</v>
      </c>
      <c r="AP143" s="331">
        <f>IF(AM143&lt;=AA143,"REVISAR!","ok")</f>
        <v/>
      </c>
    </row>
    <row customHeight="1" ht="12.95" r="144" s="183" spans="1:43">
      <c r="B144" s="108" t="n"/>
      <c r="C144" s="89" t="n"/>
      <c r="D144" s="106">
        <f>VLOOKUP(B144,Base!E:G,3,0)</f>
        <v/>
      </c>
      <c r="E144" s="326" t="n"/>
      <c r="F144" s="91">
        <f>IFERROR(IF(VLOOKUP(B144,Detalle!$A:$AA,$F$1,0)=0,"Sin datos",IFERROR(VLOOKUP(B144,Detalle!$A:$AA,$F$1,0),"Sin datos")),"")</f>
        <v/>
      </c>
      <c r="G144" s="327">
        <f>IFERROR(IF(VLOOKUP(B144,Detalle!$A:$AA,$G$1,0)=0,"Sin datos",IFERROR(VLOOKUP(B144,Detalle!$A:$AA,$G$1,0),"Sin datos")),"")</f>
        <v/>
      </c>
      <c r="H144" s="93">
        <f>IFERROR(IF(VLOOKUP(B144,Detalle!$A:$AA,$H$1,0)=0,"Sin datos",IFERROR(VLOOKUP(B144,Detalle!$A:$AA,$H$1,0),"Sin datos")),"")</f>
        <v/>
      </c>
      <c r="I144" s="327">
        <f>IFERROR(IF(VLOOKUP(B144,Detalle!$A:$AA,$I$1,0)=0,"Sin datos",IFERROR(VLOOKUP(B144,Detalle!$A:$AA,$I$1,0),"Sin datos")),"")</f>
        <v/>
      </c>
      <c r="J144" s="93">
        <f>IFERROR(IF(VLOOKUP(B144,Detalle!$A:$AA,$J$1,0)=0,"Sin datos",IFERROR(VLOOKUP(B144,Detalle!$A:$AA,$J$1,0),"Sin datos")),"")</f>
        <v/>
      </c>
      <c r="K144" s="98" t="n"/>
      <c r="L144" s="328" t="n"/>
      <c r="M144" s="329">
        <f>IFERROR(IF(MIN(H144,J144)=F144,IF(G144=I144,"Escenario 5","Escenario 4"),IF(MIN(H144,J144)&lt;F144,IF(AND(F144-2&lt;=MIN(H144,J144),G144&lt;&gt;I144),"Escenario 1",IF(AND(F144-2&lt;=MIN(H144,J144),G144=I144),"Escenario 2","Escenario 3")),IF(MIN(H144,J144)&gt;F144,IF(AND(F144+2&gt;=MIN(H144,J144),G144=I144),"Escenario 7",IF(AND(F144+2&gt;=MIN(H144,J144),G144&lt;&gt;I144),"Escenario 6",IF(F144+5&lt;=MIN(H144,J144),"Escenario 9","Escenario 8"))),"error"))),"Falta info")</f>
        <v/>
      </c>
      <c r="N144" s="98">
        <f>IFERROR(VLOOKUP(M144,Base!$BJ$28:$BL$36,3,0),0)</f>
        <v/>
      </c>
      <c r="O144" s="330" t="n"/>
      <c r="P144" s="330" t="n"/>
      <c r="Q144" s="327" t="n"/>
      <c r="R144" s="93" t="n"/>
      <c r="S144" s="327" t="n"/>
      <c r="T144" s="93" t="n"/>
      <c r="U144" s="327" t="n"/>
      <c r="V144" s="93" t="n"/>
      <c r="W144" s="98" t="n"/>
      <c r="X144" s="328">
        <f>MIN(Q144,S144,U144)</f>
        <v/>
      </c>
      <c r="Y144" s="328">
        <f>IFERROR(IF(MIN(T144,V144)=R144,IF(S144=U144,"Escenario 5","Escenario 4"),IF(MIN(T144,V144)&lt;R144,IF(AND(R144-2&lt;=MIN(T144,V144),S144&lt;&gt;U144),"Escenario 1",IF(AND(R144-2&lt;=MIN(T144,V144),S144=U144),"Escenario 2","Escenario 3")),IF(MIN(T144,V144)&gt;R144,IF(AND(R144+2&gt;=MIN(T144,V144),S144=U144),"Escenario 7",IF(AND(R144+2&gt;=MIN(T144,V144),S144&lt;&gt;U144),"Escenario 6",IF(R144+5&lt;=MIN(T144,V144),"Escenario 9","Escenario 8"))),"error"))),"Falta info")</f>
        <v/>
      </c>
      <c r="Z144" s="98">
        <f>IFERROR(VLOOKUP(Y144,Base!$BJ$19:$BL$27,3,0),0)</f>
        <v/>
      </c>
      <c r="AA144" s="330" t="n"/>
      <c r="AB144" s="330" t="n"/>
      <c r="AC144" s="327" t="n"/>
      <c r="AD144" s="93" t="n"/>
      <c r="AE144" s="327" t="n"/>
      <c r="AF144" s="93" t="n"/>
      <c r="AG144" s="327" t="n"/>
      <c r="AH144" s="93" t="n"/>
      <c r="AI144" s="98">
        <f>IF(AB144="",IF(MIN(AC144,AE144,AG144)&gt;E144,"Si","No"),IF(MIN(AC144,AG144,AG144)&gt;AB144,"Si","No"))</f>
        <v/>
      </c>
      <c r="AJ144" s="328">
        <f>MIN(AC144,AE144,AG144)</f>
        <v/>
      </c>
      <c r="AK144" s="328">
        <f>IFERROR(IF(MIN(AF144,AH144)=AD144,IF(AE144=AG144,"Escenario 5","Escenario 4"),IF(MIN(AF144,AH144)&lt;AD144,IF(AND(AD144-2&lt;=MIN(AF144,AH144),AE144&lt;&gt;AG144),"Escenario 1",IF(AND(AD144-2&lt;=MIN(AF144,AH144),AE144=AG144),"Escenario 2","Escenario 3")),IF(MIN(AF144,AH144)&gt;AD144,IF(AND(AD144+2&gt;=MIN(AF144,AH144),AE144=AG144),"Escenario 7",IF(AND(AD144+2&gt;=MIN(AF144,AH144),AE144&lt;&gt;AG144),"Escenario 6",IF(AD144+5&lt;=MIN(AF144,AH144),"Escenario 9","Escenario 8"))),"error"))),"Falta info")</f>
        <v/>
      </c>
      <c r="AL144" s="98">
        <f>IFERROR(VLOOKUP(AK144,Base!$BJ$37:$BL$45,3,0),0)</f>
        <v/>
      </c>
      <c r="AM144" s="330">
        <f>IF(LOOKUP(AK144,Base!$X$8:$BG$8)=AK144,VLOOKUP(B144,Base!E:BG,AL144,0),0)</f>
        <v/>
      </c>
      <c r="AN144" s="330" t="e">
        <v>#N/A</v>
      </c>
    </row>
    <row customHeight="1" ht="12.95" r="145" s="183" spans="1:43">
      <c r="B145" s="108" t="n"/>
      <c r="C145" s="89" t="n"/>
      <c r="D145" s="106">
        <f>VLOOKUP(B145,Base!E:G,3,0)</f>
        <v/>
      </c>
      <c r="E145" s="326" t="n"/>
      <c r="F145" s="91">
        <f>IFERROR(IF(VLOOKUP(B145,Detalle!$A:$AA,$F$1,0)=0,"Sin datos",IFERROR(VLOOKUP(B145,Detalle!$A:$AA,$F$1,0),"Sin datos")),"")</f>
        <v/>
      </c>
      <c r="G145" s="327">
        <f>IFERROR(IF(VLOOKUP(B145,Detalle!$A:$AA,$G$1,0)=0,"Sin datos",IFERROR(VLOOKUP(B145,Detalle!$A:$AA,$G$1,0),"Sin datos")),"")</f>
        <v/>
      </c>
      <c r="H145" s="93">
        <f>IFERROR(IF(VLOOKUP(B145,Detalle!$A:$AA,$H$1,0)=0,"Sin datos",IFERROR(VLOOKUP(B145,Detalle!$A:$AA,$H$1,0),"Sin datos")),"")</f>
        <v/>
      </c>
      <c r="I145" s="327">
        <f>IFERROR(IF(VLOOKUP(B145,Detalle!$A:$AA,$I$1,0)=0,"Sin datos",IFERROR(VLOOKUP(B145,Detalle!$A:$AA,$I$1,0),"Sin datos")),"")</f>
        <v/>
      </c>
      <c r="J145" s="93">
        <f>IFERROR(IF(VLOOKUP(B145,Detalle!$A:$AA,$J$1,0)=0,"Sin datos",IFERROR(VLOOKUP(B145,Detalle!$A:$AA,$J$1,0),"Sin datos")),"")</f>
        <v/>
      </c>
      <c r="K145" s="98" t="n"/>
      <c r="L145" s="328" t="n"/>
      <c r="M145" s="329">
        <f>IFERROR(IF(MIN(H145,J145)=F145,IF(G145=I145,"Escenario 5","Escenario 4"),IF(MIN(H145,J145)&lt;F145,IF(AND(F145-2&lt;=MIN(H145,J145),G145&lt;&gt;I145),"Escenario 1",IF(AND(F145-2&lt;=MIN(H145,J145),G145=I145),"Escenario 2","Escenario 3")),IF(MIN(H145,J145)&gt;F145,IF(AND(F145+2&gt;=MIN(H145,J145),G145=I145),"Escenario 7",IF(AND(F145+2&gt;=MIN(H145,J145),G145&lt;&gt;I145),"Escenario 6",IF(F145+5&lt;=MIN(H145,J145),"Escenario 9","Escenario 8"))),"error"))),"Falta info")</f>
        <v/>
      </c>
      <c r="N145" s="98">
        <f>IFERROR(VLOOKUP(M145,Base!$BJ$28:$BL$36,3,0),0)</f>
        <v/>
      </c>
      <c r="O145" s="330" t="n"/>
      <c r="P145" s="330" t="n"/>
      <c r="Q145" s="327" t="n"/>
      <c r="R145" s="93" t="n"/>
      <c r="S145" s="327" t="n"/>
      <c r="T145" s="93" t="n"/>
      <c r="U145" s="327" t="n"/>
      <c r="V145" s="93" t="n"/>
      <c r="W145" s="98" t="n"/>
      <c r="X145" s="328">
        <f>MIN(Q145,S145,U145)</f>
        <v/>
      </c>
      <c r="Y145" s="328">
        <f>IFERROR(IF(MIN(T145,V145)=R145,IF(S145=U145,"Escenario 5","Escenario 4"),IF(MIN(T145,V145)&lt;R145,IF(AND(R145-2&lt;=MIN(T145,V145),S145&lt;&gt;U145),"Escenario 1",IF(AND(R145-2&lt;=MIN(T145,V145),S145=U145),"Escenario 2","Escenario 3")),IF(MIN(T145,V145)&gt;R145,IF(AND(R145+2&gt;=MIN(T145,V145),S145=U145),"Escenario 7",IF(AND(R145+2&gt;=MIN(T145,V145),S145&lt;&gt;U145),"Escenario 6",IF(R145+5&lt;=MIN(T145,V145),"Escenario 9","Escenario 8"))),"error"))),"Falta info")</f>
        <v/>
      </c>
      <c r="Z145" s="98">
        <f>IFERROR(VLOOKUP(Y145,Base!$BJ$19:$BL$27,3,0),0)</f>
        <v/>
      </c>
      <c r="AA145" s="330" t="n"/>
      <c r="AB145" s="330" t="n"/>
      <c r="AC145" s="327" t="n"/>
      <c r="AD145" s="93" t="n"/>
      <c r="AE145" s="327" t="n"/>
      <c r="AF145" s="93" t="n"/>
      <c r="AG145" s="327" t="n"/>
      <c r="AH145" s="93" t="n"/>
      <c r="AI145" s="98">
        <f>IF(AB145="",IF(MIN(AC145,AE145,AG145)&gt;E145,"Si","No"),IF(MIN(AC145,AG145,AG145)&gt;AB145,"Si","No"))</f>
        <v/>
      </c>
      <c r="AJ145" s="328">
        <f>MIN(AC145,AE145,AG145)</f>
        <v/>
      </c>
      <c r="AK145" s="328">
        <f>IFERROR(IF(MIN(AF145,AH145)=AD145,IF(AE145=AG145,"Escenario 5","Escenario 4"),IF(MIN(AF145,AH145)&lt;AD145,IF(AND(AD145-2&lt;=MIN(AF145,AH145),AE145&lt;&gt;AG145),"Escenario 1",IF(AND(AD145-2&lt;=MIN(AF145,AH145),AE145=AG145),"Escenario 2","Escenario 3")),IF(MIN(AF145,AH145)&gt;AD145,IF(AND(AD145+2&gt;=MIN(AF145,AH145),AE145=AG145),"Escenario 7",IF(AND(AD145+2&gt;=MIN(AF145,AH145),AE145&lt;&gt;AG145),"Escenario 6",IF(AD145+5&lt;=MIN(AF145,AH145),"Escenario 9","Escenario 8"))),"error"))),"Falta info")</f>
        <v/>
      </c>
      <c r="AL145" s="98">
        <f>IFERROR(VLOOKUP(AK145,Base!$BJ$37:$BL$45,3,0),0)</f>
        <v/>
      </c>
      <c r="AM145" s="330">
        <f>IF(LOOKUP(AK145,Base!$X$8:$BG$8)=AK145,VLOOKUP(B145,Base!E:BG,AL145,0),0)</f>
        <v/>
      </c>
      <c r="AN145" s="330" t="e">
        <v>#N/A</v>
      </c>
    </row>
    <row customHeight="1" ht="12.95" r="146" s="183" spans="1:43">
      <c r="B146" s="108" t="n"/>
      <c r="C146" s="89" t="n"/>
      <c r="D146" s="106">
        <f>VLOOKUP(B146,Base!E:G,3,0)</f>
        <v/>
      </c>
      <c r="E146" s="326" t="n"/>
      <c r="F146" s="91">
        <f>IFERROR(IF(VLOOKUP(B146,Detalle!$A:$AA,$F$1,0)=0,"Sin datos",IFERROR(VLOOKUP(B146,Detalle!$A:$AA,$F$1,0),"Sin datos")),"")</f>
        <v/>
      </c>
      <c r="G146" s="327">
        <f>IFERROR(IF(VLOOKUP(B146,Detalle!$A:$AA,$G$1,0)=0,"Sin datos",IFERROR(VLOOKUP(B146,Detalle!$A:$AA,$G$1,0),"Sin datos")),"")</f>
        <v/>
      </c>
      <c r="H146" s="93">
        <f>IFERROR(IF(VLOOKUP(B146,Detalle!$A:$AA,$H$1,0)=0,"Sin datos",IFERROR(VLOOKUP(B146,Detalle!$A:$AA,$H$1,0),"Sin datos")),"")</f>
        <v/>
      </c>
      <c r="I146" s="327">
        <f>IFERROR(IF(VLOOKUP(B146,Detalle!$A:$AA,$I$1,0)=0,"Sin datos",IFERROR(VLOOKUP(B146,Detalle!$A:$AA,$I$1,0),"Sin datos")),"")</f>
        <v/>
      </c>
      <c r="J146" s="93">
        <f>IFERROR(IF(VLOOKUP(B146,Detalle!$A:$AA,$J$1,0)=0,"Sin datos",IFERROR(VLOOKUP(B146,Detalle!$A:$AA,$J$1,0),"Sin datos")),"")</f>
        <v/>
      </c>
      <c r="K146" s="98" t="n"/>
      <c r="L146" s="328" t="n"/>
      <c r="M146" s="329">
        <f>IFERROR(IF(MIN(H146,J146)=F146,IF(G146=I146,"Escenario 5","Escenario 4"),IF(MIN(H146,J146)&lt;F146,IF(AND(F146-2&lt;=MIN(H146,J146),G146&lt;&gt;I146),"Escenario 1",IF(AND(F146-2&lt;=MIN(H146,J146),G146=I146),"Escenario 2","Escenario 3")),IF(MIN(H146,J146)&gt;F146,IF(AND(F146+2&gt;=MIN(H146,J146),G146=I146),"Escenario 7",IF(AND(F146+2&gt;=MIN(H146,J146),G146&lt;&gt;I146),"Escenario 6",IF(F146+5&lt;=MIN(H146,J146),"Escenario 9","Escenario 8"))),"error"))),"Falta info")</f>
        <v/>
      </c>
      <c r="N146" s="98">
        <f>IFERROR(VLOOKUP(M146,Base!$BJ$28:$BL$36,3,0),0)</f>
        <v/>
      </c>
      <c r="O146" s="330" t="n"/>
      <c r="P146" s="330" t="n"/>
      <c r="Q146" s="327" t="n"/>
      <c r="R146" s="93" t="n"/>
      <c r="S146" s="327" t="n"/>
      <c r="T146" s="93" t="n"/>
      <c r="U146" s="327" t="n"/>
      <c r="V146" s="93" t="n"/>
      <c r="W146" s="98" t="n"/>
      <c r="X146" s="328">
        <f>MIN(Q146,S146,U146)</f>
        <v/>
      </c>
      <c r="Y146" s="328">
        <f>IFERROR(IF(MIN(T146,V146)=R146,IF(S146=U146,"Escenario 5","Escenario 4"),IF(MIN(T146,V146)&lt;R146,IF(AND(R146-2&lt;=MIN(T146,V146),S146&lt;&gt;U146),"Escenario 1",IF(AND(R146-2&lt;=MIN(T146,V146),S146=U146),"Escenario 2","Escenario 3")),IF(MIN(T146,V146)&gt;R146,IF(AND(R146+2&gt;=MIN(T146,V146),S146=U146),"Escenario 7",IF(AND(R146+2&gt;=MIN(T146,V146),S146&lt;&gt;U146),"Escenario 6",IF(R146+5&lt;=MIN(T146,V146),"Escenario 9","Escenario 8"))),"error"))),"Falta info")</f>
        <v/>
      </c>
      <c r="Z146" s="98">
        <f>IFERROR(VLOOKUP(Y146,Base!$BJ$19:$BL$27,3,0),0)</f>
        <v/>
      </c>
      <c r="AA146" s="330" t="n"/>
      <c r="AB146" s="330" t="n"/>
      <c r="AC146" s="327" t="n"/>
      <c r="AD146" s="93" t="n"/>
      <c r="AE146" s="327" t="n"/>
      <c r="AF146" s="93" t="n"/>
      <c r="AG146" s="327" t="n"/>
      <c r="AH146" s="93" t="n"/>
      <c r="AI146" s="98">
        <f>IF(AB146="",IF(MIN(AC146,AE146,AG146)&gt;E146,"Si","No"),IF(MIN(AC146,AG146,AG146)&gt;AB146,"Si","No"))</f>
        <v/>
      </c>
      <c r="AJ146" s="328">
        <f>MIN(AC146,AE146,AG146)</f>
        <v/>
      </c>
      <c r="AK146" s="328">
        <f>IFERROR(IF(MIN(AF146,AH146)=AD146,IF(AE146=AG146,"Escenario 5","Escenario 4"),IF(MIN(AF146,AH146)&lt;AD146,IF(AND(AD146-2&lt;=MIN(AF146,AH146),AE146&lt;&gt;AG146),"Escenario 1",IF(AND(AD146-2&lt;=MIN(AF146,AH146),AE146=AG146),"Escenario 2","Escenario 3")),IF(MIN(AF146,AH146)&gt;AD146,IF(AND(AD146+2&gt;=MIN(AF146,AH146),AE146=AG146),"Escenario 7",IF(AND(AD146+2&gt;=MIN(AF146,AH146),AE146&lt;&gt;AG146),"Escenario 6",IF(AD146+5&lt;=MIN(AF146,AH146),"Escenario 9","Escenario 8"))),"error"))),"Falta info")</f>
        <v/>
      </c>
      <c r="AL146" s="98">
        <f>IFERROR(VLOOKUP(AK146,Base!$BJ$37:$BL$45,3,0),0)</f>
        <v/>
      </c>
      <c r="AM146" s="330">
        <f>IF(LOOKUP(AK146,Base!$X$8:$BG$8)=AK146,VLOOKUP(B146,Base!E:BG,AL146,0),0)</f>
        <v/>
      </c>
      <c r="AN146" s="330" t="e">
        <v>#N/A</v>
      </c>
    </row>
    <row customHeight="1" ht="12.95" r="147" s="183" spans="1:43">
      <c r="B147" s="108" t="n"/>
      <c r="C147" s="89" t="n"/>
      <c r="D147" s="106">
        <f>VLOOKUP(B147,Base!E:G,3,0)</f>
        <v/>
      </c>
      <c r="E147" s="326" t="n"/>
      <c r="F147" s="91">
        <f>IFERROR(IF(VLOOKUP(B147,Detalle!$A:$AA,$F$1,0)=0,"Sin datos",IFERROR(VLOOKUP(B147,Detalle!$A:$AA,$F$1,0),"Sin datos")),"")</f>
        <v/>
      </c>
      <c r="G147" s="327">
        <f>IFERROR(IF(VLOOKUP(B147,Detalle!$A:$AA,$G$1,0)=0,"Sin datos",IFERROR(VLOOKUP(B147,Detalle!$A:$AA,$G$1,0),"Sin datos")),"")</f>
        <v/>
      </c>
      <c r="H147" s="93">
        <f>IFERROR(IF(VLOOKUP(B147,Detalle!$A:$AA,$H$1,0)=0,"Sin datos",IFERROR(VLOOKUP(B147,Detalle!$A:$AA,$H$1,0),"Sin datos")),"")</f>
        <v/>
      </c>
      <c r="I147" s="327">
        <f>IFERROR(IF(VLOOKUP(B147,Detalle!$A:$AA,$I$1,0)=0,"Sin datos",IFERROR(VLOOKUP(B147,Detalle!$A:$AA,$I$1,0),"Sin datos")),"")</f>
        <v/>
      </c>
      <c r="J147" s="93">
        <f>IFERROR(IF(VLOOKUP(B147,Detalle!$A:$AA,$J$1,0)=0,"Sin datos",IFERROR(VLOOKUP(B147,Detalle!$A:$AA,$J$1,0),"Sin datos")),"")</f>
        <v/>
      </c>
      <c r="K147" s="98" t="n"/>
      <c r="L147" s="328" t="n"/>
      <c r="M147" s="329">
        <f>IFERROR(IF(MIN(H147,J147)=F147,IF(G147=I147,"Escenario 5","Escenario 4"),IF(MIN(H147,J147)&lt;F147,IF(AND(F147-2&lt;=MIN(H147,J147),G147&lt;&gt;I147),"Escenario 1",IF(AND(F147-2&lt;=MIN(H147,J147),G147=I147),"Escenario 2","Escenario 3")),IF(MIN(H147,J147)&gt;F147,IF(AND(F147+2&gt;=MIN(H147,J147),G147=I147),"Escenario 7",IF(AND(F147+2&gt;=MIN(H147,J147),G147&lt;&gt;I147),"Escenario 6",IF(F147+5&lt;=MIN(H147,J147),"Escenario 9","Escenario 8"))),"error"))),"Falta info")</f>
        <v/>
      </c>
      <c r="N147" s="98">
        <f>IFERROR(VLOOKUP(M147,Base!$BJ$28:$BL$36,3,0),0)</f>
        <v/>
      </c>
      <c r="O147" s="330" t="n"/>
      <c r="P147" s="330" t="n"/>
      <c r="Q147" s="327" t="n"/>
      <c r="R147" s="93" t="n"/>
      <c r="S147" s="327" t="n"/>
      <c r="T147" s="93" t="n"/>
      <c r="U147" s="327" t="n"/>
      <c r="V147" s="93" t="n"/>
      <c r="W147" s="98" t="n"/>
      <c r="X147" s="328">
        <f>MIN(Q147,S147,U147)</f>
        <v/>
      </c>
      <c r="Y147" s="328">
        <f>IFERROR(IF(MIN(T147,V147)=R147,IF(S147=U147,"Escenario 5","Escenario 4"),IF(MIN(T147,V147)&lt;R147,IF(AND(R147-2&lt;=MIN(T147,V147),S147&lt;&gt;U147),"Escenario 1",IF(AND(R147-2&lt;=MIN(T147,V147),S147=U147),"Escenario 2","Escenario 3")),IF(MIN(T147,V147)&gt;R147,IF(AND(R147+2&gt;=MIN(T147,V147),S147=U147),"Escenario 7",IF(AND(R147+2&gt;=MIN(T147,V147),S147&lt;&gt;U147),"Escenario 6",IF(R147+5&lt;=MIN(T147,V147),"Escenario 9","Escenario 8"))),"error"))),"Falta info")</f>
        <v/>
      </c>
      <c r="Z147" s="98">
        <f>IFERROR(VLOOKUP(Y147,Base!$BJ$19:$BL$27,3,0),0)</f>
        <v/>
      </c>
      <c r="AA147" s="330" t="n"/>
      <c r="AB147" s="330" t="n"/>
      <c r="AC147" s="327" t="n"/>
      <c r="AD147" s="93" t="n"/>
      <c r="AE147" s="327" t="n"/>
      <c r="AF147" s="93" t="n"/>
      <c r="AG147" s="327" t="n"/>
      <c r="AH147" s="93" t="n"/>
      <c r="AI147" s="98">
        <f>IF(AB147="",IF(MIN(AC147,AE147,AG147)&gt;E147,"Si","No"),IF(MIN(AC147,AG147,AG147)&gt;AB147,"Si","No"))</f>
        <v/>
      </c>
      <c r="AJ147" s="328">
        <f>MIN(AC147,AE147,AG147)</f>
        <v/>
      </c>
      <c r="AK147" s="328">
        <f>IFERROR(IF(MIN(AF147,AH147)=AD147,IF(AE147=AG147,"Escenario 5","Escenario 4"),IF(MIN(AF147,AH147)&lt;AD147,IF(AND(AD147-2&lt;=MIN(AF147,AH147),AE147&lt;&gt;AG147),"Escenario 1",IF(AND(AD147-2&lt;=MIN(AF147,AH147),AE147=AG147),"Escenario 2","Escenario 3")),IF(MIN(AF147,AH147)&gt;AD147,IF(AND(AD147+2&gt;=MIN(AF147,AH147),AE147=AG147),"Escenario 7",IF(AND(AD147+2&gt;=MIN(AF147,AH147),AE147&lt;&gt;AG147),"Escenario 6",IF(AD147+5&lt;=MIN(AF147,AH147),"Escenario 9","Escenario 8"))),"error"))),"Falta info")</f>
        <v/>
      </c>
      <c r="AL147" s="98">
        <f>IFERROR(VLOOKUP(AK147,Base!$BJ$37:$BL$45,3,0),0)</f>
        <v/>
      </c>
      <c r="AM147" s="330">
        <f>IF(LOOKUP(AK147,Base!$X$8:$BG$8)=AK147,VLOOKUP(B147,Base!E:BG,AL147,0),0)</f>
        <v/>
      </c>
      <c r="AN147" s="330" t="e">
        <v>#N/A</v>
      </c>
    </row>
    <row customHeight="1" ht="12.95" r="148" s="183" spans="1:43">
      <c r="B148" s="108" t="n"/>
      <c r="C148" s="89" t="n"/>
      <c r="D148" s="106">
        <f>VLOOKUP(B148,Base!E:G,3,0)</f>
        <v/>
      </c>
      <c r="E148" s="326" t="n"/>
      <c r="F148" s="91">
        <f>IFERROR(IF(VLOOKUP(B148,Detalle!$A:$AA,$F$1,0)=0,"Sin datos",IFERROR(VLOOKUP(B148,Detalle!$A:$AA,$F$1,0),"Sin datos")),"")</f>
        <v/>
      </c>
      <c r="G148" s="327">
        <f>IFERROR(IF(VLOOKUP(B148,Detalle!$A:$AA,$G$1,0)=0,"Sin datos",IFERROR(VLOOKUP(B148,Detalle!$A:$AA,$G$1,0),"Sin datos")),"")</f>
        <v/>
      </c>
      <c r="H148" s="93">
        <f>IFERROR(IF(VLOOKUP(B148,Detalle!$A:$AA,$H$1,0)=0,"Sin datos",IFERROR(VLOOKUP(B148,Detalle!$A:$AA,$H$1,0),"Sin datos")),"")</f>
        <v/>
      </c>
      <c r="I148" s="327">
        <f>IFERROR(IF(VLOOKUP(B148,Detalle!$A:$AA,$I$1,0)=0,"Sin datos",IFERROR(VLOOKUP(B148,Detalle!$A:$AA,$I$1,0),"Sin datos")),"")</f>
        <v/>
      </c>
      <c r="J148" s="93">
        <f>IFERROR(IF(VLOOKUP(B148,Detalle!$A:$AA,$J$1,0)=0,"Sin datos",IFERROR(VLOOKUP(B148,Detalle!$A:$AA,$J$1,0),"Sin datos")),"")</f>
        <v/>
      </c>
      <c r="K148" s="98" t="n"/>
      <c r="L148" s="328" t="n"/>
      <c r="M148" s="329">
        <f>IFERROR(IF(MIN(H148,J148)=F148,IF(G148=I148,"Escenario 5","Escenario 4"),IF(MIN(H148,J148)&lt;F148,IF(AND(F148-2&lt;=MIN(H148,J148),G148&lt;&gt;I148),"Escenario 1",IF(AND(F148-2&lt;=MIN(H148,J148),G148=I148),"Escenario 2","Escenario 3")),IF(MIN(H148,J148)&gt;F148,IF(AND(F148+2&gt;=MIN(H148,J148),G148=I148),"Escenario 7",IF(AND(F148+2&gt;=MIN(H148,J148),G148&lt;&gt;I148),"Escenario 6",IF(F148+5&lt;=MIN(H148,J148),"Escenario 9","Escenario 8"))),"error"))),"Falta info")</f>
        <v/>
      </c>
      <c r="N148" s="98">
        <f>IFERROR(VLOOKUP(M148,Base!$BJ$28:$BL$36,3,0),0)</f>
        <v/>
      </c>
      <c r="O148" s="330" t="n"/>
      <c r="P148" s="330" t="n"/>
      <c r="Q148" s="327" t="n"/>
      <c r="R148" s="93" t="n"/>
      <c r="S148" s="327" t="n"/>
      <c r="T148" s="93" t="n"/>
      <c r="U148" s="327" t="n"/>
      <c r="V148" s="93" t="n"/>
      <c r="W148" s="98" t="n"/>
      <c r="X148" s="328">
        <f>MIN(Q148,S148,U148)</f>
        <v/>
      </c>
      <c r="Y148" s="328">
        <f>IFERROR(IF(MIN(T148,V148)=R148,IF(S148=U148,"Escenario 5","Escenario 4"),IF(MIN(T148,V148)&lt;R148,IF(AND(R148-2&lt;=MIN(T148,V148),S148&lt;&gt;U148),"Escenario 1",IF(AND(R148-2&lt;=MIN(T148,V148),S148=U148),"Escenario 2","Escenario 3")),IF(MIN(T148,V148)&gt;R148,IF(AND(R148+2&gt;=MIN(T148,V148),S148=U148),"Escenario 7",IF(AND(R148+2&gt;=MIN(T148,V148),S148&lt;&gt;U148),"Escenario 6",IF(R148+5&lt;=MIN(T148,V148),"Escenario 9","Escenario 8"))),"error"))),"Falta info")</f>
        <v/>
      </c>
      <c r="Z148" s="98">
        <f>IFERROR(VLOOKUP(Y148,Base!$BJ$19:$BL$27,3,0),0)</f>
        <v/>
      </c>
      <c r="AA148" s="330" t="n"/>
      <c r="AB148" s="330" t="n"/>
      <c r="AC148" s="327" t="n"/>
      <c r="AD148" s="93" t="n"/>
      <c r="AE148" s="327" t="n"/>
      <c r="AF148" s="93" t="n"/>
      <c r="AG148" s="327" t="n"/>
      <c r="AH148" s="93" t="n"/>
      <c r="AI148" s="98">
        <f>IF(AB148="",IF(MIN(AC148,AE148,AG148)&gt;E148,"Si","No"),IF(MIN(AC148,AG148,AG148)&gt;AB148,"Si","No"))</f>
        <v/>
      </c>
      <c r="AJ148" s="328">
        <f>MIN(AC148,AE148,AG148)</f>
        <v/>
      </c>
      <c r="AK148" s="328">
        <f>IFERROR(IF(MIN(AF148,AH148)=AD148,IF(AE148=AG148,"Escenario 5","Escenario 4"),IF(MIN(AF148,AH148)&lt;AD148,IF(AND(AD148-2&lt;=MIN(AF148,AH148),AE148&lt;&gt;AG148),"Escenario 1",IF(AND(AD148-2&lt;=MIN(AF148,AH148),AE148=AG148),"Escenario 2","Escenario 3")),IF(MIN(AF148,AH148)&gt;AD148,IF(AND(AD148+2&gt;=MIN(AF148,AH148),AE148=AG148),"Escenario 7",IF(AND(AD148+2&gt;=MIN(AF148,AH148),AE148&lt;&gt;AG148),"Escenario 6",IF(AD148+5&lt;=MIN(AF148,AH148),"Escenario 9","Escenario 8"))),"error"))),"Falta info")</f>
        <v/>
      </c>
      <c r="AL148" s="98">
        <f>IFERROR(VLOOKUP(AK148,Base!$BJ$37:$BL$45,3,0),0)</f>
        <v/>
      </c>
      <c r="AM148" s="330">
        <f>IF(LOOKUP(AK148,Base!$X$8:$BG$8)=AK148,VLOOKUP(B148,Base!E:BG,AL148,0),0)</f>
        <v/>
      </c>
      <c r="AN148" s="330" t="e">
        <v>#N/A</v>
      </c>
    </row>
    <row customHeight="1" ht="12.95" r="149" s="183" spans="1:43">
      <c r="B149" s="108" t="n"/>
      <c r="C149" s="89" t="n"/>
      <c r="D149" s="106">
        <f>VLOOKUP(B149,Base!E:G,3,0)</f>
        <v/>
      </c>
      <c r="E149" s="326" t="n"/>
      <c r="F149" s="91">
        <f>IFERROR(IF(VLOOKUP(B149,Detalle!$A:$AA,$F$1,0)=0,"Sin datos",IFERROR(VLOOKUP(B149,Detalle!$A:$AA,$F$1,0),"Sin datos")),"")</f>
        <v/>
      </c>
      <c r="G149" s="327">
        <f>IFERROR(IF(VLOOKUP(B149,Detalle!$A:$AA,$G$1,0)=0,"Sin datos",IFERROR(VLOOKUP(B149,Detalle!$A:$AA,$G$1,0),"Sin datos")),"")</f>
        <v/>
      </c>
      <c r="H149" s="93">
        <f>IFERROR(IF(VLOOKUP(B149,Detalle!$A:$AA,$H$1,0)=0,"Sin datos",IFERROR(VLOOKUP(B149,Detalle!$A:$AA,$H$1,0),"Sin datos")),"")</f>
        <v/>
      </c>
      <c r="I149" s="327">
        <f>IFERROR(IF(VLOOKUP(B149,Detalle!$A:$AA,$I$1,0)=0,"Sin datos",IFERROR(VLOOKUP(B149,Detalle!$A:$AA,$I$1,0),"Sin datos")),"")</f>
        <v/>
      </c>
      <c r="J149" s="93">
        <f>IFERROR(IF(VLOOKUP(B149,Detalle!$A:$AA,$J$1,0)=0,"Sin datos",IFERROR(VLOOKUP(B149,Detalle!$A:$AA,$J$1,0),"Sin datos")),"")</f>
        <v/>
      </c>
      <c r="K149" s="98" t="n"/>
      <c r="L149" s="328" t="n"/>
      <c r="M149" s="329">
        <f>IFERROR(IF(MIN(H149,J149)=F149,IF(G149=I149,"Escenario 5","Escenario 4"),IF(MIN(H149,J149)&lt;F149,IF(AND(F149-2&lt;=MIN(H149,J149),G149&lt;&gt;I149),"Escenario 1",IF(AND(F149-2&lt;=MIN(H149,J149),G149=I149),"Escenario 2","Escenario 3")),IF(MIN(H149,J149)&gt;F149,IF(AND(F149+2&gt;=MIN(H149,J149),G149=I149),"Escenario 7",IF(AND(F149+2&gt;=MIN(H149,J149),G149&lt;&gt;I149),"Escenario 6",IF(F149+5&lt;=MIN(H149,J149),"Escenario 9","Escenario 8"))),"error"))),"Falta info")</f>
        <v/>
      </c>
      <c r="N149" s="98">
        <f>IFERROR(VLOOKUP(M149,Base!$BJ$28:$BL$36,3,0),0)</f>
        <v/>
      </c>
      <c r="O149" s="330" t="n"/>
      <c r="P149" s="330" t="n"/>
      <c r="Q149" s="327" t="n"/>
      <c r="R149" s="93" t="n"/>
      <c r="S149" s="327" t="n"/>
      <c r="T149" s="93" t="n"/>
      <c r="U149" s="327" t="n"/>
      <c r="V149" s="93" t="n"/>
      <c r="W149" s="98" t="n"/>
      <c r="X149" s="328">
        <f>MIN(Q149,S149,U149)</f>
        <v/>
      </c>
      <c r="Y149" s="328">
        <f>IFERROR(IF(MIN(T149,V149)=R149,IF(S149=U149,"Escenario 5","Escenario 4"),IF(MIN(T149,V149)&lt;R149,IF(AND(R149-2&lt;=MIN(T149,V149),S149&lt;&gt;U149),"Escenario 1",IF(AND(R149-2&lt;=MIN(T149,V149),S149=U149),"Escenario 2","Escenario 3")),IF(MIN(T149,V149)&gt;R149,IF(AND(R149+2&gt;=MIN(T149,V149),S149=U149),"Escenario 7",IF(AND(R149+2&gt;=MIN(T149,V149),S149&lt;&gt;U149),"Escenario 6",IF(R149+5&lt;=MIN(T149,V149),"Escenario 9","Escenario 8"))),"error"))),"Falta info")</f>
        <v/>
      </c>
      <c r="Z149" s="98">
        <f>IFERROR(VLOOKUP(Y149,Base!$BJ$19:$BL$27,3,0),0)</f>
        <v/>
      </c>
      <c r="AA149" s="330" t="n"/>
      <c r="AB149" s="330" t="n"/>
      <c r="AC149" s="327" t="n"/>
      <c r="AD149" s="93" t="n"/>
      <c r="AE149" s="327" t="n"/>
      <c r="AF149" s="93" t="n"/>
      <c r="AG149" s="327" t="n"/>
      <c r="AH149" s="93" t="n"/>
      <c r="AI149" s="98">
        <f>IF(AB149="",IF(MIN(AC149,AE149,AG149)&gt;E149,"Si","No"),IF(MIN(AC149,AG149,AG149)&gt;AB149,"Si","No"))</f>
        <v/>
      </c>
      <c r="AJ149" s="328">
        <f>MIN(AC149,AE149,AG149)</f>
        <v/>
      </c>
      <c r="AK149" s="328">
        <f>IFERROR(IF(MIN(AF149,AH149)=AD149,IF(AE149=AG149,"Escenario 5","Escenario 4"),IF(MIN(AF149,AH149)&lt;AD149,IF(AND(AD149-2&lt;=MIN(AF149,AH149),AE149&lt;&gt;AG149),"Escenario 1",IF(AND(AD149-2&lt;=MIN(AF149,AH149),AE149=AG149),"Escenario 2","Escenario 3")),IF(MIN(AF149,AH149)&gt;AD149,IF(AND(AD149+2&gt;=MIN(AF149,AH149),AE149=AG149),"Escenario 7",IF(AND(AD149+2&gt;=MIN(AF149,AH149),AE149&lt;&gt;AG149),"Escenario 6",IF(AD149+5&lt;=MIN(AF149,AH149),"Escenario 9","Escenario 8"))),"error"))),"Falta info")</f>
        <v/>
      </c>
      <c r="AL149" s="98">
        <f>IFERROR(VLOOKUP(AK149,Base!$BJ$37:$BL$45,3,0),0)</f>
        <v/>
      </c>
      <c r="AM149" s="330">
        <f>IF(LOOKUP(AK149,Base!$X$8:$BG$8)=AK149,VLOOKUP(B149,Base!E:BG,AL149,0),0)</f>
        <v/>
      </c>
      <c r="AN149" s="330" t="e">
        <v>#N/A</v>
      </c>
    </row>
    <row customHeight="1" ht="12.95" r="150" s="183" spans="1:43">
      <c r="B150" s="108" t="n"/>
      <c r="C150" s="89" t="n"/>
      <c r="D150" s="106">
        <f>VLOOKUP(B150,Base!E:G,3,0)</f>
        <v/>
      </c>
      <c r="E150" s="326" t="n"/>
      <c r="F150" s="91">
        <f>IFERROR(IF(VLOOKUP(B150,Detalle!$A:$AA,$F$1,0)=0,"Sin datos",IFERROR(VLOOKUP(B150,Detalle!$A:$AA,$F$1,0),"Sin datos")),"")</f>
        <v/>
      </c>
      <c r="G150" s="327">
        <f>IFERROR(IF(VLOOKUP(B150,Detalle!$A:$AA,$G$1,0)=0,"Sin datos",IFERROR(VLOOKUP(B150,Detalle!$A:$AA,$G$1,0),"Sin datos")),"")</f>
        <v/>
      </c>
      <c r="H150" s="93">
        <f>IFERROR(IF(VLOOKUP(B150,Detalle!$A:$AA,$H$1,0)=0,"Sin datos",IFERROR(VLOOKUP(B150,Detalle!$A:$AA,$H$1,0),"Sin datos")),"")</f>
        <v/>
      </c>
      <c r="I150" s="327">
        <f>IFERROR(IF(VLOOKUP(B150,Detalle!$A:$AA,$I$1,0)=0,"Sin datos",IFERROR(VLOOKUP(B150,Detalle!$A:$AA,$I$1,0),"Sin datos")),"")</f>
        <v/>
      </c>
      <c r="J150" s="93">
        <f>IFERROR(IF(VLOOKUP(B150,Detalle!$A:$AA,$J$1,0)=0,"Sin datos",IFERROR(VLOOKUP(B150,Detalle!$A:$AA,$J$1,0),"Sin datos")),"")</f>
        <v/>
      </c>
      <c r="K150" s="98" t="n"/>
      <c r="L150" s="328" t="n"/>
      <c r="M150" s="329">
        <f>IFERROR(IF(MIN(H150,J150)=F150,IF(G150=I150,"Escenario 5","Escenario 4"),IF(MIN(H150,J150)&lt;F150,IF(AND(F150-2&lt;=MIN(H150,J150),G150&lt;&gt;I150),"Escenario 1",IF(AND(F150-2&lt;=MIN(H150,J150),G150=I150),"Escenario 2","Escenario 3")),IF(MIN(H150,J150)&gt;F150,IF(AND(F150+2&gt;=MIN(H150,J150),G150=I150),"Escenario 7",IF(AND(F150+2&gt;=MIN(H150,J150),G150&lt;&gt;I150),"Escenario 6",IF(F150+5&lt;=MIN(H150,J150),"Escenario 9","Escenario 8"))),"error"))),"Falta info")</f>
        <v/>
      </c>
      <c r="N150" s="98">
        <f>IFERROR(VLOOKUP(M150,Base!$BJ$28:$BL$36,3,0),0)</f>
        <v/>
      </c>
      <c r="O150" s="330" t="n"/>
      <c r="P150" s="330" t="n"/>
      <c r="Q150" s="327" t="n"/>
      <c r="R150" s="93" t="n"/>
      <c r="S150" s="327" t="n"/>
      <c r="T150" s="93" t="n"/>
      <c r="U150" s="327" t="n"/>
      <c r="V150" s="93" t="n"/>
      <c r="W150" s="98" t="n"/>
      <c r="X150" s="328">
        <f>MIN(Q150,S150,U150)</f>
        <v/>
      </c>
      <c r="Y150" s="328">
        <f>IFERROR(IF(MIN(T150,V150)=R150,IF(S150=U150,"Escenario 5","Escenario 4"),IF(MIN(T150,V150)&lt;R150,IF(AND(R150-2&lt;=MIN(T150,V150),S150&lt;&gt;U150),"Escenario 1",IF(AND(R150-2&lt;=MIN(T150,V150),S150=U150),"Escenario 2","Escenario 3")),IF(MIN(T150,V150)&gt;R150,IF(AND(R150+2&gt;=MIN(T150,V150),S150=U150),"Escenario 7",IF(AND(R150+2&gt;=MIN(T150,V150),S150&lt;&gt;U150),"Escenario 6",IF(R150+5&lt;=MIN(T150,V150),"Escenario 9","Escenario 8"))),"error"))),"Falta info")</f>
        <v/>
      </c>
      <c r="Z150" s="98">
        <f>IFERROR(VLOOKUP(Y150,Base!$BJ$19:$BL$27,3,0),0)</f>
        <v/>
      </c>
      <c r="AA150" s="330" t="n"/>
      <c r="AB150" s="330" t="n"/>
      <c r="AC150" s="327" t="n"/>
      <c r="AD150" s="93" t="n"/>
      <c r="AE150" s="327" t="n"/>
      <c r="AF150" s="93" t="n"/>
      <c r="AG150" s="327" t="n"/>
      <c r="AH150" s="93" t="n"/>
      <c r="AI150" s="98">
        <f>IF(AB150="",IF(MIN(AC150,AE150,AG150)&gt;E150,"Si","No"),IF(MIN(AC150,AG150,AG150)&gt;AB150,"Si","No"))</f>
        <v/>
      </c>
      <c r="AJ150" s="328">
        <f>MIN(AC150,AE150,AG150)</f>
        <v/>
      </c>
      <c r="AK150" s="328">
        <f>IFERROR(IF(MIN(AF150,AH150)=AD150,IF(AE150=AG150,"Escenario 5","Escenario 4"),IF(MIN(AF150,AH150)&lt;AD150,IF(AND(AD150-2&lt;=MIN(AF150,AH150),AE150&lt;&gt;AG150),"Escenario 1",IF(AND(AD150-2&lt;=MIN(AF150,AH150),AE150=AG150),"Escenario 2","Escenario 3")),IF(MIN(AF150,AH150)&gt;AD150,IF(AND(AD150+2&gt;=MIN(AF150,AH150),AE150=AG150),"Escenario 7",IF(AND(AD150+2&gt;=MIN(AF150,AH150),AE150&lt;&gt;AG150),"Escenario 6",IF(AD150+5&lt;=MIN(AF150,AH150),"Escenario 9","Escenario 8"))),"error"))),"Falta info")</f>
        <v/>
      </c>
      <c r="AL150" s="98">
        <f>IFERROR(VLOOKUP(AK150,Base!$BJ$37:$BL$45,3,0),0)</f>
        <v/>
      </c>
      <c r="AM150" s="330">
        <f>IF(LOOKUP(AK150,Base!$X$8:$BG$8)=AK150,VLOOKUP(B150,Base!E:BG,AL150,0),0)</f>
        <v/>
      </c>
      <c r="AN150" s="330" t="e">
        <v>#N/A</v>
      </c>
    </row>
    <row customHeight="1" ht="12.95" r="151" s="183" spans="1:43">
      <c r="B151" s="108" t="n"/>
      <c r="C151" s="89" t="n"/>
      <c r="D151" s="106">
        <f>VLOOKUP(B151,Base!E:G,3,0)</f>
        <v/>
      </c>
      <c r="E151" s="326" t="n"/>
      <c r="F151" s="91">
        <f>IFERROR(IF(VLOOKUP(B151,Detalle!$A:$AA,$F$1,0)=0,"Sin datos",IFERROR(VLOOKUP(B151,Detalle!$A:$AA,$F$1,0),"Sin datos")),"")</f>
        <v/>
      </c>
      <c r="G151" s="327">
        <f>IFERROR(IF(VLOOKUP(B151,Detalle!$A:$AA,$G$1,0)=0,"Sin datos",IFERROR(VLOOKUP(B151,Detalle!$A:$AA,$G$1,0),"Sin datos")),"")</f>
        <v/>
      </c>
      <c r="H151" s="93">
        <f>IFERROR(IF(VLOOKUP(B151,Detalle!$A:$AA,$H$1,0)=0,"Sin datos",IFERROR(VLOOKUP(B151,Detalle!$A:$AA,$H$1,0),"Sin datos")),"")</f>
        <v/>
      </c>
      <c r="I151" s="327">
        <f>IFERROR(IF(VLOOKUP(B151,Detalle!$A:$AA,$I$1,0)=0,"Sin datos",IFERROR(VLOOKUP(B151,Detalle!$A:$AA,$I$1,0),"Sin datos")),"")</f>
        <v/>
      </c>
      <c r="J151" s="93">
        <f>IFERROR(IF(VLOOKUP(B151,Detalle!$A:$AA,$J$1,0)=0,"Sin datos",IFERROR(VLOOKUP(B151,Detalle!$A:$AA,$J$1,0),"Sin datos")),"")</f>
        <v/>
      </c>
      <c r="K151" s="98" t="n"/>
      <c r="L151" s="328" t="n"/>
      <c r="M151" s="329">
        <f>IFERROR(IF(MIN(H151,J151)=F151,IF(G151=I151,"Escenario 5","Escenario 4"),IF(MIN(H151,J151)&lt;F151,IF(AND(F151-2&lt;=MIN(H151,J151),G151&lt;&gt;I151),"Escenario 1",IF(AND(F151-2&lt;=MIN(H151,J151),G151=I151),"Escenario 2","Escenario 3")),IF(MIN(H151,J151)&gt;F151,IF(AND(F151+2&gt;=MIN(H151,J151),G151=I151),"Escenario 7",IF(AND(F151+2&gt;=MIN(H151,J151),G151&lt;&gt;I151),"Escenario 6",IF(F151+5&lt;=MIN(H151,J151),"Escenario 9","Escenario 8"))),"error"))),"Falta info")</f>
        <v/>
      </c>
      <c r="N151" s="98">
        <f>IFERROR(VLOOKUP(M151,Base!$BJ$28:$BL$36,3,0),0)</f>
        <v/>
      </c>
      <c r="O151" s="330" t="n"/>
      <c r="P151" s="330" t="n"/>
      <c r="Q151" s="327" t="n"/>
      <c r="R151" s="93" t="n"/>
      <c r="S151" s="327" t="n"/>
      <c r="T151" s="93" t="n"/>
      <c r="U151" s="327" t="n"/>
      <c r="V151" s="93" t="n"/>
      <c r="W151" s="98" t="n"/>
      <c r="X151" s="328">
        <f>MIN(Q151,S151,U151)</f>
        <v/>
      </c>
      <c r="Y151" s="328">
        <f>IFERROR(IF(MIN(T151,V151)=R151,IF(S151=U151,"Escenario 5","Escenario 4"),IF(MIN(T151,V151)&lt;R151,IF(AND(R151-2&lt;=MIN(T151,V151),S151&lt;&gt;U151),"Escenario 1",IF(AND(R151-2&lt;=MIN(T151,V151),S151=U151),"Escenario 2","Escenario 3")),IF(MIN(T151,V151)&gt;R151,IF(AND(R151+2&gt;=MIN(T151,V151),S151=U151),"Escenario 7",IF(AND(R151+2&gt;=MIN(T151,V151),S151&lt;&gt;U151),"Escenario 6",IF(R151+5&lt;=MIN(T151,V151),"Escenario 9","Escenario 8"))),"error"))),"Falta info")</f>
        <v/>
      </c>
      <c r="Z151" s="98">
        <f>IFERROR(VLOOKUP(Y151,Base!$BJ$19:$BL$27,3,0),0)</f>
        <v/>
      </c>
      <c r="AA151" s="330" t="n"/>
      <c r="AB151" s="330" t="n"/>
      <c r="AC151" s="327" t="n"/>
      <c r="AD151" s="93" t="n"/>
      <c r="AE151" s="327" t="n"/>
      <c r="AF151" s="93" t="n"/>
      <c r="AG151" s="327" t="n"/>
      <c r="AH151" s="93" t="n"/>
      <c r="AI151" s="98">
        <f>IF(AB151="",IF(MIN(AC151,AE151,AG151)&gt;E151,"Si","No"),IF(MIN(AC151,AG151,AG151)&gt;AB151,"Si","No"))</f>
        <v/>
      </c>
      <c r="AJ151" s="328">
        <f>MIN(AC151,AE151,AG151)</f>
        <v/>
      </c>
      <c r="AK151" s="328">
        <f>IFERROR(IF(MIN(AF151,AH151)=AD151,IF(AE151=AG151,"Escenario 5","Escenario 4"),IF(MIN(AF151,AH151)&lt;AD151,IF(AND(AD151-2&lt;=MIN(AF151,AH151),AE151&lt;&gt;AG151),"Escenario 1",IF(AND(AD151-2&lt;=MIN(AF151,AH151),AE151=AG151),"Escenario 2","Escenario 3")),IF(MIN(AF151,AH151)&gt;AD151,IF(AND(AD151+2&gt;=MIN(AF151,AH151),AE151=AG151),"Escenario 7",IF(AND(AD151+2&gt;=MIN(AF151,AH151),AE151&lt;&gt;AG151),"Escenario 6",IF(AD151+5&lt;=MIN(AF151,AH151),"Escenario 9","Escenario 8"))),"error"))),"Falta info")</f>
        <v/>
      </c>
      <c r="AL151" s="98">
        <f>IFERROR(VLOOKUP(AK151,Base!$BJ$37:$BL$45,3,0),0)</f>
        <v/>
      </c>
      <c r="AM151" s="330">
        <f>IF(LOOKUP(AK151,Base!$X$8:$BG$8)=AK151,VLOOKUP(B151,Base!E:BG,AL151,0),0)</f>
        <v/>
      </c>
      <c r="AN151" s="330" t="e">
        <v>#N/A</v>
      </c>
    </row>
    <row customHeight="1" ht="12.95" r="152" s="183" spans="1:43">
      <c r="B152" s="108" t="n"/>
      <c r="C152" s="89" t="n"/>
      <c r="D152" s="106">
        <f>VLOOKUP(B152,Base!E:G,3,0)</f>
        <v/>
      </c>
      <c r="E152" s="326" t="n"/>
      <c r="F152" s="91">
        <f>IFERROR(IF(VLOOKUP(B152,Detalle!$A:$AA,$F$1,0)=0,"Sin datos",IFERROR(VLOOKUP(B152,Detalle!$A:$AA,$F$1,0),"Sin datos")),"")</f>
        <v/>
      </c>
      <c r="G152" s="327">
        <f>IFERROR(IF(VLOOKUP(B152,Detalle!$A:$AA,$G$1,0)=0,"Sin datos",IFERROR(VLOOKUP(B152,Detalle!$A:$AA,$G$1,0),"Sin datos")),"")</f>
        <v/>
      </c>
      <c r="H152" s="93">
        <f>IFERROR(IF(VLOOKUP(B152,Detalle!$A:$AA,$H$1,0)=0,"Sin datos",IFERROR(VLOOKUP(B152,Detalle!$A:$AA,$H$1,0),"Sin datos")),"")</f>
        <v/>
      </c>
      <c r="I152" s="327">
        <f>IFERROR(IF(VLOOKUP(B152,Detalle!$A:$AA,$I$1,0)=0,"Sin datos",IFERROR(VLOOKUP(B152,Detalle!$A:$AA,$I$1,0),"Sin datos")),"")</f>
        <v/>
      </c>
      <c r="J152" s="93">
        <f>IFERROR(IF(VLOOKUP(B152,Detalle!$A:$AA,$J$1,0)=0,"Sin datos",IFERROR(VLOOKUP(B152,Detalle!$A:$AA,$J$1,0),"Sin datos")),"")</f>
        <v/>
      </c>
      <c r="K152" s="98" t="n"/>
      <c r="L152" s="328" t="n"/>
      <c r="M152" s="329">
        <f>IFERROR(IF(MIN(H152,J152)=F152,IF(G152=I152,"Escenario 5","Escenario 4"),IF(MIN(H152,J152)&lt;F152,IF(AND(F152-2&lt;=MIN(H152,J152),G152&lt;&gt;I152),"Escenario 1",IF(AND(F152-2&lt;=MIN(H152,J152),G152=I152),"Escenario 2","Escenario 3")),IF(MIN(H152,J152)&gt;F152,IF(AND(F152+2&gt;=MIN(H152,J152),G152=I152),"Escenario 7",IF(AND(F152+2&gt;=MIN(H152,J152),G152&lt;&gt;I152),"Escenario 6",IF(F152+5&lt;=MIN(H152,J152),"Escenario 9","Escenario 8"))),"error"))),"Falta info")</f>
        <v/>
      </c>
      <c r="N152" s="98">
        <f>IFERROR(VLOOKUP(M152,Base!$BJ$28:$BL$36,3,0),0)</f>
        <v/>
      </c>
      <c r="O152" s="330" t="n"/>
      <c r="P152" s="330" t="n"/>
      <c r="Q152" s="327" t="n"/>
      <c r="R152" s="93" t="n"/>
      <c r="S152" s="327" t="n"/>
      <c r="T152" s="93" t="n"/>
      <c r="U152" s="327" t="n"/>
      <c r="V152" s="93" t="n"/>
      <c r="W152" s="98" t="n"/>
      <c r="X152" s="328">
        <f>MIN(Q152,S152,U152)</f>
        <v/>
      </c>
      <c r="Y152" s="328">
        <f>IFERROR(IF(MIN(T152,V152)=R152,IF(S152=U152,"Escenario 5","Escenario 4"),IF(MIN(T152,V152)&lt;R152,IF(AND(R152-2&lt;=MIN(T152,V152),S152&lt;&gt;U152),"Escenario 1",IF(AND(R152-2&lt;=MIN(T152,V152),S152=U152),"Escenario 2","Escenario 3")),IF(MIN(T152,V152)&gt;R152,IF(AND(R152+2&gt;=MIN(T152,V152),S152=U152),"Escenario 7",IF(AND(R152+2&gt;=MIN(T152,V152),S152&lt;&gt;U152),"Escenario 6",IF(R152+5&lt;=MIN(T152,V152),"Escenario 9","Escenario 8"))),"error"))),"Falta info")</f>
        <v/>
      </c>
      <c r="Z152" s="98">
        <f>IFERROR(VLOOKUP(Y152,Base!$BJ$19:$BL$27,3,0),0)</f>
        <v/>
      </c>
      <c r="AA152" s="330" t="n"/>
      <c r="AB152" s="330" t="n"/>
      <c r="AC152" s="327" t="n"/>
      <c r="AD152" s="93" t="n"/>
      <c r="AE152" s="327" t="n"/>
      <c r="AF152" s="93" t="n"/>
      <c r="AG152" s="327" t="n"/>
      <c r="AH152" s="93" t="n"/>
      <c r="AI152" s="98">
        <f>IF(AB152="",IF(MIN(AC152,AE152,AG152)&gt;E152,"Si","No"),IF(MIN(AC152,AG152,AG152)&gt;AB152,"Si","No"))</f>
        <v/>
      </c>
      <c r="AJ152" s="328">
        <f>MIN(AC152,AE152,AG152)</f>
        <v/>
      </c>
      <c r="AK152" s="328">
        <f>IFERROR(IF(MIN(AF152,AH152)=AD152,IF(AE152=AG152,"Escenario 5","Escenario 4"),IF(MIN(AF152,AH152)&lt;AD152,IF(AND(AD152-2&lt;=MIN(AF152,AH152),AE152&lt;&gt;AG152),"Escenario 1",IF(AND(AD152-2&lt;=MIN(AF152,AH152),AE152=AG152),"Escenario 2","Escenario 3")),IF(MIN(AF152,AH152)&gt;AD152,IF(AND(AD152+2&gt;=MIN(AF152,AH152),AE152=AG152),"Escenario 7",IF(AND(AD152+2&gt;=MIN(AF152,AH152),AE152&lt;&gt;AG152),"Escenario 6",IF(AD152+5&lt;=MIN(AF152,AH152),"Escenario 9","Escenario 8"))),"error"))),"Falta info")</f>
        <v/>
      </c>
      <c r="AL152" s="98">
        <f>IFERROR(VLOOKUP(AK152,Base!$BJ$37:$BL$45,3,0),0)</f>
        <v/>
      </c>
      <c r="AM152" s="330">
        <f>IF(LOOKUP(AK152,Base!$X$8:$BG$8)=AK152,VLOOKUP(B152,Base!E:BG,AL152,0),0)</f>
        <v/>
      </c>
      <c r="AN152" s="330" t="e">
        <v>#N/A</v>
      </c>
    </row>
    <row customHeight="1" ht="12.95" r="153" s="183" spans="1:43">
      <c r="B153" s="108" t="n"/>
      <c r="C153" s="89" t="n"/>
      <c r="D153" s="106">
        <f>VLOOKUP(B153,Base!E:G,3,0)</f>
        <v/>
      </c>
      <c r="E153" s="326" t="n"/>
      <c r="F153" s="91">
        <f>IFERROR(IF(VLOOKUP(B153,Detalle!$A:$AA,$F$1,0)=0,"Sin datos",IFERROR(VLOOKUP(B153,Detalle!$A:$AA,$F$1,0),"Sin datos")),"")</f>
        <v/>
      </c>
      <c r="G153" s="327">
        <f>IFERROR(IF(VLOOKUP(B153,Detalle!$A:$AA,$G$1,0)=0,"Sin datos",IFERROR(VLOOKUP(B153,Detalle!$A:$AA,$G$1,0),"Sin datos")),"")</f>
        <v/>
      </c>
      <c r="H153" s="93">
        <f>IFERROR(IF(VLOOKUP(B153,Detalle!$A:$AA,$H$1,0)=0,"Sin datos",IFERROR(VLOOKUP(B153,Detalle!$A:$AA,$H$1,0),"Sin datos")),"")</f>
        <v/>
      </c>
      <c r="I153" s="327">
        <f>IFERROR(IF(VLOOKUP(B153,Detalle!$A:$AA,$I$1,0)=0,"Sin datos",IFERROR(VLOOKUP(B153,Detalle!$A:$AA,$I$1,0),"Sin datos")),"")</f>
        <v/>
      </c>
      <c r="J153" s="93">
        <f>IFERROR(IF(VLOOKUP(B153,Detalle!$A:$AA,$J$1,0)=0,"Sin datos",IFERROR(VLOOKUP(B153,Detalle!$A:$AA,$J$1,0),"Sin datos")),"")</f>
        <v/>
      </c>
      <c r="K153" s="98" t="n"/>
      <c r="L153" s="328" t="n"/>
      <c r="M153" s="329">
        <f>IFERROR(IF(MIN(H153,J153)=F153,IF(G153=I153,"Escenario 5","Escenario 4"),IF(MIN(H153,J153)&lt;F153,IF(AND(F153-2&lt;=MIN(H153,J153),G153&lt;&gt;I153),"Escenario 1",IF(AND(F153-2&lt;=MIN(H153,J153),G153=I153),"Escenario 2","Escenario 3")),IF(MIN(H153,J153)&gt;F153,IF(AND(F153+2&gt;=MIN(H153,J153),G153=I153),"Escenario 7",IF(AND(F153+2&gt;=MIN(H153,J153),G153&lt;&gt;I153),"Escenario 6",IF(F153+5&lt;=MIN(H153,J153),"Escenario 9","Escenario 8"))),"error"))),"Falta info")</f>
        <v/>
      </c>
      <c r="N153" s="98">
        <f>IFERROR(VLOOKUP(M153,Base!$BJ$28:$BL$36,3,0),0)</f>
        <v/>
      </c>
      <c r="O153" s="330" t="n"/>
      <c r="P153" s="330" t="n"/>
      <c r="Q153" s="327" t="n"/>
      <c r="R153" s="93" t="n"/>
      <c r="S153" s="327" t="n"/>
      <c r="T153" s="93" t="n"/>
      <c r="U153" s="327" t="n"/>
      <c r="V153" s="93" t="n"/>
      <c r="W153" s="98" t="n"/>
      <c r="X153" s="328">
        <f>MIN(Q153,S153,U153)</f>
        <v/>
      </c>
      <c r="Y153" s="328">
        <f>IFERROR(IF(MIN(T153,V153)=R153,IF(S153=U153,"Escenario 5","Escenario 4"),IF(MIN(T153,V153)&lt;R153,IF(AND(R153-2&lt;=MIN(T153,V153),S153&lt;&gt;U153),"Escenario 1",IF(AND(R153-2&lt;=MIN(T153,V153),S153=U153),"Escenario 2","Escenario 3")),IF(MIN(T153,V153)&gt;R153,IF(AND(R153+2&gt;=MIN(T153,V153),S153=U153),"Escenario 7",IF(AND(R153+2&gt;=MIN(T153,V153),S153&lt;&gt;U153),"Escenario 6",IF(R153+5&lt;=MIN(T153,V153),"Escenario 9","Escenario 8"))),"error"))),"Falta info")</f>
        <v/>
      </c>
      <c r="Z153" s="98">
        <f>IFERROR(VLOOKUP(Y153,Base!$BJ$19:$BL$27,3,0),0)</f>
        <v/>
      </c>
      <c r="AA153" s="330" t="n"/>
      <c r="AB153" s="330" t="n"/>
      <c r="AC153" s="327" t="n"/>
      <c r="AD153" s="93" t="n"/>
      <c r="AE153" s="327" t="n"/>
      <c r="AF153" s="93" t="n"/>
      <c r="AG153" s="327" t="n"/>
      <c r="AH153" s="93" t="n"/>
      <c r="AI153" s="98">
        <f>IF(AB153="",IF(MIN(AC153,AE153,AG153)&gt;E153,"Si","No"),IF(MIN(AC153,AG153,AG153)&gt;AB153,"Si","No"))</f>
        <v/>
      </c>
      <c r="AJ153" s="328">
        <f>MIN(AC153,AE153,AG153)</f>
        <v/>
      </c>
      <c r="AK153" s="328">
        <f>IFERROR(IF(MIN(AF153,AH153)=AD153,IF(AE153=AG153,"Escenario 5","Escenario 4"),IF(MIN(AF153,AH153)&lt;AD153,IF(AND(AD153-2&lt;=MIN(AF153,AH153),AE153&lt;&gt;AG153),"Escenario 1",IF(AND(AD153-2&lt;=MIN(AF153,AH153),AE153=AG153),"Escenario 2","Escenario 3")),IF(MIN(AF153,AH153)&gt;AD153,IF(AND(AD153+2&gt;=MIN(AF153,AH153),AE153=AG153),"Escenario 7",IF(AND(AD153+2&gt;=MIN(AF153,AH153),AE153&lt;&gt;AG153),"Escenario 6",IF(AD153+5&lt;=MIN(AF153,AH153),"Escenario 9","Escenario 8"))),"error"))),"Falta info")</f>
        <v/>
      </c>
      <c r="AL153" s="98">
        <f>IFERROR(VLOOKUP(AK153,Base!$BJ$37:$BL$45,3,0),0)</f>
        <v/>
      </c>
      <c r="AM153" s="330">
        <f>IF(LOOKUP(AK153,Base!$X$8:$BG$8)=AK153,VLOOKUP(B153,Base!E:BG,AL153,0),0)</f>
        <v/>
      </c>
      <c r="AN153" s="330" t="e">
        <v>#N/A</v>
      </c>
    </row>
    <row customHeight="1" ht="12.95" r="154" s="183" spans="1:43">
      <c r="B154" s="108" t="n"/>
      <c r="C154" s="89" t="n"/>
      <c r="D154" s="106">
        <f>VLOOKUP(B154,Base!E:G,3,0)</f>
        <v/>
      </c>
      <c r="E154" s="326" t="n"/>
      <c r="F154" s="91">
        <f>IFERROR(IF(VLOOKUP(B154,Detalle!$A:$AA,$F$1,0)=0,"Sin datos",IFERROR(VLOOKUP(B154,Detalle!$A:$AA,$F$1,0),"Sin datos")),"")</f>
        <v/>
      </c>
      <c r="G154" s="327">
        <f>IFERROR(IF(VLOOKUP(B154,Detalle!$A:$AA,$G$1,0)=0,"Sin datos",IFERROR(VLOOKUP(B154,Detalle!$A:$AA,$G$1,0),"Sin datos")),"")</f>
        <v/>
      </c>
      <c r="H154" s="93">
        <f>IFERROR(IF(VLOOKUP(B154,Detalle!$A:$AA,$H$1,0)=0,"Sin datos",IFERROR(VLOOKUP(B154,Detalle!$A:$AA,$H$1,0),"Sin datos")),"")</f>
        <v/>
      </c>
      <c r="I154" s="327">
        <f>IFERROR(IF(VLOOKUP(B154,Detalle!$A:$AA,$I$1,0)=0,"Sin datos",IFERROR(VLOOKUP(B154,Detalle!$A:$AA,$I$1,0),"Sin datos")),"")</f>
        <v/>
      </c>
      <c r="J154" s="93">
        <f>IFERROR(IF(VLOOKUP(B154,Detalle!$A:$AA,$J$1,0)=0,"Sin datos",IFERROR(VLOOKUP(B154,Detalle!$A:$AA,$J$1,0),"Sin datos")),"")</f>
        <v/>
      </c>
      <c r="K154" s="98" t="n"/>
      <c r="L154" s="328" t="n"/>
      <c r="M154" s="329">
        <f>IFERROR(IF(MIN(H154,J154)=F154,IF(G154=I154,"Escenario 5","Escenario 4"),IF(MIN(H154,J154)&lt;F154,IF(AND(F154-2&lt;=MIN(H154,J154),G154&lt;&gt;I154),"Escenario 1",IF(AND(F154-2&lt;=MIN(H154,J154),G154=I154),"Escenario 2","Escenario 3")),IF(MIN(H154,J154)&gt;F154,IF(AND(F154+2&gt;=MIN(H154,J154),G154=I154),"Escenario 7",IF(AND(F154+2&gt;=MIN(H154,J154),G154&lt;&gt;I154),"Escenario 6",IF(F154+5&lt;=MIN(H154,J154),"Escenario 9","Escenario 8"))),"error"))),"Falta info")</f>
        <v/>
      </c>
      <c r="N154" s="98">
        <f>IFERROR(VLOOKUP(M154,Base!$BJ$28:$BL$36,3,0),0)</f>
        <v/>
      </c>
      <c r="O154" s="330" t="n"/>
      <c r="P154" s="330" t="n"/>
      <c r="Q154" s="327" t="n"/>
      <c r="R154" s="93" t="n"/>
      <c r="S154" s="327" t="n"/>
      <c r="T154" s="93" t="n"/>
      <c r="U154" s="327" t="n"/>
      <c r="V154" s="93" t="n"/>
      <c r="W154" s="98" t="n"/>
      <c r="X154" s="328">
        <f>MIN(Q154,S154,U154)</f>
        <v/>
      </c>
      <c r="Y154" s="328">
        <f>IFERROR(IF(MIN(T154,V154)=R154,IF(S154=U154,"Escenario 5","Escenario 4"),IF(MIN(T154,V154)&lt;R154,IF(AND(R154-2&lt;=MIN(T154,V154),S154&lt;&gt;U154),"Escenario 1",IF(AND(R154-2&lt;=MIN(T154,V154),S154=U154),"Escenario 2","Escenario 3")),IF(MIN(T154,V154)&gt;R154,IF(AND(R154+2&gt;=MIN(T154,V154),S154=U154),"Escenario 7",IF(AND(R154+2&gt;=MIN(T154,V154),S154&lt;&gt;U154),"Escenario 6",IF(R154+5&lt;=MIN(T154,V154),"Escenario 9","Escenario 8"))),"error"))),"Falta info")</f>
        <v/>
      </c>
      <c r="Z154" s="98">
        <f>IFERROR(VLOOKUP(Y154,Base!$BJ$19:$BL$27,3,0),0)</f>
        <v/>
      </c>
      <c r="AA154" s="330" t="n"/>
      <c r="AB154" s="330" t="n"/>
      <c r="AC154" s="327" t="n"/>
      <c r="AD154" s="93" t="n"/>
      <c r="AE154" s="327" t="n"/>
      <c r="AF154" s="93" t="n"/>
      <c r="AG154" s="327" t="n"/>
      <c r="AH154" s="93" t="n"/>
      <c r="AI154" s="98">
        <f>IF(AB154="",IF(MIN(AC154,AE154,AG154)&gt;E154,"Si","No"),IF(MIN(AC154,AG154,AG154)&gt;AB154,"Si","No"))</f>
        <v/>
      </c>
      <c r="AJ154" s="328">
        <f>MIN(AC154,AE154,AG154)</f>
        <v/>
      </c>
      <c r="AK154" s="328">
        <f>IFERROR(IF(MIN(AF154,AH154)=AD154,IF(AE154=AG154,"Escenario 5","Escenario 4"),IF(MIN(AF154,AH154)&lt;AD154,IF(AND(AD154-2&lt;=MIN(AF154,AH154),AE154&lt;&gt;AG154),"Escenario 1",IF(AND(AD154-2&lt;=MIN(AF154,AH154),AE154=AG154),"Escenario 2","Escenario 3")),IF(MIN(AF154,AH154)&gt;AD154,IF(AND(AD154+2&gt;=MIN(AF154,AH154),AE154=AG154),"Escenario 7",IF(AND(AD154+2&gt;=MIN(AF154,AH154),AE154&lt;&gt;AG154),"Escenario 6",IF(AD154+5&lt;=MIN(AF154,AH154),"Escenario 9","Escenario 8"))),"error"))),"Falta info")</f>
        <v/>
      </c>
      <c r="AL154" s="98">
        <f>IFERROR(VLOOKUP(AK154,Base!$BJ$37:$BL$45,3,0),0)</f>
        <v/>
      </c>
      <c r="AM154" s="330">
        <f>IF(LOOKUP(AK154,Base!$X$8:$BG$8)=AK154,VLOOKUP(B154,Base!E:BG,AL154,0),0)</f>
        <v/>
      </c>
      <c r="AN154" s="330" t="e">
        <v>#N/A</v>
      </c>
    </row>
    <row customHeight="1" ht="12.95" r="155" s="183" spans="1:43">
      <c r="B155" s="108" t="n"/>
      <c r="C155" s="89" t="n"/>
      <c r="D155" s="106">
        <f>VLOOKUP(B155,Base!E:G,3,0)</f>
        <v/>
      </c>
      <c r="E155" s="326" t="n"/>
      <c r="F155" s="91">
        <f>IFERROR(IF(VLOOKUP(B155,Detalle!$A:$AA,$F$1,0)=0,"Sin datos",IFERROR(VLOOKUP(B155,Detalle!$A:$AA,$F$1,0),"Sin datos")),"")</f>
        <v/>
      </c>
      <c r="G155" s="327">
        <f>IFERROR(IF(VLOOKUP(B155,Detalle!$A:$AA,$G$1,0)=0,"Sin datos",IFERROR(VLOOKUP(B155,Detalle!$A:$AA,$G$1,0),"Sin datos")),"")</f>
        <v/>
      </c>
      <c r="H155" s="93">
        <f>IFERROR(IF(VLOOKUP(B155,Detalle!$A:$AA,$H$1,0)=0,"Sin datos",IFERROR(VLOOKUP(B155,Detalle!$A:$AA,$H$1,0),"Sin datos")),"")</f>
        <v/>
      </c>
      <c r="I155" s="327">
        <f>IFERROR(IF(VLOOKUP(B155,Detalle!$A:$AA,$I$1,0)=0,"Sin datos",IFERROR(VLOOKUP(B155,Detalle!$A:$AA,$I$1,0),"Sin datos")),"")</f>
        <v/>
      </c>
      <c r="J155" s="93">
        <f>IFERROR(IF(VLOOKUP(B155,Detalle!$A:$AA,$J$1,0)=0,"Sin datos",IFERROR(VLOOKUP(B155,Detalle!$A:$AA,$J$1,0),"Sin datos")),"")</f>
        <v/>
      </c>
      <c r="K155" s="98" t="n"/>
      <c r="L155" s="328" t="n"/>
      <c r="M155" s="329">
        <f>IFERROR(IF(MIN(H155,J155)=F155,IF(G155=I155,"Escenario 5","Escenario 4"),IF(MIN(H155,J155)&lt;F155,IF(AND(F155-2&lt;=MIN(H155,J155),G155&lt;&gt;I155),"Escenario 1",IF(AND(F155-2&lt;=MIN(H155,J155),G155=I155),"Escenario 2","Escenario 3")),IF(MIN(H155,J155)&gt;F155,IF(AND(F155+2&gt;=MIN(H155,J155),G155=I155),"Escenario 7",IF(AND(F155+2&gt;=MIN(H155,J155),G155&lt;&gt;I155),"Escenario 6",IF(F155+5&lt;=MIN(H155,J155),"Escenario 9","Escenario 8"))),"error"))),"Falta info")</f>
        <v/>
      </c>
      <c r="N155" s="98">
        <f>IFERROR(VLOOKUP(M155,Base!$BJ$28:$BL$36,3,0),0)</f>
        <v/>
      </c>
      <c r="O155" s="330" t="n"/>
      <c r="P155" s="330" t="n"/>
      <c r="Q155" s="327" t="n"/>
      <c r="R155" s="93" t="n"/>
      <c r="S155" s="327" t="n"/>
      <c r="T155" s="93" t="n"/>
      <c r="U155" s="327" t="n"/>
      <c r="V155" s="93" t="n"/>
      <c r="W155" s="98" t="n"/>
      <c r="X155" s="328">
        <f>MIN(Q155,S155,U155)</f>
        <v/>
      </c>
      <c r="Y155" s="328">
        <f>IFERROR(IF(MIN(T155,V155)=R155,IF(S155=U155,"Escenario 5","Escenario 4"),IF(MIN(T155,V155)&lt;R155,IF(AND(R155-2&lt;=MIN(T155,V155),S155&lt;&gt;U155),"Escenario 1",IF(AND(R155-2&lt;=MIN(T155,V155),S155=U155),"Escenario 2","Escenario 3")),IF(MIN(T155,V155)&gt;R155,IF(AND(R155+2&gt;=MIN(T155,V155),S155=U155),"Escenario 7",IF(AND(R155+2&gt;=MIN(T155,V155),S155&lt;&gt;U155),"Escenario 6",IF(R155+5&lt;=MIN(T155,V155),"Escenario 9","Escenario 8"))),"error"))),"Falta info")</f>
        <v/>
      </c>
      <c r="Z155" s="98">
        <f>IFERROR(VLOOKUP(Y155,Base!$BJ$19:$BL$27,3,0),0)</f>
        <v/>
      </c>
      <c r="AA155" s="330" t="n"/>
      <c r="AB155" s="330" t="n"/>
      <c r="AC155" s="327" t="n"/>
      <c r="AD155" s="93" t="n"/>
      <c r="AE155" s="327" t="n"/>
      <c r="AF155" s="93" t="n"/>
      <c r="AG155" s="327" t="n"/>
      <c r="AH155" s="93" t="n"/>
      <c r="AI155" s="98">
        <f>IF(AB155="",IF(MIN(AC155,AE155,AG155)&gt;E155,"Si","No"),IF(MIN(AC155,AG155,AG155)&gt;AB155,"Si","No"))</f>
        <v/>
      </c>
      <c r="AJ155" s="328">
        <f>MIN(AC155,AE155,AG155)</f>
        <v/>
      </c>
      <c r="AK155" s="328">
        <f>IFERROR(IF(MIN(AF155,AH155)=AD155,IF(AE155=AG155,"Escenario 5","Escenario 4"),IF(MIN(AF155,AH155)&lt;AD155,IF(AND(AD155-2&lt;=MIN(AF155,AH155),AE155&lt;&gt;AG155),"Escenario 1",IF(AND(AD155-2&lt;=MIN(AF155,AH155),AE155=AG155),"Escenario 2","Escenario 3")),IF(MIN(AF155,AH155)&gt;AD155,IF(AND(AD155+2&gt;=MIN(AF155,AH155),AE155=AG155),"Escenario 7",IF(AND(AD155+2&gt;=MIN(AF155,AH155),AE155&lt;&gt;AG155),"Escenario 6",IF(AD155+5&lt;=MIN(AF155,AH155),"Escenario 9","Escenario 8"))),"error"))),"Falta info")</f>
        <v/>
      </c>
      <c r="AL155" s="98">
        <f>IFERROR(VLOOKUP(AK155,Base!$BJ$37:$BL$45,3,0),0)</f>
        <v/>
      </c>
      <c r="AM155" s="330">
        <f>IF(LOOKUP(AK155,Base!$X$8:$BG$8)=AK155,VLOOKUP(B155,Base!E:BG,AL155,0),0)</f>
        <v/>
      </c>
      <c r="AN155" s="330" t="e">
        <v>#N/A</v>
      </c>
    </row>
    <row customHeight="1" ht="12.95" r="156" s="183" spans="1:43">
      <c r="B156" s="108" t="n"/>
      <c r="C156" s="89" t="n"/>
      <c r="D156" s="106">
        <f>VLOOKUP(B156,Base!E:G,3,0)</f>
        <v/>
      </c>
      <c r="E156" s="326" t="n"/>
      <c r="F156" s="91">
        <f>IFERROR(IF(VLOOKUP(B156,Detalle!$A:$AA,$F$1,0)=0,"Sin datos",IFERROR(VLOOKUP(B156,Detalle!$A:$AA,$F$1,0),"Sin datos")),"")</f>
        <v/>
      </c>
      <c r="G156" s="327">
        <f>IFERROR(IF(VLOOKUP(B156,Detalle!$A:$AA,$G$1,0)=0,"Sin datos",IFERROR(VLOOKUP(B156,Detalle!$A:$AA,$G$1,0),"Sin datos")),"")</f>
        <v/>
      </c>
      <c r="H156" s="93">
        <f>IFERROR(IF(VLOOKUP(B156,Detalle!$A:$AA,$H$1,0)=0,"Sin datos",IFERROR(VLOOKUP(B156,Detalle!$A:$AA,$H$1,0),"Sin datos")),"")</f>
        <v/>
      </c>
      <c r="I156" s="327">
        <f>IFERROR(IF(VLOOKUP(B156,Detalle!$A:$AA,$I$1,0)=0,"Sin datos",IFERROR(VLOOKUP(B156,Detalle!$A:$AA,$I$1,0),"Sin datos")),"")</f>
        <v/>
      </c>
      <c r="J156" s="93">
        <f>IFERROR(IF(VLOOKUP(B156,Detalle!$A:$AA,$J$1,0)=0,"Sin datos",IFERROR(VLOOKUP(B156,Detalle!$A:$AA,$J$1,0),"Sin datos")),"")</f>
        <v/>
      </c>
      <c r="K156" s="98" t="n"/>
      <c r="L156" s="328" t="n"/>
      <c r="M156" s="329">
        <f>IFERROR(IF(MIN(H156,J156)=F156,IF(G156=I156,"Escenario 5","Escenario 4"),IF(MIN(H156,J156)&lt;F156,IF(AND(F156-2&lt;=MIN(H156,J156),G156&lt;&gt;I156),"Escenario 1",IF(AND(F156-2&lt;=MIN(H156,J156),G156=I156),"Escenario 2","Escenario 3")),IF(MIN(H156,J156)&gt;F156,IF(AND(F156+2&gt;=MIN(H156,J156),G156=I156),"Escenario 7",IF(AND(F156+2&gt;=MIN(H156,J156),G156&lt;&gt;I156),"Escenario 6",IF(F156+5&lt;=MIN(H156,J156),"Escenario 9","Escenario 8"))),"error"))),"Falta info")</f>
        <v/>
      </c>
      <c r="N156" s="98">
        <f>IFERROR(VLOOKUP(M156,Base!$BJ$28:$BL$36,3,0),0)</f>
        <v/>
      </c>
      <c r="O156" s="330" t="n"/>
      <c r="P156" s="330" t="n"/>
      <c r="Q156" s="327" t="n"/>
      <c r="R156" s="93" t="n"/>
      <c r="S156" s="327" t="n"/>
      <c r="T156" s="93" t="n"/>
      <c r="U156" s="327" t="n"/>
      <c r="V156" s="93" t="n"/>
      <c r="W156" s="98" t="n"/>
      <c r="X156" s="328">
        <f>MIN(Q156,S156,U156)</f>
        <v/>
      </c>
      <c r="Y156" s="328">
        <f>IFERROR(IF(MIN(T156,V156)=R156,IF(S156=U156,"Escenario 5","Escenario 4"),IF(MIN(T156,V156)&lt;R156,IF(AND(R156-2&lt;=MIN(T156,V156),S156&lt;&gt;U156),"Escenario 1",IF(AND(R156-2&lt;=MIN(T156,V156),S156=U156),"Escenario 2","Escenario 3")),IF(MIN(T156,V156)&gt;R156,IF(AND(R156+2&gt;=MIN(T156,V156),S156=U156),"Escenario 7",IF(AND(R156+2&gt;=MIN(T156,V156),S156&lt;&gt;U156),"Escenario 6",IF(R156+5&lt;=MIN(T156,V156),"Escenario 9","Escenario 8"))),"error"))),"Falta info")</f>
        <v/>
      </c>
      <c r="Z156" s="98">
        <f>IFERROR(VLOOKUP(Y156,Base!$BJ$19:$BL$27,3,0),0)</f>
        <v/>
      </c>
      <c r="AA156" s="330" t="n"/>
      <c r="AB156" s="330" t="n"/>
      <c r="AC156" s="327" t="n"/>
      <c r="AD156" s="93" t="n"/>
      <c r="AE156" s="327" t="n"/>
      <c r="AF156" s="93" t="n"/>
      <c r="AG156" s="327" t="n"/>
      <c r="AH156" s="93" t="n"/>
      <c r="AI156" s="98">
        <f>IF(AB156="",IF(MIN(AC156,AE156,AG156)&gt;E156,"Si","No"),IF(MIN(AC156,AG156,AG156)&gt;AB156,"Si","No"))</f>
        <v/>
      </c>
      <c r="AJ156" s="328">
        <f>MIN(AC156,AE156,AG156)</f>
        <v/>
      </c>
      <c r="AK156" s="328">
        <f>IFERROR(IF(MIN(AF156,AH156)=AD156,IF(AE156=AG156,"Escenario 5","Escenario 4"),IF(MIN(AF156,AH156)&lt;AD156,IF(AND(AD156-2&lt;=MIN(AF156,AH156),AE156&lt;&gt;AG156),"Escenario 1",IF(AND(AD156-2&lt;=MIN(AF156,AH156),AE156=AG156),"Escenario 2","Escenario 3")),IF(MIN(AF156,AH156)&gt;AD156,IF(AND(AD156+2&gt;=MIN(AF156,AH156),AE156=AG156),"Escenario 7",IF(AND(AD156+2&gt;=MIN(AF156,AH156),AE156&lt;&gt;AG156),"Escenario 6",IF(AD156+5&lt;=MIN(AF156,AH156),"Escenario 9","Escenario 8"))),"error"))),"Falta info")</f>
        <v/>
      </c>
      <c r="AL156" s="98">
        <f>IFERROR(VLOOKUP(AK156,Base!$BJ$37:$BL$45,3,0),0)</f>
        <v/>
      </c>
      <c r="AM156" s="330">
        <f>IF(LOOKUP(AK156,Base!$X$8:$BG$8)=AK156,VLOOKUP(B156,Base!E:BG,AL156,0),0)</f>
        <v/>
      </c>
      <c r="AN156" s="330" t="e">
        <v>#N/A</v>
      </c>
    </row>
    <row customHeight="1" ht="12.95" r="157" s="183" spans="1:43">
      <c r="B157" s="108" t="n"/>
      <c r="C157" s="89" t="n"/>
      <c r="D157" s="106">
        <f>VLOOKUP(B157,Base!E:G,3,0)</f>
        <v/>
      </c>
      <c r="E157" s="326" t="n"/>
      <c r="F157" s="91">
        <f>IFERROR(IF(VLOOKUP(B157,Detalle!$A:$AA,$F$1,0)=0,"Sin datos",IFERROR(VLOOKUP(B157,Detalle!$A:$AA,$F$1,0),"Sin datos")),"")</f>
        <v/>
      </c>
      <c r="G157" s="327">
        <f>IFERROR(IF(VLOOKUP(B157,Detalle!$A:$AA,$G$1,0)=0,"Sin datos",IFERROR(VLOOKUP(B157,Detalle!$A:$AA,$G$1,0),"Sin datos")),"")</f>
        <v/>
      </c>
      <c r="H157" s="93">
        <f>IFERROR(IF(VLOOKUP(B157,Detalle!$A:$AA,$H$1,0)=0,"Sin datos",IFERROR(VLOOKUP(B157,Detalle!$A:$AA,$H$1,0),"Sin datos")),"")</f>
        <v/>
      </c>
      <c r="I157" s="327">
        <f>IFERROR(IF(VLOOKUP(B157,Detalle!$A:$AA,$I$1,0)=0,"Sin datos",IFERROR(VLOOKUP(B157,Detalle!$A:$AA,$I$1,0),"Sin datos")),"")</f>
        <v/>
      </c>
      <c r="J157" s="93">
        <f>IFERROR(IF(VLOOKUP(B157,Detalle!$A:$AA,$J$1,0)=0,"Sin datos",IFERROR(VLOOKUP(B157,Detalle!$A:$AA,$J$1,0),"Sin datos")),"")</f>
        <v/>
      </c>
      <c r="K157" s="98" t="n"/>
      <c r="L157" s="328" t="n"/>
      <c r="M157" s="329">
        <f>IFERROR(IF(MIN(H157,J157)=F157,IF(G157=I157,"Escenario 5","Escenario 4"),IF(MIN(H157,J157)&lt;F157,IF(AND(F157-2&lt;=MIN(H157,J157),G157&lt;&gt;I157),"Escenario 1",IF(AND(F157-2&lt;=MIN(H157,J157),G157=I157),"Escenario 2","Escenario 3")),IF(MIN(H157,J157)&gt;F157,IF(AND(F157+2&gt;=MIN(H157,J157),G157=I157),"Escenario 7",IF(AND(F157+2&gt;=MIN(H157,J157),G157&lt;&gt;I157),"Escenario 6",IF(F157+5&lt;=MIN(H157,J157),"Escenario 9","Escenario 8"))),"error"))),"Falta info")</f>
        <v/>
      </c>
      <c r="N157" s="98">
        <f>IFERROR(VLOOKUP(M157,Base!$BJ$28:$BL$36,3,0),0)</f>
        <v/>
      </c>
      <c r="O157" s="330" t="n"/>
      <c r="P157" s="330" t="n"/>
      <c r="Q157" s="327" t="n"/>
      <c r="R157" s="93" t="n"/>
      <c r="S157" s="327" t="n"/>
      <c r="T157" s="93" t="n"/>
      <c r="U157" s="327" t="n"/>
      <c r="V157" s="93" t="n"/>
      <c r="W157" s="98" t="n"/>
      <c r="X157" s="328">
        <f>MIN(Q157,S157,U157)</f>
        <v/>
      </c>
      <c r="Y157" s="328">
        <f>IFERROR(IF(MIN(T157,V157)=R157,IF(S157=U157,"Escenario 5","Escenario 4"),IF(MIN(T157,V157)&lt;R157,IF(AND(R157-2&lt;=MIN(T157,V157),S157&lt;&gt;U157),"Escenario 1",IF(AND(R157-2&lt;=MIN(T157,V157),S157=U157),"Escenario 2","Escenario 3")),IF(MIN(T157,V157)&gt;R157,IF(AND(R157+2&gt;=MIN(T157,V157),S157=U157),"Escenario 7",IF(AND(R157+2&gt;=MIN(T157,V157),S157&lt;&gt;U157),"Escenario 6",IF(R157+5&lt;=MIN(T157,V157),"Escenario 9","Escenario 8"))),"error"))),"Falta info")</f>
        <v/>
      </c>
      <c r="Z157" s="98">
        <f>IFERROR(VLOOKUP(Y157,Base!$BJ$19:$BL$27,3,0),0)</f>
        <v/>
      </c>
      <c r="AA157" s="330" t="n"/>
      <c r="AB157" s="330" t="n"/>
      <c r="AC157" s="327" t="n"/>
      <c r="AD157" s="93" t="n"/>
      <c r="AE157" s="327" t="n"/>
      <c r="AF157" s="93" t="n"/>
      <c r="AG157" s="327" t="n"/>
      <c r="AH157" s="93" t="n"/>
      <c r="AI157" s="98">
        <f>IF(AB157="",IF(MIN(AC157,AE157,AG157)&gt;E157,"Si","No"),IF(MIN(AC157,AG157,AG157)&gt;AB157,"Si","No"))</f>
        <v/>
      </c>
      <c r="AJ157" s="328">
        <f>MIN(AC157,AE157,AG157)</f>
        <v/>
      </c>
      <c r="AK157" s="328">
        <f>IFERROR(IF(MIN(AF157,AH157)=AD157,IF(AE157=AG157,"Escenario 5","Escenario 4"),IF(MIN(AF157,AH157)&lt;AD157,IF(AND(AD157-2&lt;=MIN(AF157,AH157),AE157&lt;&gt;AG157),"Escenario 1",IF(AND(AD157-2&lt;=MIN(AF157,AH157),AE157=AG157),"Escenario 2","Escenario 3")),IF(MIN(AF157,AH157)&gt;AD157,IF(AND(AD157+2&gt;=MIN(AF157,AH157),AE157=AG157),"Escenario 7",IF(AND(AD157+2&gt;=MIN(AF157,AH157),AE157&lt;&gt;AG157),"Escenario 6",IF(AD157+5&lt;=MIN(AF157,AH157),"Escenario 9","Escenario 8"))),"error"))),"Falta info")</f>
        <v/>
      </c>
      <c r="AL157" s="98">
        <f>IFERROR(VLOOKUP(AK157,Base!$BJ$37:$BL$45,3,0),0)</f>
        <v/>
      </c>
      <c r="AM157" s="330">
        <f>IF(LOOKUP(AK157,Base!$X$8:$BG$8)=AK157,VLOOKUP(B157,Base!E:BG,AL157,0),0)</f>
        <v/>
      </c>
      <c r="AN157" s="330" t="e">
        <v>#N/A</v>
      </c>
    </row>
    <row customHeight="1" ht="12.95" r="158" s="183" spans="1:43">
      <c r="B158" s="108" t="n"/>
      <c r="C158" s="89" t="n"/>
      <c r="D158" s="106">
        <f>VLOOKUP(B158,Base!E:G,3,0)</f>
        <v/>
      </c>
      <c r="E158" s="326" t="n"/>
      <c r="F158" s="91">
        <f>IFERROR(IF(VLOOKUP(B158,Detalle!$A:$AA,$F$1,0)=0,"Sin datos",IFERROR(VLOOKUP(B158,Detalle!$A:$AA,$F$1,0),"Sin datos")),"")</f>
        <v/>
      </c>
      <c r="G158" s="327">
        <f>IFERROR(IF(VLOOKUP(B158,Detalle!$A:$AA,$G$1,0)=0,"Sin datos",IFERROR(VLOOKUP(B158,Detalle!$A:$AA,$G$1,0),"Sin datos")),"")</f>
        <v/>
      </c>
      <c r="H158" s="93">
        <f>IFERROR(IF(VLOOKUP(B158,Detalle!$A:$AA,$H$1,0)=0,"Sin datos",IFERROR(VLOOKUP(B158,Detalle!$A:$AA,$H$1,0),"Sin datos")),"")</f>
        <v/>
      </c>
      <c r="I158" s="327">
        <f>IFERROR(IF(VLOOKUP(B158,Detalle!$A:$AA,$I$1,0)=0,"Sin datos",IFERROR(VLOOKUP(B158,Detalle!$A:$AA,$I$1,0),"Sin datos")),"")</f>
        <v/>
      </c>
      <c r="J158" s="93">
        <f>IFERROR(IF(VLOOKUP(B158,Detalle!$A:$AA,$J$1,0)=0,"Sin datos",IFERROR(VLOOKUP(B158,Detalle!$A:$AA,$J$1,0),"Sin datos")),"")</f>
        <v/>
      </c>
      <c r="K158" s="98" t="n"/>
      <c r="L158" s="328" t="n"/>
      <c r="M158" s="329">
        <f>IFERROR(IF(MIN(H158,J158)=F158,IF(G158=I158,"Escenario 5","Escenario 4"),IF(MIN(H158,J158)&lt;F158,IF(AND(F158-2&lt;=MIN(H158,J158),G158&lt;&gt;I158),"Escenario 1",IF(AND(F158-2&lt;=MIN(H158,J158),G158=I158),"Escenario 2","Escenario 3")),IF(MIN(H158,J158)&gt;F158,IF(AND(F158+2&gt;=MIN(H158,J158),G158=I158),"Escenario 7",IF(AND(F158+2&gt;=MIN(H158,J158),G158&lt;&gt;I158),"Escenario 6",IF(F158+5&lt;=MIN(H158,J158),"Escenario 9","Escenario 8"))),"error"))),"Falta info")</f>
        <v/>
      </c>
      <c r="N158" s="98">
        <f>IFERROR(VLOOKUP(M158,Base!$BJ$28:$BL$36,3,0),0)</f>
        <v/>
      </c>
      <c r="O158" s="330" t="n"/>
      <c r="P158" s="330" t="n"/>
      <c r="Q158" s="327" t="n"/>
      <c r="R158" s="93" t="n"/>
      <c r="S158" s="327" t="n"/>
      <c r="T158" s="93" t="n"/>
      <c r="U158" s="327" t="n"/>
      <c r="V158" s="93" t="n"/>
      <c r="W158" s="98" t="n"/>
      <c r="X158" s="328">
        <f>MIN(Q158,S158,U158)</f>
        <v/>
      </c>
      <c r="Y158" s="328">
        <f>IFERROR(IF(MIN(T158,V158)=R158,IF(S158=U158,"Escenario 5","Escenario 4"),IF(MIN(T158,V158)&lt;R158,IF(AND(R158-2&lt;=MIN(T158,V158),S158&lt;&gt;U158),"Escenario 1",IF(AND(R158-2&lt;=MIN(T158,V158),S158=U158),"Escenario 2","Escenario 3")),IF(MIN(T158,V158)&gt;R158,IF(AND(R158+2&gt;=MIN(T158,V158),S158=U158),"Escenario 7",IF(AND(R158+2&gt;=MIN(T158,V158),S158&lt;&gt;U158),"Escenario 6",IF(R158+5&lt;=MIN(T158,V158),"Escenario 9","Escenario 8"))),"error"))),"Falta info")</f>
        <v/>
      </c>
      <c r="Z158" s="98">
        <f>IFERROR(VLOOKUP(Y158,Base!$BJ$19:$BL$27,3,0),0)</f>
        <v/>
      </c>
      <c r="AA158" s="330" t="n"/>
      <c r="AB158" s="330" t="n"/>
      <c r="AC158" s="327" t="n"/>
      <c r="AD158" s="93" t="n"/>
      <c r="AE158" s="327" t="n"/>
      <c r="AF158" s="93" t="n"/>
      <c r="AG158" s="327" t="n"/>
      <c r="AH158" s="93" t="n"/>
      <c r="AI158" s="98">
        <f>IF(AB158="",IF(MIN(AC158,AE158,AG158)&gt;E158,"Si","No"),IF(MIN(AC158,AG158,AG158)&gt;AB158,"Si","No"))</f>
        <v/>
      </c>
      <c r="AJ158" s="328">
        <f>MIN(AC158,AE158,AG158)</f>
        <v/>
      </c>
      <c r="AK158" s="328">
        <f>IFERROR(IF(MIN(AF158,AH158)=AD158,IF(AE158=AG158,"Escenario 5","Escenario 4"),IF(MIN(AF158,AH158)&lt;AD158,IF(AND(AD158-2&lt;=MIN(AF158,AH158),AE158&lt;&gt;AG158),"Escenario 1",IF(AND(AD158-2&lt;=MIN(AF158,AH158),AE158=AG158),"Escenario 2","Escenario 3")),IF(MIN(AF158,AH158)&gt;AD158,IF(AND(AD158+2&gt;=MIN(AF158,AH158),AE158=AG158),"Escenario 7",IF(AND(AD158+2&gt;=MIN(AF158,AH158),AE158&lt;&gt;AG158),"Escenario 6",IF(AD158+5&lt;=MIN(AF158,AH158),"Escenario 9","Escenario 8"))),"error"))),"Falta info")</f>
        <v/>
      </c>
      <c r="AL158" s="98">
        <f>IFERROR(VLOOKUP(AK158,Base!$BJ$37:$BL$45,3,0),0)</f>
        <v/>
      </c>
      <c r="AM158" s="330">
        <f>IF(LOOKUP(AK158,Base!$X$8:$BG$8)=AK158,VLOOKUP(B158,Base!E:BG,AL158,0),0)</f>
        <v/>
      </c>
      <c r="AN158" s="330" t="e">
        <v>#N/A</v>
      </c>
    </row>
    <row customHeight="1" ht="12.95" r="159" s="183" spans="1:43">
      <c r="B159" s="108" t="n"/>
      <c r="C159" s="89" t="n"/>
      <c r="D159" s="106">
        <f>VLOOKUP(B159,Base!E:G,3,0)</f>
        <v/>
      </c>
      <c r="E159" s="326" t="n"/>
      <c r="F159" s="91">
        <f>IFERROR(IF(VLOOKUP(B159,Detalle!$A:$AA,$F$1,0)=0,"Sin datos",IFERROR(VLOOKUP(B159,Detalle!$A:$AA,$F$1,0),"Sin datos")),"")</f>
        <v/>
      </c>
      <c r="G159" s="327">
        <f>IFERROR(IF(VLOOKUP(B159,Detalle!$A:$AA,$G$1,0)=0,"Sin datos",IFERROR(VLOOKUP(B159,Detalle!$A:$AA,$G$1,0),"Sin datos")),"")</f>
        <v/>
      </c>
      <c r="H159" s="93">
        <f>IFERROR(IF(VLOOKUP(B159,Detalle!$A:$AA,$H$1,0)=0,"Sin datos",IFERROR(VLOOKUP(B159,Detalle!$A:$AA,$H$1,0),"Sin datos")),"")</f>
        <v/>
      </c>
      <c r="I159" s="327">
        <f>IFERROR(IF(VLOOKUP(B159,Detalle!$A:$AA,$I$1,0)=0,"Sin datos",IFERROR(VLOOKUP(B159,Detalle!$A:$AA,$I$1,0),"Sin datos")),"")</f>
        <v/>
      </c>
      <c r="J159" s="93">
        <f>IFERROR(IF(VLOOKUP(B159,Detalle!$A:$AA,$J$1,0)=0,"Sin datos",IFERROR(VLOOKUP(B159,Detalle!$A:$AA,$J$1,0),"Sin datos")),"")</f>
        <v/>
      </c>
      <c r="K159" s="98" t="n"/>
      <c r="L159" s="328" t="n"/>
      <c r="M159" s="329">
        <f>IFERROR(IF(MIN(H159,J159)=F159,IF(G159=I159,"Escenario 5","Escenario 4"),IF(MIN(H159,J159)&lt;F159,IF(AND(F159-2&lt;=MIN(H159,J159),G159&lt;&gt;I159),"Escenario 1",IF(AND(F159-2&lt;=MIN(H159,J159),G159=I159),"Escenario 2","Escenario 3")),IF(MIN(H159,J159)&gt;F159,IF(AND(F159+2&gt;=MIN(H159,J159),G159=I159),"Escenario 7",IF(AND(F159+2&gt;=MIN(H159,J159),G159&lt;&gt;I159),"Escenario 6",IF(F159+5&lt;=MIN(H159,J159),"Escenario 9","Escenario 8"))),"error"))),"Falta info")</f>
        <v/>
      </c>
      <c r="N159" s="98">
        <f>IFERROR(VLOOKUP(M159,Base!$BJ$28:$BL$36,3,0),0)</f>
        <v/>
      </c>
      <c r="O159" s="330" t="n"/>
      <c r="P159" s="330" t="n"/>
      <c r="Q159" s="327" t="n"/>
      <c r="R159" s="93" t="n"/>
      <c r="S159" s="327" t="n"/>
      <c r="T159" s="93" t="n"/>
      <c r="U159" s="327" t="n"/>
      <c r="V159" s="93" t="n"/>
      <c r="W159" s="98" t="n"/>
      <c r="X159" s="328">
        <f>MIN(Q159,S159,U159)</f>
        <v/>
      </c>
      <c r="Y159" s="328">
        <f>IFERROR(IF(MIN(T159,V159)=R159,IF(S159=U159,"Escenario 5","Escenario 4"),IF(MIN(T159,V159)&lt;R159,IF(AND(R159-2&lt;=MIN(T159,V159),S159&lt;&gt;U159),"Escenario 1",IF(AND(R159-2&lt;=MIN(T159,V159),S159=U159),"Escenario 2","Escenario 3")),IF(MIN(T159,V159)&gt;R159,IF(AND(R159+2&gt;=MIN(T159,V159),S159=U159),"Escenario 7",IF(AND(R159+2&gt;=MIN(T159,V159),S159&lt;&gt;U159),"Escenario 6",IF(R159+5&lt;=MIN(T159,V159),"Escenario 9","Escenario 8"))),"error"))),"Falta info")</f>
        <v/>
      </c>
      <c r="Z159" s="98">
        <f>IFERROR(VLOOKUP(Y159,Base!$BJ$19:$BL$27,3,0),0)</f>
        <v/>
      </c>
      <c r="AA159" s="330" t="n"/>
      <c r="AB159" s="330" t="n"/>
      <c r="AC159" s="327" t="n"/>
      <c r="AD159" s="93" t="n"/>
      <c r="AE159" s="327" t="n"/>
      <c r="AF159" s="93" t="n"/>
      <c r="AG159" s="327" t="n"/>
      <c r="AH159" s="93" t="n"/>
      <c r="AI159" s="98">
        <f>IF(AB159="",IF(MIN(AC159,AE159,AG159)&gt;E159,"Si","No"),IF(MIN(AC159,AG159,AG159)&gt;AB159,"Si","No"))</f>
        <v/>
      </c>
      <c r="AJ159" s="328">
        <f>MIN(AC159,AE159,AG159)</f>
        <v/>
      </c>
      <c r="AK159" s="328">
        <f>IFERROR(IF(MIN(AF159,AH159)=AD159,IF(AE159=AG159,"Escenario 5","Escenario 4"),IF(MIN(AF159,AH159)&lt;AD159,IF(AND(AD159-2&lt;=MIN(AF159,AH159),AE159&lt;&gt;AG159),"Escenario 1",IF(AND(AD159-2&lt;=MIN(AF159,AH159),AE159=AG159),"Escenario 2","Escenario 3")),IF(MIN(AF159,AH159)&gt;AD159,IF(AND(AD159+2&gt;=MIN(AF159,AH159),AE159=AG159),"Escenario 7",IF(AND(AD159+2&gt;=MIN(AF159,AH159),AE159&lt;&gt;AG159),"Escenario 6",IF(AD159+5&lt;=MIN(AF159,AH159),"Escenario 9","Escenario 8"))),"error"))),"Falta info")</f>
        <v/>
      </c>
      <c r="AL159" s="98">
        <f>IFERROR(VLOOKUP(AK159,Base!$BJ$37:$BL$45,3,0),0)</f>
        <v/>
      </c>
      <c r="AM159" s="330">
        <f>IF(LOOKUP(AK159,Base!$X$8:$BG$8)=AK159,VLOOKUP(B159,Base!E:BG,AL159,0),0)</f>
        <v/>
      </c>
      <c r="AN159" s="330" t="e">
        <v>#N/A</v>
      </c>
    </row>
    <row customHeight="1" ht="12.95" r="160" s="183" spans="1:43">
      <c r="B160" s="108" t="n"/>
      <c r="C160" s="89" t="n"/>
      <c r="D160" s="106">
        <f>VLOOKUP(B160,Base!E:G,3,0)</f>
        <v/>
      </c>
      <c r="E160" s="326" t="n"/>
      <c r="F160" s="91">
        <f>IFERROR(IF(VLOOKUP(B160,Detalle!$A:$AA,$F$1,0)=0,"Sin datos",IFERROR(VLOOKUP(B160,Detalle!$A:$AA,$F$1,0),"Sin datos")),"")</f>
        <v/>
      </c>
      <c r="G160" s="327">
        <f>IFERROR(IF(VLOOKUP(B160,Detalle!$A:$AA,$G$1,0)=0,"Sin datos",IFERROR(VLOOKUP(B160,Detalle!$A:$AA,$G$1,0),"Sin datos")),"")</f>
        <v/>
      </c>
      <c r="H160" s="93">
        <f>IFERROR(IF(VLOOKUP(B160,Detalle!$A:$AA,$H$1,0)=0,"Sin datos",IFERROR(VLOOKUP(B160,Detalle!$A:$AA,$H$1,0),"Sin datos")),"")</f>
        <v/>
      </c>
      <c r="I160" s="327">
        <f>IFERROR(IF(VLOOKUP(B160,Detalle!$A:$AA,$I$1,0)=0,"Sin datos",IFERROR(VLOOKUP(B160,Detalle!$A:$AA,$I$1,0),"Sin datos")),"")</f>
        <v/>
      </c>
      <c r="J160" s="93">
        <f>IFERROR(IF(VLOOKUP(B160,Detalle!$A:$AA,$J$1,0)=0,"Sin datos",IFERROR(VLOOKUP(B160,Detalle!$A:$AA,$J$1,0),"Sin datos")),"")</f>
        <v/>
      </c>
      <c r="K160" s="98" t="n"/>
      <c r="L160" s="328" t="n"/>
      <c r="M160" s="329">
        <f>IFERROR(IF(MIN(H160,J160)=F160,IF(G160=I160,"Escenario 5","Escenario 4"),IF(MIN(H160,J160)&lt;F160,IF(AND(F160-2&lt;=MIN(H160,J160),G160&lt;&gt;I160),"Escenario 1",IF(AND(F160-2&lt;=MIN(H160,J160),G160=I160),"Escenario 2","Escenario 3")),IF(MIN(H160,J160)&gt;F160,IF(AND(F160+2&gt;=MIN(H160,J160),G160=I160),"Escenario 7",IF(AND(F160+2&gt;=MIN(H160,J160),G160&lt;&gt;I160),"Escenario 6",IF(F160+5&lt;=MIN(H160,J160),"Escenario 9","Escenario 8"))),"error"))),"Falta info")</f>
        <v/>
      </c>
      <c r="N160" s="98">
        <f>IFERROR(VLOOKUP(M160,Base!$BJ$28:$BL$36,3,0),0)</f>
        <v/>
      </c>
      <c r="O160" s="330" t="n"/>
      <c r="P160" s="330" t="n"/>
      <c r="Q160" s="327" t="n"/>
      <c r="R160" s="93" t="n"/>
      <c r="S160" s="327" t="n"/>
      <c r="T160" s="93" t="n"/>
      <c r="U160" s="327" t="n"/>
      <c r="V160" s="93" t="n"/>
      <c r="W160" s="98" t="n"/>
      <c r="X160" s="328">
        <f>MIN(Q160,S160,U160)</f>
        <v/>
      </c>
      <c r="Y160" s="328">
        <f>IFERROR(IF(MIN(T160,V160)=R160,IF(S160=U160,"Escenario 5","Escenario 4"),IF(MIN(T160,V160)&lt;R160,IF(AND(R160-2&lt;=MIN(T160,V160),S160&lt;&gt;U160),"Escenario 1",IF(AND(R160-2&lt;=MIN(T160,V160),S160=U160),"Escenario 2","Escenario 3")),IF(MIN(T160,V160)&gt;R160,IF(AND(R160+2&gt;=MIN(T160,V160),S160=U160),"Escenario 7",IF(AND(R160+2&gt;=MIN(T160,V160),S160&lt;&gt;U160),"Escenario 6",IF(R160+5&lt;=MIN(T160,V160),"Escenario 9","Escenario 8"))),"error"))),"Falta info")</f>
        <v/>
      </c>
      <c r="Z160" s="98">
        <f>IFERROR(VLOOKUP(Y160,Base!$BJ$19:$BL$27,3,0),0)</f>
        <v/>
      </c>
      <c r="AA160" s="330" t="n"/>
      <c r="AB160" s="330" t="n"/>
      <c r="AC160" s="327" t="n"/>
      <c r="AD160" s="93" t="n"/>
      <c r="AE160" s="327" t="n"/>
      <c r="AF160" s="93" t="n"/>
      <c r="AG160" s="327" t="n"/>
      <c r="AH160" s="93" t="n"/>
      <c r="AI160" s="98">
        <f>IF(AB160="",IF(MIN(AC160,AE160,AG160)&gt;E160,"Si","No"),IF(MIN(AC160,AG160,AG160)&gt;AB160,"Si","No"))</f>
        <v/>
      </c>
      <c r="AJ160" s="328">
        <f>MIN(AC160,AE160,AG160)</f>
        <v/>
      </c>
      <c r="AK160" s="328">
        <f>IFERROR(IF(MIN(AF160,AH160)=AD160,IF(AE160=AG160,"Escenario 5","Escenario 4"),IF(MIN(AF160,AH160)&lt;AD160,IF(AND(AD160-2&lt;=MIN(AF160,AH160),AE160&lt;&gt;AG160),"Escenario 1",IF(AND(AD160-2&lt;=MIN(AF160,AH160),AE160=AG160),"Escenario 2","Escenario 3")),IF(MIN(AF160,AH160)&gt;AD160,IF(AND(AD160+2&gt;=MIN(AF160,AH160),AE160=AG160),"Escenario 7",IF(AND(AD160+2&gt;=MIN(AF160,AH160),AE160&lt;&gt;AG160),"Escenario 6",IF(AD160+5&lt;=MIN(AF160,AH160),"Escenario 9","Escenario 8"))),"error"))),"Falta info")</f>
        <v/>
      </c>
      <c r="AL160" s="98">
        <f>IFERROR(VLOOKUP(AK160,Base!$BJ$37:$BL$45,3,0),0)</f>
        <v/>
      </c>
      <c r="AM160" s="330">
        <f>IF(LOOKUP(AK160,Base!$X$8:$BG$8)=AK160,VLOOKUP(B160,Base!E:BG,AL160,0),0)</f>
        <v/>
      </c>
      <c r="AN160" s="330" t="e">
        <v>#N/A</v>
      </c>
    </row>
    <row customHeight="1" ht="12.95" r="1048576" s="183" spans="1:43">
      <c r="AB1048576" s="333" t="n"/>
      <c r="AN1048576" s="333" t="n"/>
    </row>
  </sheetData>
  <autoFilter ref="B4:AH160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AN1048576">
    <cfRule dxfId="10" priority="18" type="expression">
      <formula>#REF!</formula>
    </cfRule>
  </conditionalFormatting>
  <conditionalFormatting sqref="AB1048576">
    <cfRule dxfId="10" priority="17" type="expression">
      <formula>#REF!&lt;&gt;0</formula>
    </cfRule>
  </conditionalFormatting>
  <conditionalFormatting sqref="G5:J160">
    <cfRule dxfId="10" operator="equal" priority="16" type="cellIs">
      <formula>"Sin Datos"</formula>
    </cfRule>
  </conditionalFormatting>
  <conditionalFormatting sqref="Q5:V97">
    <cfRule dxfId="10" operator="equal" priority="15" type="cellIs">
      <formula>"Sin Datos"</formula>
    </cfRule>
  </conditionalFormatting>
  <conditionalFormatting sqref="AC5:AH97">
    <cfRule dxfId="10" operator="equal" priority="14" type="cellIs">
      <formula>"Sin Datos"</formula>
    </cfRule>
  </conditionalFormatting>
  <conditionalFormatting sqref="O5:O97">
    <cfRule dxfId="1" priority="13" type="expression">
      <formula>#REF!&lt;&gt;0</formula>
    </cfRule>
  </conditionalFormatting>
  <conditionalFormatting sqref="F5:F160">
    <cfRule dxfId="10" operator="equal" priority="12" type="cellIs">
      <formula>"Sin Datos"</formula>
    </cfRule>
  </conditionalFormatting>
  <conditionalFormatting sqref="E5:E97">
    <cfRule dxfId="10" operator="equal" priority="11" type="cellIs">
      <formula>"Sin Datos"</formula>
    </cfRule>
  </conditionalFormatting>
  <conditionalFormatting sqref="AA5:AA97">
    <cfRule dxfId="1" priority="10" type="expression">
      <formula>#REF!&lt;&gt;0</formula>
    </cfRule>
  </conditionalFormatting>
  <conditionalFormatting sqref="AM5:AM160">
    <cfRule dxfId="1" priority="9" type="expression">
      <formula>#REF!&lt;&gt;0</formula>
    </cfRule>
  </conditionalFormatting>
  <conditionalFormatting sqref="Q98:V160">
    <cfRule dxfId="10" operator="equal" priority="7" type="cellIs">
      <formula>"Sin Datos"</formula>
    </cfRule>
  </conditionalFormatting>
  <conditionalFormatting sqref="AC98:AH160">
    <cfRule dxfId="10" operator="equal" priority="6" type="cellIs">
      <formula>"Sin Datos"</formula>
    </cfRule>
  </conditionalFormatting>
  <conditionalFormatting sqref="O98:O160">
    <cfRule dxfId="1" priority="5" type="expression">
      <formula>#REF!&lt;&gt;0</formula>
    </cfRule>
  </conditionalFormatting>
  <conditionalFormatting sqref="E98:E160">
    <cfRule dxfId="10" operator="equal" priority="3" type="cellIs">
      <formula>"Sin Datos"</formula>
    </cfRule>
  </conditionalFormatting>
  <conditionalFormatting sqref="AA98:AA160">
    <cfRule dxfId="1" priority="2" type="expression">
      <formula>#REF!&lt;&gt;0</formula>
    </cfRule>
  </conditionalFormatting>
  <conditionalFormatting sqref="O1:O1048576 AA1:AA1048576 AM1:AM1048576">
    <cfRule dxfId="11" operator="equal" priority="1" type="cellIs">
      <formula>"Manual"</formula>
    </cfRule>
  </conditionalFormatting>
  <pageMargins bottom="0.75" footer="0.3" header="0.3" left="0.7" right="0.7" top="0.75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B1:BY101"/>
  <sheetViews>
    <sheetView workbookViewId="0" zoomScale="80" zoomScaleNormal="80">
      <pane activePane="bottomRight" state="frozen" topLeftCell="J3" xSplit="9" ySplit="2"/>
      <selection activeCell="K1" pane="topRight" sqref="K1"/>
      <selection activeCell="A3" pane="bottomLeft" sqref="A3"/>
      <selection activeCell="BJ5" pane="bottomRight" sqref="BJ5"/>
    </sheetView>
  </sheetViews>
  <sheetFormatPr baseColWidth="10" defaultRowHeight="15" outlineLevelCol="0"/>
  <cols>
    <col customWidth="1" max="1" min="1" style="183" width="1.5703125"/>
    <col bestFit="1" customWidth="1" max="2" min="2" style="183" width="5.42578125"/>
    <col customWidth="1" max="3" min="3" style="183" width="16"/>
    <col bestFit="1" customWidth="1" max="7" min="7" style="183" width="8.7109375"/>
    <col customWidth="1" max="8" min="8" style="183" width="2.140625"/>
    <col customWidth="1" max="9" min="9" style="183" width="14.140625"/>
    <col bestFit="1" customWidth="1" max="12" min="12" style="183" width="10.7109375"/>
    <col bestFit="1" customWidth="1" max="14" min="14" style="183" width="10.7109375"/>
    <col bestFit="1" customWidth="1" max="16" min="16" style="183" width="10.7109375"/>
    <col bestFit="1" customWidth="1" max="19" min="19" style="183" width="10.7109375"/>
    <col bestFit="1" customWidth="1" max="21" min="21" style="183" width="10.7109375"/>
    <col bestFit="1" customWidth="1" max="23" min="23" style="183" width="10.7109375"/>
    <col bestFit="1" customWidth="1" max="26" min="26" style="183" width="10.7109375"/>
    <col bestFit="1" customWidth="1" max="28" min="28" style="183" width="10.7109375"/>
    <col bestFit="1" customWidth="1" max="30" min="30" style="183" width="10.7109375"/>
    <col customWidth="1" max="31" min="31" style="183" width="1.85546875"/>
    <col customWidth="1" max="32" min="32" style="183" width="26"/>
    <col customWidth="1" max="33" min="33" style="183" width="16.28515625"/>
  </cols>
  <sheetData>
    <row customHeight="1" ht="15.75" r="1" s="183" spans="1:77" thickBot="1">
      <c r="B1" s="169" t="s">
        <v>296</v>
      </c>
      <c r="BH1" s="88" t="s">
        <v>297</v>
      </c>
    </row>
    <row customHeight="1" ht="15.75" r="2" s="183" spans="1:77" thickBot="1">
      <c r="B2" s="72" t="s">
        <v>298</v>
      </c>
      <c r="C2" s="72" t="s">
        <v>299</v>
      </c>
      <c r="D2" s="72" t="s">
        <v>152</v>
      </c>
      <c r="E2" s="72" t="s">
        <v>156</v>
      </c>
      <c r="F2" s="72" t="s">
        <v>154</v>
      </c>
      <c r="G2" s="72" t="s">
        <v>300</v>
      </c>
      <c r="J2" s="276">
        <f>CONCATENATE("MT - ",VLOOKUP("MT",Detalle!$AK$1:$AM$9,2,0))</f>
        <v/>
      </c>
      <c r="Q2" s="276">
        <f>CONCATENATE("BT - ",VLOOKUP("BT",Detalle!$AK$1:$AM$9,2,0))</f>
        <v/>
      </c>
      <c r="X2" s="277">
        <f>CONCATENATE("SBT - ",VLOOKUP("SBT",Detalle!$AK$1:$AM$9,2,0))</f>
        <v/>
      </c>
      <c r="AH2" s="276">
        <f>CONCATENATE("MT - ",VLOOKUP("MT",Detalle!$AK$1:$AM$9,2,0))</f>
        <v/>
      </c>
      <c r="AO2" s="276">
        <f>CONCATENATE("BT - ",VLOOKUP("BT",Detalle!$AK$1:$AM$9,2,0))</f>
        <v/>
      </c>
      <c r="AV2" s="277">
        <f>CONCATENATE("SBT - ",VLOOKUP("SBT",Detalle!$AK$1:$AM$9,2,0))</f>
        <v/>
      </c>
      <c r="BE2" s="147" t="n"/>
      <c r="BF2" s="164" t="n"/>
      <c r="BG2" s="148" t="n"/>
      <c r="BH2" s="287" t="s">
        <v>276</v>
      </c>
      <c r="BN2" s="287" t="s">
        <v>277</v>
      </c>
      <c r="BT2" s="287" t="s">
        <v>278</v>
      </c>
    </row>
    <row customHeight="1" ht="15.75" r="3" s="183" spans="1:77" thickBot="1">
      <c r="B3" s="72" t="n">
        <v>366</v>
      </c>
      <c r="C3" s="72" t="s">
        <v>145</v>
      </c>
      <c r="D3" s="126">
        <f>IF(VLOOKUP(Resumen!C3,Análisis!B:AN,15,0)=0,"Sin cambios",VLOOKUP(Resumen!C3,Análisis!B:AN,15,0))</f>
        <v/>
      </c>
      <c r="E3" s="126">
        <f>IF(VLOOKUP(Resumen!C3,Análisis!B:AN,27,0)=0,"Sin cambios",VLOOKUP(Resumen!C3,Análisis!B:AN,27,0))</f>
        <v/>
      </c>
      <c r="F3" s="126">
        <f>IF(VLOOKUP(Resumen!C3,Análisis!B:AN,39,0)=0,"Sin cambios",VLOOKUP(Resumen!C3,Análisis!B:AN,39,0))</f>
        <v/>
      </c>
      <c r="G3" s="126">
        <f>IF(AND(D3="Sin cambios",E3="Sin cambios",F3="Sin cambios")=TRUE,"No","Sí")</f>
        <v/>
      </c>
      <c r="J3" s="274" t="s">
        <v>280</v>
      </c>
      <c r="M3" s="271" t="s">
        <v>281</v>
      </c>
      <c r="O3" s="272" t="s">
        <v>282</v>
      </c>
      <c r="Q3" s="274" t="s">
        <v>280</v>
      </c>
      <c r="T3" s="271" t="s">
        <v>281</v>
      </c>
      <c r="V3" s="272" t="s">
        <v>282</v>
      </c>
      <c r="X3" s="269" t="s">
        <v>280</v>
      </c>
      <c r="AA3" s="271" t="s">
        <v>281</v>
      </c>
      <c r="AC3" s="272" t="s">
        <v>282</v>
      </c>
      <c r="AH3" s="274" t="s">
        <v>280</v>
      </c>
      <c r="AK3" s="271" t="s">
        <v>281</v>
      </c>
      <c r="AM3" s="272" t="s">
        <v>282</v>
      </c>
      <c r="AO3" s="274" t="s">
        <v>280</v>
      </c>
      <c r="AR3" s="271" t="s">
        <v>281</v>
      </c>
      <c r="AT3" s="272" t="s">
        <v>282</v>
      </c>
      <c r="AV3" s="269" t="s">
        <v>280</v>
      </c>
      <c r="AY3" s="271" t="s">
        <v>281</v>
      </c>
      <c r="BA3" s="272" t="s">
        <v>282</v>
      </c>
      <c r="BE3" s="147" t="n"/>
      <c r="BF3" s="164" t="n"/>
      <c r="BG3" s="148" t="n"/>
      <c r="BH3" s="290" t="s">
        <v>148</v>
      </c>
      <c r="BJ3" s="290" t="s">
        <v>162</v>
      </c>
      <c r="BL3" s="293" t="s">
        <v>157</v>
      </c>
      <c r="BN3" s="290" t="s">
        <v>148</v>
      </c>
      <c r="BP3" s="290" t="s">
        <v>162</v>
      </c>
      <c r="BR3" s="293" t="s">
        <v>157</v>
      </c>
      <c r="BT3" s="290" t="s">
        <v>148</v>
      </c>
      <c r="BV3" s="290" t="s">
        <v>162</v>
      </c>
      <c r="BX3" s="293" t="s">
        <v>157</v>
      </c>
    </row>
    <row customHeight="1" ht="35.1" r="4" s="183" spans="1:77" thickBot="1">
      <c r="B4" s="72" t="n">
        <v>337</v>
      </c>
      <c r="C4" s="72" t="s">
        <v>121</v>
      </c>
      <c r="D4" s="126">
        <f>IF(VLOOKUP(Resumen!C4,Análisis!B:AN,15,0)=0,"Sin cambios",VLOOKUP(Resumen!C4,Análisis!B:AN,15,0))</f>
        <v/>
      </c>
      <c r="E4" s="126">
        <f>IF(VLOOKUP(Resumen!C4,Análisis!B:AN,27,0)=0,"Sin cambios",VLOOKUP(Resumen!C4,Análisis!B:AN,27,0))</f>
        <v/>
      </c>
      <c r="F4" s="126">
        <f>IF(VLOOKUP(Resumen!C4,Análisis!B:AN,39,0)=0,"Sin cambios",VLOOKUP(Resumen!C4,Análisis!B:AN,39,0))</f>
        <v/>
      </c>
      <c r="G4" s="126">
        <f>IF(AND(D4="Sin cambios",E4="Sin cambios",F4="Sin cambios")=TRUE,"No","Sí")</f>
        <v/>
      </c>
      <c r="I4" s="41" t="s">
        <v>209</v>
      </c>
      <c r="J4" s="334" t="s">
        <v>301</v>
      </c>
      <c r="K4" s="334" t="s">
        <v>302</v>
      </c>
      <c r="L4" s="335" t="s">
        <v>286</v>
      </c>
      <c r="M4" s="336" t="s">
        <v>285</v>
      </c>
      <c r="N4" s="335" t="s">
        <v>286</v>
      </c>
      <c r="O4" s="336" t="s">
        <v>285</v>
      </c>
      <c r="P4" s="335" t="s">
        <v>286</v>
      </c>
      <c r="Q4" s="334" t="s">
        <v>301</v>
      </c>
      <c r="R4" s="334" t="s">
        <v>302</v>
      </c>
      <c r="S4" s="335" t="s">
        <v>286</v>
      </c>
      <c r="T4" s="336" t="s">
        <v>285</v>
      </c>
      <c r="U4" s="335" t="s">
        <v>286</v>
      </c>
      <c r="V4" s="336" t="s">
        <v>285</v>
      </c>
      <c r="W4" s="335" t="s">
        <v>286</v>
      </c>
      <c r="X4" s="334" t="s">
        <v>301</v>
      </c>
      <c r="Y4" s="334" t="s">
        <v>302</v>
      </c>
      <c r="Z4" s="335" t="s">
        <v>286</v>
      </c>
      <c r="AA4" s="336" t="s">
        <v>285</v>
      </c>
      <c r="AB4" s="335" t="s">
        <v>286</v>
      </c>
      <c r="AC4" s="336" t="s">
        <v>285</v>
      </c>
      <c r="AD4" s="337" t="s">
        <v>286</v>
      </c>
      <c r="AF4" s="132" t="s">
        <v>212</v>
      </c>
      <c r="AG4" s="133" t="s">
        <v>213</v>
      </c>
      <c r="AH4" s="338" t="s">
        <v>301</v>
      </c>
      <c r="AI4" s="334" t="s">
        <v>302</v>
      </c>
      <c r="AJ4" s="335" t="s">
        <v>286</v>
      </c>
      <c r="AK4" s="336" t="s">
        <v>285</v>
      </c>
      <c r="AL4" s="335" t="s">
        <v>286</v>
      </c>
      <c r="AM4" s="336" t="s">
        <v>285</v>
      </c>
      <c r="AN4" s="335" t="s">
        <v>286</v>
      </c>
      <c r="AO4" s="334" t="s">
        <v>301</v>
      </c>
      <c r="AP4" s="334" t="s">
        <v>302</v>
      </c>
      <c r="AQ4" s="335" t="s">
        <v>286</v>
      </c>
      <c r="AR4" s="336" t="s">
        <v>285</v>
      </c>
      <c r="AS4" s="335" t="s">
        <v>286</v>
      </c>
      <c r="AT4" s="336" t="s">
        <v>285</v>
      </c>
      <c r="AU4" s="335" t="s">
        <v>286</v>
      </c>
      <c r="AV4" s="334" t="s">
        <v>301</v>
      </c>
      <c r="AW4" s="334" t="s">
        <v>302</v>
      </c>
      <c r="AX4" s="335" t="s">
        <v>286</v>
      </c>
      <c r="AY4" s="336" t="s">
        <v>285</v>
      </c>
      <c r="AZ4" s="335" t="s">
        <v>286</v>
      </c>
      <c r="BA4" s="336" t="s">
        <v>285</v>
      </c>
      <c r="BB4" s="337" t="s">
        <v>286</v>
      </c>
      <c r="BE4" s="149" t="s">
        <v>303</v>
      </c>
      <c r="BF4" s="296" t="s">
        <v>304</v>
      </c>
      <c r="BH4" s="339" t="s">
        <v>285</v>
      </c>
      <c r="BI4" s="340" t="s">
        <v>286</v>
      </c>
      <c r="BJ4" s="339" t="s">
        <v>285</v>
      </c>
      <c r="BK4" s="341" t="s">
        <v>286</v>
      </c>
      <c r="BL4" s="342" t="s">
        <v>285</v>
      </c>
      <c r="BM4" s="341" t="s">
        <v>286</v>
      </c>
      <c r="BN4" s="339" t="s">
        <v>285</v>
      </c>
      <c r="BO4" s="340" t="s">
        <v>286</v>
      </c>
      <c r="BP4" s="339" t="s">
        <v>285</v>
      </c>
      <c r="BQ4" s="341" t="s">
        <v>286</v>
      </c>
      <c r="BR4" s="342" t="s">
        <v>285</v>
      </c>
      <c r="BS4" s="341" t="s">
        <v>286</v>
      </c>
      <c r="BT4" s="339" t="s">
        <v>285</v>
      </c>
      <c r="BU4" s="340" t="s">
        <v>286</v>
      </c>
      <c r="BV4" s="339" t="s">
        <v>285</v>
      </c>
      <c r="BW4" s="341" t="s">
        <v>286</v>
      </c>
      <c r="BX4" s="342" t="s">
        <v>285</v>
      </c>
      <c r="BY4" s="341" t="s">
        <v>286</v>
      </c>
    </row>
    <row r="5" spans="1:77">
      <c r="B5" s="72" t="n">
        <v>354</v>
      </c>
      <c r="C5" s="72" t="s">
        <v>134</v>
      </c>
      <c r="D5" s="126">
        <f>IF(VLOOKUP(Resumen!C5,Análisis!B:AN,15,0)=0,"Sin cambios",VLOOKUP(Resumen!C5,Análisis!B:AN,15,0))</f>
        <v/>
      </c>
      <c r="E5" s="126">
        <f>IF(VLOOKUP(Resumen!C5,Análisis!B:AN,27,0)=0,"Sin cambios",VLOOKUP(Resumen!C5,Análisis!B:AN,27,0))</f>
        <v/>
      </c>
      <c r="F5" s="126">
        <f>IF(VLOOKUP(Resumen!C5,Análisis!B:AN,39,0)=0,"Sin cambios",VLOOKUP(Resumen!C5,Análisis!B:AN,39,0))</f>
        <v/>
      </c>
      <c r="G5" s="126">
        <f>IF(AND(D5="Sin cambios",E5="Sin cambios",F5="Sin cambios")=TRUE,"No","Sí")</f>
        <v/>
      </c>
      <c r="I5" s="75">
        <f>Base!A10</f>
        <v/>
      </c>
      <c r="J5" s="343">
        <f>VLOOKUP(I5,Análisis!B:AN,4,0)</f>
        <v/>
      </c>
      <c r="K5" s="344">
        <f>IF(VLOOKUP(I5,Análisis!B:AN,15,0)=0,"Sin cambios",VLOOKUP(I5,Análisis!B:AN,15,0))</f>
        <v/>
      </c>
      <c r="L5" s="345">
        <f>VLOOKUP(I5,Análisis!B:AN,5,0)</f>
        <v/>
      </c>
      <c r="M5" s="344">
        <f>VLOOKUP(I5,Análisis!B:AN,6,0)</f>
        <v/>
      </c>
      <c r="N5" s="345">
        <f>VLOOKUP(I5,Análisis!B:AN,7,0)</f>
        <v/>
      </c>
      <c r="O5" s="344">
        <f>VLOOKUP(I5,Análisis!B:AN,8,0)</f>
        <v/>
      </c>
      <c r="P5" s="346">
        <f>VLOOKUP(I5,Análisis!B:AN,9,0)</f>
        <v/>
      </c>
      <c r="Q5" s="343">
        <f>VLOOKUP(I5,Análisis!B:AN,16,0)</f>
        <v/>
      </c>
      <c r="R5" s="347">
        <f>IF(VLOOKUP(I5,Análisis!B:AN,27,0)=0,"Sin cambios",VLOOKUP(I5,Análisis!B:AN,27,0))</f>
        <v/>
      </c>
      <c r="S5" s="345">
        <f>VLOOKUP(I5,Análisis!B:AN,17,0)</f>
        <v/>
      </c>
      <c r="T5" s="344">
        <f>VLOOKUP(I5,Análisis!B:AN,18,0)</f>
        <v/>
      </c>
      <c r="U5" s="345">
        <f>VLOOKUP(I5,Análisis!B:AN,19,0)</f>
        <v/>
      </c>
      <c r="V5" s="344">
        <f>VLOOKUP(I5,Análisis!B:AN,20,0)</f>
        <v/>
      </c>
      <c r="W5" s="348">
        <f>VLOOKUP(I5,Análisis!B:AN,21,0)</f>
        <v/>
      </c>
      <c r="X5" s="347">
        <f>VLOOKUP(I5,Análisis!B:AN,28,0)</f>
        <v/>
      </c>
      <c r="Y5" s="347">
        <f>IF(VLOOKUP(I5,Análisis!B:AN,39,0)=0,"Sin cambios",VLOOKUP(I5,Análisis!B:AN,39,0))</f>
        <v/>
      </c>
      <c r="Z5" s="345">
        <f>VLOOKUP(I5,Análisis!B:AN,29,0)</f>
        <v/>
      </c>
      <c r="AA5" s="344">
        <f>VLOOKUP(I5,Análisis!B:AN,30,0)</f>
        <v/>
      </c>
      <c r="AB5" s="345">
        <f>VLOOKUP(I5,Análisis!B:AN,31,0)</f>
        <v/>
      </c>
      <c r="AC5" s="344">
        <f>VLOOKUP(I5,Análisis!B:AN,32,0)</f>
        <v/>
      </c>
      <c r="AD5" s="348">
        <f>VLOOKUP(I5,Análisis!B:AN,33,0)</f>
        <v/>
      </c>
      <c r="AF5" s="127" t="s">
        <v>37</v>
      </c>
      <c r="AG5" s="129" t="s">
        <v>219</v>
      </c>
      <c r="AH5" s="349">
        <f>VLOOKUP(AF5,Análisis!$B:$AN,4,0)</f>
        <v/>
      </c>
      <c r="AI5" s="350">
        <f>IF(VLOOKUP(AF5,Análisis!$B:$AN,15,0)=0,"Sin cambios",VLOOKUP(AF5,Análisis!$B:$AN,15,0))</f>
        <v/>
      </c>
      <c r="AJ5" s="351">
        <f>VLOOKUP(AF5,Análisis!$B:$AN,5,0)</f>
        <v/>
      </c>
      <c r="AK5" s="350">
        <f>VLOOKUP(AF5,Análisis!$B:$AN,6,0)</f>
        <v/>
      </c>
      <c r="AL5" s="351">
        <f>VLOOKUP(AF5,Análisis!$B:$AN,7,0)</f>
        <v/>
      </c>
      <c r="AM5" s="350">
        <f>VLOOKUP(AF5,Análisis!$B:$AN,8,0)</f>
        <v/>
      </c>
      <c r="AN5" s="352">
        <f>VLOOKUP(AF5,Análisis!$B:$AN,9,0)</f>
        <v/>
      </c>
      <c r="AO5" s="349">
        <f>VLOOKUP(AF5,Análisis!$B:$AN,16,0)</f>
        <v/>
      </c>
      <c r="AP5" s="350">
        <f>IF(VLOOKUP(AF5,Análisis!$B:$AN,27,0)=0,"Sin cambios",VLOOKUP(AF5,Análisis!$B:$AN,27,0))</f>
        <v/>
      </c>
      <c r="AQ5" s="351">
        <f>VLOOKUP(AF5,Análisis!$B:$AN,17,0)</f>
        <v/>
      </c>
      <c r="AR5" s="350">
        <f>VLOOKUP(AF5,Análisis!$B:$AN,18,0)</f>
        <v/>
      </c>
      <c r="AS5" s="351">
        <f>VLOOKUP(AF5,Análisis!$B:$AN,19,0)</f>
        <v/>
      </c>
      <c r="AT5" s="350">
        <f>VLOOKUP(AF5,Análisis!$B:$AN,20,0)</f>
        <v/>
      </c>
      <c r="AU5" s="352">
        <f>VLOOKUP(AF5,Análisis!$B:$AN,21,0)</f>
        <v/>
      </c>
      <c r="AV5" s="349">
        <f>VLOOKUP(AF5,Análisis!$B:$AN,28,0)</f>
        <v/>
      </c>
      <c r="AW5" s="350">
        <f>IF(VLOOKUP(AF5,Análisis!$B:$AN,39,0)=0,"Sin cambios",VLOOKUP(AF5,Análisis!$B:$AN,39,0))</f>
        <v/>
      </c>
      <c r="AX5" s="351">
        <f>VLOOKUP(AF5,Análisis!$B:$AN,29,0)</f>
        <v/>
      </c>
      <c r="AY5" s="350">
        <f>VLOOKUP(AF5,Análisis!$B:$AN,30,0)</f>
        <v/>
      </c>
      <c r="AZ5" s="351">
        <f>VLOOKUP(AF5,Análisis!$B:$AN,31,0)</f>
        <v/>
      </c>
      <c r="BA5" s="350">
        <f>VLOOKUP(AF5,Análisis!$B:$AN,32,0)</f>
        <v/>
      </c>
      <c r="BB5" s="352">
        <f>VLOOKUP(AF5,Análisis!$B:$AN,33,0)</f>
        <v/>
      </c>
      <c r="BE5" s="152" t="s">
        <v>121</v>
      </c>
      <c r="BF5" s="294" t="s">
        <v>305</v>
      </c>
      <c r="BH5" s="353">
        <f>IFERROR(VLOOKUP(BE5,$AF:$BB,3,0),0)</f>
        <v/>
      </c>
      <c r="BI5" s="167">
        <f>IFERROR(VLOOKUP(BE5,$AF:$BB,5,0),0)</f>
        <v/>
      </c>
      <c r="BJ5" s="354">
        <f>IFERROR(VLOOKUP(BE5,$AF:$BB,6,0),0)</f>
        <v/>
      </c>
      <c r="BK5" s="153">
        <f>IFERROR(VLOOKUP(BE5,$AF:$BB,7,0),0)</f>
        <v/>
      </c>
      <c r="BL5" s="355">
        <f>IFERROR(VLOOKUP(BE5,$AF:$BB,8,0),0)</f>
        <v/>
      </c>
      <c r="BM5" s="153">
        <f>IFERROR(VLOOKUP(BE5,$AF:$BB,9,0),0)</f>
        <v/>
      </c>
      <c r="BN5" s="353">
        <f>IFERROR(VLOOKUP(BE5,$AF:$BB,10,0),0)</f>
        <v/>
      </c>
      <c r="BO5" s="167">
        <f>IFERROR(VLOOKUP(BE5,$AF:$BB,12,0),0)</f>
        <v/>
      </c>
      <c r="BP5" s="354">
        <f>IFERROR(VLOOKUP(BE5,$AF:$BB,13,0),0)</f>
        <v/>
      </c>
      <c r="BQ5" s="153">
        <f>IFERROR(VLOOKUP(BE5,$AF:$BB,14,0),0)</f>
        <v/>
      </c>
      <c r="BR5" s="355">
        <f>IFERROR(VLOOKUP(BE5,$AF:$BB,15,0),0)</f>
        <v/>
      </c>
      <c r="BS5" s="153">
        <f>IFERROR(VLOOKUP(BE5,$AF:$BB,16,0),0)</f>
        <v/>
      </c>
      <c r="BT5" s="353">
        <f>IFERROR(VLOOKUP(BE5,$AF:$BB,17,0),0)</f>
        <v/>
      </c>
      <c r="BU5" s="167">
        <f>IFERROR(VLOOKUP(BE5,$AF:$BB,19,0),0)</f>
        <v/>
      </c>
      <c r="BV5" s="354">
        <f>IFERROR(VLOOKUP(BE5,$AF:$BB,20,0),0)</f>
        <v/>
      </c>
      <c r="BW5" s="153">
        <f>IFERROR(VLOOKUP(BE5,$AF:$BB,21,0),0)</f>
        <v/>
      </c>
      <c r="BX5" s="355">
        <f>IFERROR(VLOOKUP(BE5,$AF:$BB,22,0),0)</f>
        <v/>
      </c>
      <c r="BY5" s="153">
        <f>IFERROR(VLOOKUP(BE5,$AF:$BB,23,0),0)</f>
        <v/>
      </c>
    </row>
    <row r="6" spans="1:77">
      <c r="B6" s="72" t="n">
        <v>344</v>
      </c>
      <c r="C6" s="72" t="s">
        <v>126</v>
      </c>
      <c r="D6" s="126">
        <f>IF(VLOOKUP(Resumen!C6,Análisis!B:AN,15,0)=0,"Sin cambios",VLOOKUP(Resumen!C6,Análisis!B:AN,15,0))</f>
        <v/>
      </c>
      <c r="E6" s="126">
        <f>IF(VLOOKUP(Resumen!C6,Análisis!B:AN,27,0)=0,"Sin cambios",VLOOKUP(Resumen!C6,Análisis!B:AN,27,0))</f>
        <v/>
      </c>
      <c r="F6" s="126">
        <f>IF(VLOOKUP(Resumen!C6,Análisis!B:AN,39,0)=0,"Sin cambios",VLOOKUP(Resumen!C6,Análisis!B:AN,39,0))</f>
        <v/>
      </c>
      <c r="G6" s="126">
        <f>IF(AND(D6="Sin cambios",E6="Sin cambios",F6="Sin cambios")=TRUE,"No","Sí")</f>
        <v/>
      </c>
      <c r="I6" s="76">
        <f>Base!A11</f>
        <v/>
      </c>
      <c r="J6" s="356">
        <f>VLOOKUP(I6,Análisis!B:AN,4,0)</f>
        <v/>
      </c>
      <c r="K6" s="357">
        <f>IF(VLOOKUP(I6,Análisis!B:AN,15,0)=0,"Sin cambios",VLOOKUP(I6,Análisis!B:AN,15,0))</f>
        <v/>
      </c>
      <c r="L6" s="358">
        <f>VLOOKUP(I6,Análisis!B:AN,5,0)</f>
        <v/>
      </c>
      <c r="M6" s="357">
        <f>VLOOKUP(I6,Análisis!B:AN,6,0)</f>
        <v/>
      </c>
      <c r="N6" s="358">
        <f>VLOOKUP(I6,Análisis!B:AN,7,0)</f>
        <v/>
      </c>
      <c r="O6" s="357">
        <f>VLOOKUP(I6,Análisis!B:AN,8,0)</f>
        <v/>
      </c>
      <c r="P6" s="359">
        <f>VLOOKUP(I6,Análisis!B:AN,9,0)</f>
        <v/>
      </c>
      <c r="Q6" s="356">
        <f>VLOOKUP(I6,Análisis!B:AN,16,0)</f>
        <v/>
      </c>
      <c r="R6" s="360">
        <f>IF(VLOOKUP(I6,Análisis!B:AN,27,0)=0,"Sin cambios",VLOOKUP(I6,Análisis!B:AN,27,0))</f>
        <v/>
      </c>
      <c r="S6" s="358">
        <f>VLOOKUP(I6,Análisis!B:AN,17,0)</f>
        <v/>
      </c>
      <c r="T6" s="357">
        <f>VLOOKUP(I6,Análisis!B:AN,18,0)</f>
        <v/>
      </c>
      <c r="U6" s="358">
        <f>VLOOKUP(I6,Análisis!B:AN,19,0)</f>
        <v/>
      </c>
      <c r="V6" s="357">
        <f>VLOOKUP(I6,Análisis!B:AN,20,0)</f>
        <v/>
      </c>
      <c r="W6" s="361">
        <f>VLOOKUP(I6,Análisis!B:AN,21,0)</f>
        <v/>
      </c>
      <c r="X6" s="360">
        <f>VLOOKUP(I6,Análisis!B:AN,28,0)</f>
        <v/>
      </c>
      <c r="Y6" s="360">
        <f>IF(VLOOKUP(I6,Análisis!B:AN,39,0)=0,"Sin cambios",VLOOKUP(I6,Análisis!B:AN,39,0))</f>
        <v/>
      </c>
      <c r="Z6" s="358">
        <f>VLOOKUP(I6,Análisis!B:AN,29,0)</f>
        <v/>
      </c>
      <c r="AA6" s="357">
        <f>VLOOKUP(I6,Análisis!B:AN,30,0)</f>
        <v/>
      </c>
      <c r="AB6" s="358">
        <f>VLOOKUP(I6,Análisis!B:AN,31,0)</f>
        <v/>
      </c>
      <c r="AC6" s="357">
        <f>VLOOKUP(I6,Análisis!B:AN,32,0)</f>
        <v/>
      </c>
      <c r="AD6" s="361">
        <f>VLOOKUP(I6,Análisis!B:AN,33,0)</f>
        <v/>
      </c>
      <c r="AF6" s="127" t="s">
        <v>42</v>
      </c>
      <c r="AG6" s="129" t="s">
        <v>219</v>
      </c>
      <c r="AH6" s="362">
        <f>VLOOKUP(AF6,Análisis!$B:$AN,4,0)</f>
        <v/>
      </c>
      <c r="AI6" s="363">
        <f>IF(VLOOKUP(AF6,Análisis!$B:$AN,15,0)=0,"Sin cambios",VLOOKUP(AF6,Análisis!$B:$AN,15,0))</f>
        <v/>
      </c>
      <c r="AJ6" s="364">
        <f>VLOOKUP(AF6,Análisis!$B:$AN,5,0)</f>
        <v/>
      </c>
      <c r="AK6" s="363">
        <f>VLOOKUP(AF6,Análisis!$B:$AN,6,0)</f>
        <v/>
      </c>
      <c r="AL6" s="364">
        <f>VLOOKUP(AF6,Análisis!$B:$AN,7,0)</f>
        <v/>
      </c>
      <c r="AM6" s="363">
        <f>VLOOKUP(AF6,Análisis!$B:$AN,8,0)</f>
        <v/>
      </c>
      <c r="AN6" s="365">
        <f>VLOOKUP(AF6,Análisis!$B:$AN,9,0)</f>
        <v/>
      </c>
      <c r="AO6" s="362">
        <f>VLOOKUP(AF6,Análisis!$B:$AN,16,0)</f>
        <v/>
      </c>
      <c r="AP6" s="363">
        <f>IF(VLOOKUP(AF6,Análisis!$B:$AN,27,0)=0,"Sin cambios",VLOOKUP(AF6,Análisis!$B:$AN,27,0))</f>
        <v/>
      </c>
      <c r="AQ6" s="364">
        <f>VLOOKUP(AF6,Análisis!$B:$AN,17,0)</f>
        <v/>
      </c>
      <c r="AR6" s="363">
        <f>VLOOKUP(AF6,Análisis!$B:$AN,18,0)</f>
        <v/>
      </c>
      <c r="AS6" s="364">
        <f>VLOOKUP(AF6,Análisis!$B:$AN,19,0)</f>
        <v/>
      </c>
      <c r="AT6" s="363">
        <f>VLOOKUP(AF6,Análisis!$B:$AN,20,0)</f>
        <v/>
      </c>
      <c r="AU6" s="365">
        <f>VLOOKUP(AF6,Análisis!$B:$AN,21,0)</f>
        <v/>
      </c>
      <c r="AV6" s="362">
        <f>VLOOKUP(AF6,Análisis!$B:$AN,28,0)</f>
        <v/>
      </c>
      <c r="AW6" s="363">
        <f>IF(VLOOKUP(AF6,Análisis!$B:$AN,39,0)=0,"Sin cambios",VLOOKUP(AF6,Análisis!$B:$AN,39,0))</f>
        <v/>
      </c>
      <c r="AX6" s="364">
        <f>VLOOKUP(AF6,Análisis!$B:$AN,29,0)</f>
        <v/>
      </c>
      <c r="AY6" s="363">
        <f>VLOOKUP(AF6,Análisis!$B:$AN,30,0)</f>
        <v/>
      </c>
      <c r="AZ6" s="364">
        <f>VLOOKUP(AF6,Análisis!$B:$AN,31,0)</f>
        <v/>
      </c>
      <c r="BA6" s="363">
        <f>VLOOKUP(AF6,Análisis!$B:$AN,32,0)</f>
        <v/>
      </c>
      <c r="BB6" s="365">
        <f>VLOOKUP(AF6,Análisis!$B:$AN,33,0)</f>
        <v/>
      </c>
      <c r="BE6" s="152" t="s">
        <v>145</v>
      </c>
      <c r="BF6" s="294" t="s">
        <v>306</v>
      </c>
      <c r="BH6" s="353">
        <f>IFERROR(VLOOKUP(BE6,$AF:$BB,3,0),0)</f>
        <v/>
      </c>
      <c r="BI6" s="167">
        <f>IFERROR(VLOOKUP(BE6,$AF:$BB,5,0),0)</f>
        <v/>
      </c>
      <c r="BJ6" s="354">
        <f>IFERROR(VLOOKUP(BE6,$AF:$BB,6,0),0)</f>
        <v/>
      </c>
      <c r="BK6" s="153">
        <f>IFERROR(VLOOKUP(BE6,$AF:$BB,7,0),0)</f>
        <v/>
      </c>
      <c r="BL6" s="355">
        <f>IFERROR(VLOOKUP(BE6,$AF:$BB,8,0),0)</f>
        <v/>
      </c>
      <c r="BM6" s="153">
        <f>IFERROR(VLOOKUP(BE6,$AF:$BB,9,0),0)</f>
        <v/>
      </c>
      <c r="BN6" s="353">
        <f>IFERROR(VLOOKUP(BE6,$AF:$BB,10,0),0)</f>
        <v/>
      </c>
      <c r="BO6" s="167">
        <f>IFERROR(VLOOKUP(BE6,$AF:$BB,12,0),0)</f>
        <v/>
      </c>
      <c r="BP6" s="354">
        <f>IFERROR(VLOOKUP(BE6,$AF:$BB,13,0),0)</f>
        <v/>
      </c>
      <c r="BQ6" s="153">
        <f>IFERROR(VLOOKUP(BE6,$AF:$BB,14,0),0)</f>
        <v/>
      </c>
      <c r="BR6" s="355">
        <f>IFERROR(VLOOKUP(BE6,$AF:$BB,15,0),0)</f>
        <v/>
      </c>
      <c r="BS6" s="153">
        <f>IFERROR(VLOOKUP(BE6,$AF:$BB,16,0),0)</f>
        <v/>
      </c>
      <c r="BT6" s="353">
        <f>IFERROR(VLOOKUP(BE6,$AF:$BB,17,0),0)</f>
        <v/>
      </c>
      <c r="BU6" s="167">
        <f>IFERROR(VLOOKUP(BE6,$AF:$BB,19,0),0)</f>
        <v/>
      </c>
      <c r="BV6" s="354">
        <f>IFERROR(VLOOKUP(BE6,$AF:$BB,20,0),0)</f>
        <v/>
      </c>
      <c r="BW6" s="153">
        <f>IFERROR(VLOOKUP(BE6,$AF:$BB,21,0),0)</f>
        <v/>
      </c>
      <c r="BX6" s="355">
        <f>IFERROR(VLOOKUP(BE6,$AF:$BB,22,0),0)</f>
        <v/>
      </c>
      <c r="BY6" s="153">
        <f>IFERROR(VLOOKUP(BE6,$AF:$BB,23,0),0)</f>
        <v/>
      </c>
    </row>
    <row r="7" spans="1:77">
      <c r="B7" s="72" t="n">
        <v>314</v>
      </c>
      <c r="C7" s="72" t="s">
        <v>226</v>
      </c>
      <c r="D7" s="126">
        <f>IF(VLOOKUP(Resumen!C7,Análisis!B:AN,15,0)=0,"Sin cambios",VLOOKUP(Resumen!C7,Análisis!B:AN,15,0))</f>
        <v/>
      </c>
      <c r="E7" s="126">
        <f>IF(VLOOKUP(Resumen!C7,Análisis!B:AN,27,0)=0,"Sin cambios",VLOOKUP(Resumen!C7,Análisis!B:AN,27,0))</f>
        <v/>
      </c>
      <c r="F7" s="126">
        <f>IF(VLOOKUP(Resumen!C7,Análisis!B:AN,39,0)=0,"Sin cambios",VLOOKUP(Resumen!C7,Análisis!B:AN,39,0))</f>
        <v/>
      </c>
      <c r="G7" s="126">
        <f>IF(AND(D7="Sin cambios",E7="Sin cambios",F7="Sin cambios")=TRUE,"No","Sí")</f>
        <v/>
      </c>
      <c r="I7" s="76">
        <f>Base!A12</f>
        <v/>
      </c>
      <c r="J7" s="356">
        <f>VLOOKUP(I7,Análisis!B:AN,4,0)</f>
        <v/>
      </c>
      <c r="K7" s="357">
        <f>IF(VLOOKUP(I7,Análisis!B:AN,15,0)=0,"Sin cambios",VLOOKUP(I7,Análisis!B:AN,15,0))</f>
        <v/>
      </c>
      <c r="L7" s="358">
        <f>VLOOKUP(I7,Análisis!B:AN,5,0)</f>
        <v/>
      </c>
      <c r="M7" s="357">
        <f>VLOOKUP(I7,Análisis!B:AN,6,0)</f>
        <v/>
      </c>
      <c r="N7" s="358">
        <f>VLOOKUP(I7,Análisis!B:AN,7,0)</f>
        <v/>
      </c>
      <c r="O7" s="357">
        <f>VLOOKUP(I7,Análisis!B:AN,8,0)</f>
        <v/>
      </c>
      <c r="P7" s="359">
        <f>VLOOKUP(I7,Análisis!B:AN,9,0)</f>
        <v/>
      </c>
      <c r="Q7" s="356">
        <f>VLOOKUP(I7,Análisis!B:AN,16,0)</f>
        <v/>
      </c>
      <c r="R7" s="360">
        <f>IF(VLOOKUP(I7,Análisis!B:AN,27,0)=0,"Sin cambios",VLOOKUP(I7,Análisis!B:AN,27,0))</f>
        <v/>
      </c>
      <c r="S7" s="358">
        <f>VLOOKUP(I7,Análisis!B:AN,17,0)</f>
        <v/>
      </c>
      <c r="T7" s="357">
        <f>VLOOKUP(I7,Análisis!B:AN,18,0)</f>
        <v/>
      </c>
      <c r="U7" s="358">
        <f>VLOOKUP(I7,Análisis!B:AN,19,0)</f>
        <v/>
      </c>
      <c r="V7" s="357">
        <f>VLOOKUP(I7,Análisis!B:AN,20,0)</f>
        <v/>
      </c>
      <c r="W7" s="361">
        <f>VLOOKUP(I7,Análisis!B:AN,21,0)</f>
        <v/>
      </c>
      <c r="X7" s="360">
        <f>VLOOKUP(I7,Análisis!B:AN,28,0)</f>
        <v/>
      </c>
      <c r="Y7" s="360">
        <f>IF(VLOOKUP(I7,Análisis!B:AN,39,0)=0,"Sin cambios",VLOOKUP(I7,Análisis!B:AN,39,0))</f>
        <v/>
      </c>
      <c r="Z7" s="358">
        <f>VLOOKUP(I7,Análisis!B:AN,29,0)</f>
        <v/>
      </c>
      <c r="AA7" s="357">
        <f>VLOOKUP(I7,Análisis!B:AN,30,0)</f>
        <v/>
      </c>
      <c r="AB7" s="358">
        <f>VLOOKUP(I7,Análisis!B:AN,31,0)</f>
        <v/>
      </c>
      <c r="AC7" s="357">
        <f>VLOOKUP(I7,Análisis!B:AN,32,0)</f>
        <v/>
      </c>
      <c r="AD7" s="361">
        <f>VLOOKUP(I7,Análisis!B:AN,33,0)</f>
        <v/>
      </c>
      <c r="AF7" s="127" t="s">
        <v>45</v>
      </c>
      <c r="AG7" s="129" t="s">
        <v>219</v>
      </c>
      <c r="AH7" s="362">
        <f>VLOOKUP(AF7,Análisis!$B:$AN,4,0)</f>
        <v/>
      </c>
      <c r="AI7" s="363">
        <f>IF(VLOOKUP(AF7,Análisis!$B:$AN,15,0)=0,"Sin cambios",VLOOKUP(AF7,Análisis!$B:$AN,15,0))</f>
        <v/>
      </c>
      <c r="AJ7" s="364">
        <f>VLOOKUP(AF7,Análisis!$B:$AN,5,0)</f>
        <v/>
      </c>
      <c r="AK7" s="363">
        <f>VLOOKUP(AF7,Análisis!$B:$AN,6,0)</f>
        <v/>
      </c>
      <c r="AL7" s="364">
        <f>VLOOKUP(AF7,Análisis!$B:$AN,7,0)</f>
        <v/>
      </c>
      <c r="AM7" s="363">
        <f>VLOOKUP(AF7,Análisis!$B:$AN,8,0)</f>
        <v/>
      </c>
      <c r="AN7" s="365">
        <f>VLOOKUP(AF7,Análisis!$B:$AN,9,0)</f>
        <v/>
      </c>
      <c r="AO7" s="362">
        <f>VLOOKUP(AF7,Análisis!$B:$AN,16,0)</f>
        <v/>
      </c>
      <c r="AP7" s="363">
        <f>IF(VLOOKUP(AF7,Análisis!$B:$AN,27,0)=0,"Sin cambios",VLOOKUP(AF7,Análisis!$B:$AN,27,0))</f>
        <v/>
      </c>
      <c r="AQ7" s="364">
        <f>VLOOKUP(AF7,Análisis!$B:$AN,17,0)</f>
        <v/>
      </c>
      <c r="AR7" s="363">
        <f>VLOOKUP(AF7,Análisis!$B:$AN,18,0)</f>
        <v/>
      </c>
      <c r="AS7" s="364">
        <f>VLOOKUP(AF7,Análisis!$B:$AN,19,0)</f>
        <v/>
      </c>
      <c r="AT7" s="363">
        <f>VLOOKUP(AF7,Análisis!$B:$AN,20,0)</f>
        <v/>
      </c>
      <c r="AU7" s="365">
        <f>VLOOKUP(AF7,Análisis!$B:$AN,21,0)</f>
        <v/>
      </c>
      <c r="AV7" s="362">
        <f>VLOOKUP(AF7,Análisis!$B:$AN,28,0)</f>
        <v/>
      </c>
      <c r="AW7" s="363">
        <f>IF(VLOOKUP(AF7,Análisis!$B:$AN,39,0)=0,"Sin cambios",VLOOKUP(AF7,Análisis!$B:$AN,39,0))</f>
        <v/>
      </c>
      <c r="AX7" s="364">
        <f>VLOOKUP(AF7,Análisis!$B:$AN,29,0)</f>
        <v/>
      </c>
      <c r="AY7" s="363">
        <f>VLOOKUP(AF7,Análisis!$B:$AN,30,0)</f>
        <v/>
      </c>
      <c r="AZ7" s="364">
        <f>VLOOKUP(AF7,Análisis!$B:$AN,31,0)</f>
        <v/>
      </c>
      <c r="BA7" s="363">
        <f>VLOOKUP(AF7,Análisis!$B:$AN,32,0)</f>
        <v/>
      </c>
      <c r="BB7" s="365">
        <f>VLOOKUP(AF7,Análisis!$B:$AN,33,0)</f>
        <v/>
      </c>
      <c r="BE7" s="152" t="s">
        <v>126</v>
      </c>
      <c r="BF7" s="294" t="s">
        <v>307</v>
      </c>
      <c r="BH7" s="353">
        <f>IFERROR(VLOOKUP(BE7,$AF:$BB,3,0),0)</f>
        <v/>
      </c>
      <c r="BI7" s="167">
        <f>IFERROR(VLOOKUP(BE7,$AF:$BB,5,0),0)</f>
        <v/>
      </c>
      <c r="BJ7" s="354">
        <f>IFERROR(VLOOKUP(BE7,$AF:$BB,6,0),0)</f>
        <v/>
      </c>
      <c r="BK7" s="153">
        <f>IFERROR(VLOOKUP(BE7,$AF:$BB,7,0),0)</f>
        <v/>
      </c>
      <c r="BL7" s="355">
        <f>IFERROR(VLOOKUP(BE7,$AF:$BB,8,0),0)</f>
        <v/>
      </c>
      <c r="BM7" s="153">
        <f>IFERROR(VLOOKUP(BE7,$AF:$BB,9,0),0)</f>
        <v/>
      </c>
      <c r="BN7" s="353">
        <f>IFERROR(VLOOKUP(BE7,$AF:$BB,10,0),0)</f>
        <v/>
      </c>
      <c r="BO7" s="167">
        <f>IFERROR(VLOOKUP(BE7,$AF:$BB,12,0),0)</f>
        <v/>
      </c>
      <c r="BP7" s="354">
        <f>IFERROR(VLOOKUP(BE7,$AF:$BB,13,0),0)</f>
        <v/>
      </c>
      <c r="BQ7" s="153">
        <f>IFERROR(VLOOKUP(BE7,$AF:$BB,14,0),0)</f>
        <v/>
      </c>
      <c r="BR7" s="355">
        <f>IFERROR(VLOOKUP(BE7,$AF:$BB,15,0),0)</f>
        <v/>
      </c>
      <c r="BS7" s="153">
        <f>IFERROR(VLOOKUP(BE7,$AF:$BB,16,0),0)</f>
        <v/>
      </c>
      <c r="BT7" s="353">
        <f>IFERROR(VLOOKUP(BE7,$AF:$BB,17,0),0)</f>
        <v/>
      </c>
      <c r="BU7" s="167">
        <f>IFERROR(VLOOKUP(BE7,$AF:$BB,19,0),0)</f>
        <v/>
      </c>
      <c r="BV7" s="354">
        <f>IFERROR(VLOOKUP(BE7,$AF:$BB,20,0),0)</f>
        <v/>
      </c>
      <c r="BW7" s="153">
        <f>IFERROR(VLOOKUP(BE7,$AF:$BB,21,0),0)</f>
        <v/>
      </c>
      <c r="BX7" s="355">
        <f>IFERROR(VLOOKUP(BE7,$AF:$BB,22,0),0)</f>
        <v/>
      </c>
      <c r="BY7" s="153">
        <f>IFERROR(VLOOKUP(BE7,$AF:$BB,23,0),0)</f>
        <v/>
      </c>
    </row>
    <row r="8" spans="1:77">
      <c r="B8" s="72" t="n">
        <v>356</v>
      </c>
      <c r="C8" s="72" t="s">
        <v>136</v>
      </c>
      <c r="D8" s="126">
        <f>IF(VLOOKUP(Resumen!C8,Análisis!B:AN,15,0)=0,"Sin cambios",VLOOKUP(Resumen!C8,Análisis!B:AN,15,0))</f>
        <v/>
      </c>
      <c r="E8" s="126">
        <f>IF(VLOOKUP(Resumen!C8,Análisis!B:AN,27,0)=0,"Sin cambios",VLOOKUP(Resumen!C8,Análisis!B:AN,27,0))</f>
        <v/>
      </c>
      <c r="F8" s="126">
        <f>IF(VLOOKUP(Resumen!C8,Análisis!B:AN,39,0)=0,"Sin cambios",VLOOKUP(Resumen!C8,Análisis!B:AN,39,0))</f>
        <v/>
      </c>
      <c r="G8" s="126">
        <f>IF(AND(D8="Sin cambios",E8="Sin cambios",F8="Sin cambios")=TRUE,"No","Sí")</f>
        <v/>
      </c>
      <c r="I8" s="76">
        <f>Base!A13</f>
        <v/>
      </c>
      <c r="J8" s="356">
        <f>VLOOKUP(I8,Análisis!B:AN,4,0)</f>
        <v/>
      </c>
      <c r="K8" s="357">
        <f>IF(VLOOKUP(I8,Análisis!B:AN,15,0)=0,"Sin cambios",VLOOKUP(I8,Análisis!B:AN,15,0))</f>
        <v/>
      </c>
      <c r="L8" s="358">
        <f>VLOOKUP(I8,Análisis!B:AN,5,0)</f>
        <v/>
      </c>
      <c r="M8" s="357">
        <f>VLOOKUP(I8,Análisis!B:AN,6,0)</f>
        <v/>
      </c>
      <c r="N8" s="358">
        <f>VLOOKUP(I8,Análisis!B:AN,7,0)</f>
        <v/>
      </c>
      <c r="O8" s="357">
        <f>VLOOKUP(I8,Análisis!B:AN,8,0)</f>
        <v/>
      </c>
      <c r="P8" s="359">
        <f>VLOOKUP(I8,Análisis!B:AN,9,0)</f>
        <v/>
      </c>
      <c r="Q8" s="356">
        <f>VLOOKUP(I8,Análisis!B:AN,16,0)</f>
        <v/>
      </c>
      <c r="R8" s="360">
        <f>IF(VLOOKUP(I8,Análisis!B:AN,27,0)=0,"Sin cambios",VLOOKUP(I8,Análisis!B:AN,27,0))</f>
        <v/>
      </c>
      <c r="S8" s="358">
        <f>VLOOKUP(I8,Análisis!B:AN,17,0)</f>
        <v/>
      </c>
      <c r="T8" s="357">
        <f>VLOOKUP(I8,Análisis!B:AN,18,0)</f>
        <v/>
      </c>
      <c r="U8" s="358">
        <f>VLOOKUP(I8,Análisis!B:AN,19,0)</f>
        <v/>
      </c>
      <c r="V8" s="357">
        <f>VLOOKUP(I8,Análisis!B:AN,20,0)</f>
        <v/>
      </c>
      <c r="W8" s="361">
        <f>VLOOKUP(I8,Análisis!B:AN,21,0)</f>
        <v/>
      </c>
      <c r="X8" s="360">
        <f>VLOOKUP(I8,Análisis!B:AN,28,0)</f>
        <v/>
      </c>
      <c r="Y8" s="360">
        <f>IF(VLOOKUP(I8,Análisis!B:AN,39,0)=0,"Sin cambios",VLOOKUP(I8,Análisis!B:AN,39,0))</f>
        <v/>
      </c>
      <c r="Z8" s="358">
        <f>VLOOKUP(I8,Análisis!B:AN,29,0)</f>
        <v/>
      </c>
      <c r="AA8" s="357">
        <f>VLOOKUP(I8,Análisis!B:AN,30,0)</f>
        <v/>
      </c>
      <c r="AB8" s="358">
        <f>VLOOKUP(I8,Análisis!B:AN,31,0)</f>
        <v/>
      </c>
      <c r="AC8" s="357">
        <f>VLOOKUP(I8,Análisis!B:AN,32,0)</f>
        <v/>
      </c>
      <c r="AD8" s="361">
        <f>VLOOKUP(I8,Análisis!B:AN,33,0)</f>
        <v/>
      </c>
      <c r="AF8" s="127" t="s">
        <v>224</v>
      </c>
      <c r="AG8" s="129" t="s">
        <v>219</v>
      </c>
      <c r="AH8" s="362">
        <f>VLOOKUP(AF8,Análisis!$B:$AN,4,0)</f>
        <v/>
      </c>
      <c r="AI8" s="363">
        <f>IF(VLOOKUP(AF8,Análisis!$B:$AN,15,0)=0,"Sin cambios",VLOOKUP(AF8,Análisis!$B:$AN,15,0))</f>
        <v/>
      </c>
      <c r="AJ8" s="364">
        <f>VLOOKUP(AF8,Análisis!$B:$AN,5,0)</f>
        <v/>
      </c>
      <c r="AK8" s="363">
        <f>VLOOKUP(AF8,Análisis!$B:$AN,6,0)</f>
        <v/>
      </c>
      <c r="AL8" s="364">
        <f>VLOOKUP(AF8,Análisis!$B:$AN,7,0)</f>
        <v/>
      </c>
      <c r="AM8" s="363">
        <f>VLOOKUP(AF8,Análisis!$B:$AN,8,0)</f>
        <v/>
      </c>
      <c r="AN8" s="365">
        <f>VLOOKUP(AF8,Análisis!$B:$AN,9,0)</f>
        <v/>
      </c>
      <c r="AO8" s="362">
        <f>VLOOKUP(AF8,Análisis!$B:$AN,16,0)</f>
        <v/>
      </c>
      <c r="AP8" s="363">
        <f>IF(VLOOKUP(AF8,Análisis!$B:$AN,27,0)=0,"Sin cambios",VLOOKUP(AF8,Análisis!$B:$AN,27,0))</f>
        <v/>
      </c>
      <c r="AQ8" s="364">
        <f>VLOOKUP(AF8,Análisis!$B:$AN,17,0)</f>
        <v/>
      </c>
      <c r="AR8" s="363">
        <f>VLOOKUP(AF8,Análisis!$B:$AN,18,0)</f>
        <v/>
      </c>
      <c r="AS8" s="364">
        <f>VLOOKUP(AF8,Análisis!$B:$AN,19,0)</f>
        <v/>
      </c>
      <c r="AT8" s="363">
        <f>VLOOKUP(AF8,Análisis!$B:$AN,20,0)</f>
        <v/>
      </c>
      <c r="AU8" s="365">
        <f>VLOOKUP(AF8,Análisis!$B:$AN,21,0)</f>
        <v/>
      </c>
      <c r="AV8" s="362">
        <f>VLOOKUP(AF8,Análisis!$B:$AN,28,0)</f>
        <v/>
      </c>
      <c r="AW8" s="363">
        <f>IF(VLOOKUP(AF8,Análisis!$B:$AN,39,0)=0,"Sin cambios",VLOOKUP(AF8,Análisis!$B:$AN,39,0))</f>
        <v/>
      </c>
      <c r="AX8" s="364">
        <f>VLOOKUP(AF8,Análisis!$B:$AN,29,0)</f>
        <v/>
      </c>
      <c r="AY8" s="363">
        <f>VLOOKUP(AF8,Análisis!$B:$AN,30,0)</f>
        <v/>
      </c>
      <c r="AZ8" s="364">
        <f>VLOOKUP(AF8,Análisis!$B:$AN,31,0)</f>
        <v/>
      </c>
      <c r="BA8" s="363">
        <f>VLOOKUP(AF8,Análisis!$B:$AN,32,0)</f>
        <v/>
      </c>
      <c r="BB8" s="365">
        <f>VLOOKUP(AF8,Análisis!$B:$AN,33,0)</f>
        <v/>
      </c>
      <c r="BE8" s="152" t="s">
        <v>134</v>
      </c>
      <c r="BF8" s="294" t="s">
        <v>308</v>
      </c>
      <c r="BH8" s="353">
        <f>IFERROR(VLOOKUP(BE8,$AF:$BB,3,0),0)</f>
        <v/>
      </c>
      <c r="BI8" s="167">
        <f>IFERROR(VLOOKUP(BE8,$AF:$BB,5,0),0)</f>
        <v/>
      </c>
      <c r="BJ8" s="354">
        <f>IFERROR(VLOOKUP(BE8,$AF:$BB,6,0),0)</f>
        <v/>
      </c>
      <c r="BK8" s="153">
        <f>IFERROR(VLOOKUP(BE8,$AF:$BB,7,0),0)</f>
        <v/>
      </c>
      <c r="BL8" s="355">
        <f>IFERROR(VLOOKUP(BE8,$AF:$BB,8,0),0)</f>
        <v/>
      </c>
      <c r="BM8" s="153">
        <f>IFERROR(VLOOKUP(BE8,$AF:$BB,9,0),0)</f>
        <v/>
      </c>
      <c r="BN8" s="353">
        <f>IFERROR(VLOOKUP(BE8,$AF:$BB,10,0),0)</f>
        <v/>
      </c>
      <c r="BO8" s="167">
        <f>IFERROR(VLOOKUP(BE8,$AF:$BB,12,0),0)</f>
        <v/>
      </c>
      <c r="BP8" s="354">
        <f>IFERROR(VLOOKUP(BE8,$AF:$BB,13,0),0)</f>
        <v/>
      </c>
      <c r="BQ8" s="153">
        <f>IFERROR(VLOOKUP(BE8,$AF:$BB,14,0),0)</f>
        <v/>
      </c>
      <c r="BR8" s="355">
        <f>IFERROR(VLOOKUP(BE8,$AF:$BB,15,0),0)</f>
        <v/>
      </c>
      <c r="BS8" s="153">
        <f>IFERROR(VLOOKUP(BE8,$AF:$BB,16,0),0)</f>
        <v/>
      </c>
      <c r="BT8" s="353">
        <f>IFERROR(VLOOKUP(BE8,$AF:$BB,17,0),0)</f>
        <v/>
      </c>
      <c r="BU8" s="167">
        <f>IFERROR(VLOOKUP(BE8,$AF:$BB,19,0),0)</f>
        <v/>
      </c>
      <c r="BV8" s="354">
        <f>IFERROR(VLOOKUP(BE8,$AF:$BB,20,0),0)</f>
        <v/>
      </c>
      <c r="BW8" s="153">
        <f>IFERROR(VLOOKUP(BE8,$AF:$BB,21,0),0)</f>
        <v/>
      </c>
      <c r="BX8" s="355">
        <f>IFERROR(VLOOKUP(BE8,$AF:$BB,22,0),0)</f>
        <v/>
      </c>
      <c r="BY8" s="153">
        <f>IFERROR(VLOOKUP(BE8,$AF:$BB,23,0),0)</f>
        <v/>
      </c>
    </row>
    <row r="9" spans="1:77">
      <c r="B9" s="72" t="n">
        <v>332</v>
      </c>
      <c r="C9" s="72" t="s">
        <v>116</v>
      </c>
      <c r="D9" s="126">
        <f>IF(VLOOKUP(Resumen!C9,Análisis!B:AN,15,0)=0,"Sin cambios",VLOOKUP(Resumen!C9,Análisis!B:AN,15,0))</f>
        <v/>
      </c>
      <c r="E9" s="126">
        <f>IF(VLOOKUP(Resumen!C9,Análisis!B:AN,27,0)=0,"Sin cambios",VLOOKUP(Resumen!C9,Análisis!B:AN,27,0))</f>
        <v/>
      </c>
      <c r="F9" s="126">
        <f>IF(VLOOKUP(Resumen!C9,Análisis!B:AN,39,0)=0,"Sin cambios",VLOOKUP(Resumen!C9,Análisis!B:AN,39,0))</f>
        <v/>
      </c>
      <c r="G9" s="126">
        <f>IF(AND(D9="Sin cambios",E9="Sin cambios",F9="Sin cambios")=TRUE,"No","Sí")</f>
        <v/>
      </c>
      <c r="I9" s="76">
        <f>Base!A14</f>
        <v/>
      </c>
      <c r="J9" s="356">
        <f>VLOOKUP(I9,Análisis!B:AN,4,0)</f>
        <v/>
      </c>
      <c r="K9" s="357">
        <f>IF(VLOOKUP(I9,Análisis!B:AN,15,0)=0,"Sin cambios",VLOOKUP(I9,Análisis!B:AN,15,0))</f>
        <v/>
      </c>
      <c r="L9" s="358">
        <f>VLOOKUP(I9,Análisis!B:AN,5,0)</f>
        <v/>
      </c>
      <c r="M9" s="357">
        <f>VLOOKUP(I9,Análisis!B:AN,6,0)</f>
        <v/>
      </c>
      <c r="N9" s="358">
        <f>VLOOKUP(I9,Análisis!B:AN,7,0)</f>
        <v/>
      </c>
      <c r="O9" s="357">
        <f>VLOOKUP(I9,Análisis!B:AN,8,0)</f>
        <v/>
      </c>
      <c r="P9" s="359">
        <f>VLOOKUP(I9,Análisis!B:AN,9,0)</f>
        <v/>
      </c>
      <c r="Q9" s="356">
        <f>VLOOKUP(I9,Análisis!B:AN,16,0)</f>
        <v/>
      </c>
      <c r="R9" s="360">
        <f>IF(VLOOKUP(I9,Análisis!B:AN,27,0)=0,"Sin cambios",VLOOKUP(I9,Análisis!B:AN,27,0))</f>
        <v/>
      </c>
      <c r="S9" s="358">
        <f>VLOOKUP(I9,Análisis!B:AN,17,0)</f>
        <v/>
      </c>
      <c r="T9" s="357">
        <f>VLOOKUP(I9,Análisis!B:AN,18,0)</f>
        <v/>
      </c>
      <c r="U9" s="358">
        <f>VLOOKUP(I9,Análisis!B:AN,19,0)</f>
        <v/>
      </c>
      <c r="V9" s="357">
        <f>VLOOKUP(I9,Análisis!B:AN,20,0)</f>
        <v/>
      </c>
      <c r="W9" s="361">
        <f>VLOOKUP(I9,Análisis!B:AN,21,0)</f>
        <v/>
      </c>
      <c r="X9" s="360">
        <f>VLOOKUP(I9,Análisis!B:AN,28,0)</f>
        <v/>
      </c>
      <c r="Y9" s="360">
        <f>IF(VLOOKUP(I9,Análisis!B:AN,39,0)=0,"Sin cambios",VLOOKUP(I9,Análisis!B:AN,39,0))</f>
        <v/>
      </c>
      <c r="Z9" s="358">
        <f>VLOOKUP(I9,Análisis!B:AN,29,0)</f>
        <v/>
      </c>
      <c r="AA9" s="357">
        <f>VLOOKUP(I9,Análisis!B:AN,30,0)</f>
        <v/>
      </c>
      <c r="AB9" s="358">
        <f>VLOOKUP(I9,Análisis!B:AN,31,0)</f>
        <v/>
      </c>
      <c r="AC9" s="357">
        <f>VLOOKUP(I9,Análisis!B:AN,32,0)</f>
        <v/>
      </c>
      <c r="AD9" s="361">
        <f>VLOOKUP(I9,Análisis!B:AN,33,0)</f>
        <v/>
      </c>
      <c r="AF9" s="127" t="s">
        <v>50</v>
      </c>
      <c r="AG9" s="129" t="s">
        <v>227</v>
      </c>
      <c r="AH9" s="362">
        <f>VLOOKUP(AF9,Análisis!$B:$AN,4,0)</f>
        <v/>
      </c>
      <c r="AI9" s="363">
        <f>IF(VLOOKUP(AF9,Análisis!$B:$AN,15,0)=0,"Sin cambios",VLOOKUP(AF9,Análisis!$B:$AN,15,0))</f>
        <v/>
      </c>
      <c r="AJ9" s="364">
        <f>VLOOKUP(AF9,Análisis!$B:$AN,5,0)</f>
        <v/>
      </c>
      <c r="AK9" s="363">
        <f>VLOOKUP(AF9,Análisis!$B:$AN,6,0)</f>
        <v/>
      </c>
      <c r="AL9" s="364">
        <f>VLOOKUP(AF9,Análisis!$B:$AN,7,0)</f>
        <v/>
      </c>
      <c r="AM9" s="363">
        <f>VLOOKUP(AF9,Análisis!$B:$AN,8,0)</f>
        <v/>
      </c>
      <c r="AN9" s="365">
        <f>VLOOKUP(AF9,Análisis!$B:$AN,9,0)</f>
        <v/>
      </c>
      <c r="AO9" s="362">
        <f>VLOOKUP(AF9,Análisis!$B:$AN,16,0)</f>
        <v/>
      </c>
      <c r="AP9" s="363">
        <f>IF(VLOOKUP(AF9,Análisis!$B:$AN,27,0)=0,"Sin cambios",VLOOKUP(AF9,Análisis!$B:$AN,27,0))</f>
        <v/>
      </c>
      <c r="AQ9" s="364">
        <f>VLOOKUP(AF9,Análisis!$B:$AN,17,0)</f>
        <v/>
      </c>
      <c r="AR9" s="363">
        <f>VLOOKUP(AF9,Análisis!$B:$AN,18,0)</f>
        <v/>
      </c>
      <c r="AS9" s="364">
        <f>VLOOKUP(AF9,Análisis!$B:$AN,19,0)</f>
        <v/>
      </c>
      <c r="AT9" s="363">
        <f>VLOOKUP(AF9,Análisis!$B:$AN,20,0)</f>
        <v/>
      </c>
      <c r="AU9" s="365">
        <f>VLOOKUP(AF9,Análisis!$B:$AN,21,0)</f>
        <v/>
      </c>
      <c r="AV9" s="362">
        <f>VLOOKUP(AF9,Análisis!$B:$AN,28,0)</f>
        <v/>
      </c>
      <c r="AW9" s="363">
        <f>IF(VLOOKUP(AF9,Análisis!$B:$AN,39,0)=0,"Sin cambios",VLOOKUP(AF9,Análisis!$B:$AN,39,0))</f>
        <v/>
      </c>
      <c r="AX9" s="364">
        <f>VLOOKUP(AF9,Análisis!$B:$AN,29,0)</f>
        <v/>
      </c>
      <c r="AY9" s="363">
        <f>VLOOKUP(AF9,Análisis!$B:$AN,30,0)</f>
        <v/>
      </c>
      <c r="AZ9" s="364">
        <f>VLOOKUP(AF9,Análisis!$B:$AN,31,0)</f>
        <v/>
      </c>
      <c r="BA9" s="363">
        <f>VLOOKUP(AF9,Análisis!$B:$AN,32,0)</f>
        <v/>
      </c>
      <c r="BB9" s="365">
        <f>VLOOKUP(AF9,Análisis!$B:$AN,33,0)</f>
        <v/>
      </c>
      <c r="BE9" s="152" t="s">
        <v>226</v>
      </c>
      <c r="BF9" s="294" t="s">
        <v>309</v>
      </c>
      <c r="BH9" s="353">
        <f>IFERROR(VLOOKUP(BE9,$AF:$BB,3,0),0)</f>
        <v/>
      </c>
      <c r="BI9" s="167">
        <f>IFERROR(VLOOKUP(BE9,$AF:$BB,5,0),0)</f>
        <v/>
      </c>
      <c r="BJ9" s="354">
        <f>IFERROR(VLOOKUP(BE9,$AF:$BB,6,0),0)</f>
        <v/>
      </c>
      <c r="BK9" s="153">
        <f>IFERROR(VLOOKUP(BE9,$AF:$BB,7,0),0)</f>
        <v/>
      </c>
      <c r="BL9" s="355">
        <f>IFERROR(VLOOKUP(BE9,$AF:$BB,8,0),0)</f>
        <v/>
      </c>
      <c r="BM9" s="153">
        <f>IFERROR(VLOOKUP(BE9,$AF:$BB,9,0),0)</f>
        <v/>
      </c>
      <c r="BN9" s="353">
        <f>IFERROR(VLOOKUP(BE9,$AF:$BB,10,0),0)</f>
        <v/>
      </c>
      <c r="BO9" s="167">
        <f>IFERROR(VLOOKUP(BE9,$AF:$BB,12,0),0)</f>
        <v/>
      </c>
      <c r="BP9" s="354">
        <f>IFERROR(VLOOKUP(BE9,$AF:$BB,13,0),0)</f>
        <v/>
      </c>
      <c r="BQ9" s="153">
        <f>IFERROR(VLOOKUP(BE9,$AF:$BB,14,0),0)</f>
        <v/>
      </c>
      <c r="BR9" s="355">
        <f>IFERROR(VLOOKUP(BE9,$AF:$BB,15,0),0)</f>
        <v/>
      </c>
      <c r="BS9" s="153">
        <f>IFERROR(VLOOKUP(BE9,$AF:$BB,16,0),0)</f>
        <v/>
      </c>
      <c r="BT9" s="353">
        <f>IFERROR(VLOOKUP(BE9,$AF:$BB,17,0),0)</f>
        <v/>
      </c>
      <c r="BU9" s="167">
        <f>IFERROR(VLOOKUP(BE9,$AF:$BB,19,0),0)</f>
        <v/>
      </c>
      <c r="BV9" s="354">
        <f>IFERROR(VLOOKUP(BE9,$AF:$BB,20,0),0)</f>
        <v/>
      </c>
      <c r="BW9" s="153">
        <f>IFERROR(VLOOKUP(BE9,$AF:$BB,21,0),0)</f>
        <v/>
      </c>
      <c r="BX9" s="355">
        <f>IFERROR(VLOOKUP(BE9,$AF:$BB,22,0),0)</f>
        <v/>
      </c>
      <c r="BY9" s="153">
        <f>IFERROR(VLOOKUP(BE9,$AF:$BB,23,0),0)</f>
        <v/>
      </c>
    </row>
    <row r="10" spans="1:77">
      <c r="B10" s="72" t="n">
        <v>369</v>
      </c>
      <c r="C10" s="72" t="s">
        <v>147</v>
      </c>
      <c r="D10" s="126">
        <f>IF(VLOOKUP(Resumen!C10,Análisis!B:AN,15,0)=0,"Sin cambios",VLOOKUP(Resumen!C10,Análisis!B:AN,15,0))</f>
        <v/>
      </c>
      <c r="E10" s="126">
        <f>IF(VLOOKUP(Resumen!C10,Análisis!B:AN,27,0)=0,"Sin cambios",VLOOKUP(Resumen!C10,Análisis!B:AN,27,0))</f>
        <v/>
      </c>
      <c r="F10" s="126">
        <f>IF(VLOOKUP(Resumen!C10,Análisis!B:AN,39,0)=0,"Sin cambios",VLOOKUP(Resumen!C10,Análisis!B:AN,39,0))</f>
        <v/>
      </c>
      <c r="G10" s="126">
        <f>IF(AND(D10="Sin cambios",E10="Sin cambios",F10="Sin cambios")=TRUE,"No","Sí")</f>
        <v/>
      </c>
      <c r="I10" s="76">
        <f>Base!A15</f>
        <v/>
      </c>
      <c r="J10" s="356">
        <f>VLOOKUP(I10,Análisis!B:AN,4,0)</f>
        <v/>
      </c>
      <c r="K10" s="357">
        <f>IF(VLOOKUP(I10,Análisis!B:AN,15,0)=0,"Sin cambios",VLOOKUP(I10,Análisis!B:AN,15,0))</f>
        <v/>
      </c>
      <c r="L10" s="358">
        <f>VLOOKUP(I10,Análisis!B:AN,5,0)</f>
        <v/>
      </c>
      <c r="M10" s="357">
        <f>VLOOKUP(I10,Análisis!B:AN,6,0)</f>
        <v/>
      </c>
      <c r="N10" s="358">
        <f>VLOOKUP(I10,Análisis!B:AN,7,0)</f>
        <v/>
      </c>
      <c r="O10" s="357">
        <f>VLOOKUP(I10,Análisis!B:AN,8,0)</f>
        <v/>
      </c>
      <c r="P10" s="359">
        <f>VLOOKUP(I10,Análisis!B:AN,9,0)</f>
        <v/>
      </c>
      <c r="Q10" s="356">
        <f>VLOOKUP(I10,Análisis!B:AN,16,0)</f>
        <v/>
      </c>
      <c r="R10" s="360">
        <f>IF(VLOOKUP(I10,Análisis!B:AN,27,0)=0,"Sin cambios",VLOOKUP(I10,Análisis!B:AN,27,0))</f>
        <v/>
      </c>
      <c r="S10" s="358">
        <f>VLOOKUP(I10,Análisis!B:AN,17,0)</f>
        <v/>
      </c>
      <c r="T10" s="357">
        <f>VLOOKUP(I10,Análisis!B:AN,18,0)</f>
        <v/>
      </c>
      <c r="U10" s="358">
        <f>VLOOKUP(I10,Análisis!B:AN,19,0)</f>
        <v/>
      </c>
      <c r="V10" s="357">
        <f>VLOOKUP(I10,Análisis!B:AN,20,0)</f>
        <v/>
      </c>
      <c r="W10" s="361">
        <f>VLOOKUP(I10,Análisis!B:AN,21,0)</f>
        <v/>
      </c>
      <c r="X10" s="360">
        <f>VLOOKUP(I10,Análisis!B:AN,28,0)</f>
        <v/>
      </c>
      <c r="Y10" s="360">
        <f>IF(VLOOKUP(I10,Análisis!B:AN,39,0)=0,"Sin cambios",VLOOKUP(I10,Análisis!B:AN,39,0))</f>
        <v/>
      </c>
      <c r="Z10" s="358">
        <f>VLOOKUP(I10,Análisis!B:AN,29,0)</f>
        <v/>
      </c>
      <c r="AA10" s="357">
        <f>VLOOKUP(I10,Análisis!B:AN,30,0)</f>
        <v/>
      </c>
      <c r="AB10" s="358">
        <f>VLOOKUP(I10,Análisis!B:AN,31,0)</f>
        <v/>
      </c>
      <c r="AC10" s="357">
        <f>VLOOKUP(I10,Análisis!B:AN,32,0)</f>
        <v/>
      </c>
      <c r="AD10" s="361">
        <f>VLOOKUP(I10,Análisis!B:AN,33,0)</f>
        <v/>
      </c>
      <c r="AF10" s="127" t="s">
        <v>52</v>
      </c>
      <c r="AG10" s="129" t="s">
        <v>219</v>
      </c>
      <c r="AH10" s="362">
        <f>VLOOKUP(AF10,Análisis!$B:$AN,4,0)</f>
        <v/>
      </c>
      <c r="AI10" s="363">
        <f>IF(VLOOKUP(AF10,Análisis!$B:$AN,15,0)=0,"Sin cambios",VLOOKUP(AF10,Análisis!$B:$AN,15,0))</f>
        <v/>
      </c>
      <c r="AJ10" s="364">
        <f>VLOOKUP(AF10,Análisis!$B:$AN,5,0)</f>
        <v/>
      </c>
      <c r="AK10" s="363">
        <f>VLOOKUP(AF10,Análisis!$B:$AN,6,0)</f>
        <v/>
      </c>
      <c r="AL10" s="364">
        <f>VLOOKUP(AF10,Análisis!$B:$AN,7,0)</f>
        <v/>
      </c>
      <c r="AM10" s="363">
        <f>VLOOKUP(AF10,Análisis!$B:$AN,8,0)</f>
        <v/>
      </c>
      <c r="AN10" s="365">
        <f>VLOOKUP(AF10,Análisis!$B:$AN,9,0)</f>
        <v/>
      </c>
      <c r="AO10" s="362">
        <f>VLOOKUP(AF10,Análisis!$B:$AN,16,0)</f>
        <v/>
      </c>
      <c r="AP10" s="363">
        <f>IF(VLOOKUP(AF10,Análisis!$B:$AN,27,0)=0,"Sin cambios",VLOOKUP(AF10,Análisis!$B:$AN,27,0))</f>
        <v/>
      </c>
      <c r="AQ10" s="364">
        <f>VLOOKUP(AF10,Análisis!$B:$AN,17,0)</f>
        <v/>
      </c>
      <c r="AR10" s="363">
        <f>VLOOKUP(AF10,Análisis!$B:$AN,18,0)</f>
        <v/>
      </c>
      <c r="AS10" s="364">
        <f>VLOOKUP(AF10,Análisis!$B:$AN,19,0)</f>
        <v/>
      </c>
      <c r="AT10" s="363">
        <f>VLOOKUP(AF10,Análisis!$B:$AN,20,0)</f>
        <v/>
      </c>
      <c r="AU10" s="365">
        <f>VLOOKUP(AF10,Análisis!$B:$AN,21,0)</f>
        <v/>
      </c>
      <c r="AV10" s="362">
        <f>VLOOKUP(AF10,Análisis!$B:$AN,28,0)</f>
        <v/>
      </c>
      <c r="AW10" s="363">
        <f>IF(VLOOKUP(AF10,Análisis!$B:$AN,39,0)=0,"Sin cambios",VLOOKUP(AF10,Análisis!$B:$AN,39,0))</f>
        <v/>
      </c>
      <c r="AX10" s="364">
        <f>VLOOKUP(AF10,Análisis!$B:$AN,29,0)</f>
        <v/>
      </c>
      <c r="AY10" s="363">
        <f>VLOOKUP(AF10,Análisis!$B:$AN,30,0)</f>
        <v/>
      </c>
      <c r="AZ10" s="364">
        <f>VLOOKUP(AF10,Análisis!$B:$AN,31,0)</f>
        <v/>
      </c>
      <c r="BA10" s="363">
        <f>VLOOKUP(AF10,Análisis!$B:$AN,32,0)</f>
        <v/>
      </c>
      <c r="BB10" s="365">
        <f>VLOOKUP(AF10,Análisis!$B:$AN,33,0)</f>
        <v/>
      </c>
      <c r="BE10" s="152" t="s">
        <v>136</v>
      </c>
      <c r="BF10" s="294" t="s">
        <v>310</v>
      </c>
      <c r="BH10" s="353">
        <f>IFERROR(VLOOKUP(BE10,$AF:$BB,3,0),0)</f>
        <v/>
      </c>
      <c r="BI10" s="167">
        <f>IFERROR(VLOOKUP(BE10,$AF:$BB,5,0),0)</f>
        <v/>
      </c>
      <c r="BJ10" s="354">
        <f>IFERROR(VLOOKUP(BE10,$AF:$BB,6,0),0)</f>
        <v/>
      </c>
      <c r="BK10" s="153">
        <f>IFERROR(VLOOKUP(BE10,$AF:$BB,7,0),0)</f>
        <v/>
      </c>
      <c r="BL10" s="355">
        <f>IFERROR(VLOOKUP(BE10,$AF:$BB,8,0),0)</f>
        <v/>
      </c>
      <c r="BM10" s="153">
        <f>IFERROR(VLOOKUP(BE10,$AF:$BB,9,0),0)</f>
        <v/>
      </c>
      <c r="BN10" s="353">
        <f>IFERROR(VLOOKUP(BE10,$AF:$BB,10,0),0)</f>
        <v/>
      </c>
      <c r="BO10" s="167">
        <f>IFERROR(VLOOKUP(BE10,$AF:$BB,12,0),0)</f>
        <v/>
      </c>
      <c r="BP10" s="354">
        <f>IFERROR(VLOOKUP(BE10,$AF:$BB,13,0),0)</f>
        <v/>
      </c>
      <c r="BQ10" s="153">
        <f>IFERROR(VLOOKUP(BE10,$AF:$BB,14,0),0)</f>
        <v/>
      </c>
      <c r="BR10" s="355">
        <f>IFERROR(VLOOKUP(BE10,$AF:$BB,15,0),0)</f>
        <v/>
      </c>
      <c r="BS10" s="153">
        <f>IFERROR(VLOOKUP(BE10,$AF:$BB,16,0),0)</f>
        <v/>
      </c>
      <c r="BT10" s="353">
        <f>IFERROR(VLOOKUP(BE10,$AF:$BB,17,0),0)</f>
        <v/>
      </c>
      <c r="BU10" s="167">
        <f>IFERROR(VLOOKUP(BE10,$AF:$BB,19,0),0)</f>
        <v/>
      </c>
      <c r="BV10" s="354">
        <f>IFERROR(VLOOKUP(BE10,$AF:$BB,20,0),0)</f>
        <v/>
      </c>
      <c r="BW10" s="153">
        <f>IFERROR(VLOOKUP(BE10,$AF:$BB,21,0),0)</f>
        <v/>
      </c>
      <c r="BX10" s="355">
        <f>IFERROR(VLOOKUP(BE10,$AF:$BB,22,0),0)</f>
        <v/>
      </c>
      <c r="BY10" s="153">
        <f>IFERROR(VLOOKUP(BE10,$AF:$BB,23,0),0)</f>
        <v/>
      </c>
    </row>
    <row r="11" spans="1:77">
      <c r="B11" s="72" t="n">
        <v>355</v>
      </c>
      <c r="C11" s="72" t="s">
        <v>135</v>
      </c>
      <c r="D11" s="126">
        <f>IF(VLOOKUP(Resumen!C11,Análisis!B:AN,15,0)=0,"Sin cambios",VLOOKUP(Resumen!C11,Análisis!B:AN,15,0))</f>
        <v/>
      </c>
      <c r="E11" s="126">
        <f>IF(VLOOKUP(Resumen!C11,Análisis!B:AN,27,0)=0,"Sin cambios",VLOOKUP(Resumen!C11,Análisis!B:AN,27,0))</f>
        <v/>
      </c>
      <c r="F11" s="126">
        <f>IF(VLOOKUP(Resumen!C11,Análisis!B:AN,39,0)=0,"Sin cambios",VLOOKUP(Resumen!C11,Análisis!B:AN,39,0))</f>
        <v/>
      </c>
      <c r="G11" s="126">
        <f>IF(AND(D11="Sin cambios",E11="Sin cambios",F11="Sin cambios")=TRUE,"No","Sí")</f>
        <v/>
      </c>
      <c r="I11" s="76">
        <f>Base!A16</f>
        <v/>
      </c>
      <c r="J11" s="356">
        <f>VLOOKUP(I11,Análisis!B:AN,4,0)</f>
        <v/>
      </c>
      <c r="K11" s="357">
        <f>IF(VLOOKUP(I11,Análisis!B:AN,15,0)=0,"Sin cambios",VLOOKUP(I11,Análisis!B:AN,15,0))</f>
        <v/>
      </c>
      <c r="L11" s="358">
        <f>VLOOKUP(I11,Análisis!B:AN,5,0)</f>
        <v/>
      </c>
      <c r="M11" s="357">
        <f>VLOOKUP(I11,Análisis!B:AN,6,0)</f>
        <v/>
      </c>
      <c r="N11" s="358">
        <f>VLOOKUP(I11,Análisis!B:AN,7,0)</f>
        <v/>
      </c>
      <c r="O11" s="357">
        <f>VLOOKUP(I11,Análisis!B:AN,8,0)</f>
        <v/>
      </c>
      <c r="P11" s="359">
        <f>VLOOKUP(I11,Análisis!B:AN,9,0)</f>
        <v/>
      </c>
      <c r="Q11" s="356">
        <f>VLOOKUP(I11,Análisis!B:AN,16,0)</f>
        <v/>
      </c>
      <c r="R11" s="360">
        <f>IF(VLOOKUP(I11,Análisis!B:AN,27,0)=0,"Sin cambios",VLOOKUP(I11,Análisis!B:AN,27,0))</f>
        <v/>
      </c>
      <c r="S11" s="358">
        <f>VLOOKUP(I11,Análisis!B:AN,17,0)</f>
        <v/>
      </c>
      <c r="T11" s="357">
        <f>VLOOKUP(I11,Análisis!B:AN,18,0)</f>
        <v/>
      </c>
      <c r="U11" s="358">
        <f>VLOOKUP(I11,Análisis!B:AN,19,0)</f>
        <v/>
      </c>
      <c r="V11" s="357">
        <f>VLOOKUP(I11,Análisis!B:AN,20,0)</f>
        <v/>
      </c>
      <c r="W11" s="361">
        <f>VLOOKUP(I11,Análisis!B:AN,21,0)</f>
        <v/>
      </c>
      <c r="X11" s="360">
        <f>VLOOKUP(I11,Análisis!B:AN,28,0)</f>
        <v/>
      </c>
      <c r="Y11" s="360">
        <f>IF(VLOOKUP(I11,Análisis!B:AN,39,0)=0,"Sin cambios",VLOOKUP(I11,Análisis!B:AN,39,0))</f>
        <v/>
      </c>
      <c r="Z11" s="358">
        <f>VLOOKUP(I11,Análisis!B:AN,29,0)</f>
        <v/>
      </c>
      <c r="AA11" s="357">
        <f>VLOOKUP(I11,Análisis!B:AN,30,0)</f>
        <v/>
      </c>
      <c r="AB11" s="358">
        <f>VLOOKUP(I11,Análisis!B:AN,31,0)</f>
        <v/>
      </c>
      <c r="AC11" s="357">
        <f>VLOOKUP(I11,Análisis!B:AN,32,0)</f>
        <v/>
      </c>
      <c r="AD11" s="361">
        <f>VLOOKUP(I11,Análisis!B:AN,33,0)</f>
        <v/>
      </c>
      <c r="AF11" s="127" t="s">
        <v>54</v>
      </c>
      <c r="AG11" s="129" t="s">
        <v>219</v>
      </c>
      <c r="AH11" s="362">
        <f>VLOOKUP(AF11,Análisis!$B:$AN,4,0)</f>
        <v/>
      </c>
      <c r="AI11" s="363">
        <f>IF(VLOOKUP(AF11,Análisis!$B:$AN,15,0)=0,"Sin cambios",VLOOKUP(AF11,Análisis!$B:$AN,15,0))</f>
        <v/>
      </c>
      <c r="AJ11" s="364">
        <f>VLOOKUP(AF11,Análisis!$B:$AN,5,0)</f>
        <v/>
      </c>
      <c r="AK11" s="363">
        <f>VLOOKUP(AF11,Análisis!$B:$AN,6,0)</f>
        <v/>
      </c>
      <c r="AL11" s="364">
        <f>VLOOKUP(AF11,Análisis!$B:$AN,7,0)</f>
        <v/>
      </c>
      <c r="AM11" s="363">
        <f>VLOOKUP(AF11,Análisis!$B:$AN,8,0)</f>
        <v/>
      </c>
      <c r="AN11" s="365">
        <f>VLOOKUP(AF11,Análisis!$B:$AN,9,0)</f>
        <v/>
      </c>
      <c r="AO11" s="362">
        <f>VLOOKUP(AF11,Análisis!$B:$AN,16,0)</f>
        <v/>
      </c>
      <c r="AP11" s="363">
        <f>IF(VLOOKUP(AF11,Análisis!$B:$AN,27,0)=0,"Sin cambios",VLOOKUP(AF11,Análisis!$B:$AN,27,0))</f>
        <v/>
      </c>
      <c r="AQ11" s="364">
        <f>VLOOKUP(AF11,Análisis!$B:$AN,17,0)</f>
        <v/>
      </c>
      <c r="AR11" s="363">
        <f>VLOOKUP(AF11,Análisis!$B:$AN,18,0)</f>
        <v/>
      </c>
      <c r="AS11" s="364">
        <f>VLOOKUP(AF11,Análisis!$B:$AN,19,0)</f>
        <v/>
      </c>
      <c r="AT11" s="363">
        <f>VLOOKUP(AF11,Análisis!$B:$AN,20,0)</f>
        <v/>
      </c>
      <c r="AU11" s="365">
        <f>VLOOKUP(AF11,Análisis!$B:$AN,21,0)</f>
        <v/>
      </c>
      <c r="AV11" s="362">
        <f>VLOOKUP(AF11,Análisis!$B:$AN,28,0)</f>
        <v/>
      </c>
      <c r="AW11" s="363">
        <f>IF(VLOOKUP(AF11,Análisis!$B:$AN,39,0)=0,"Sin cambios",VLOOKUP(AF11,Análisis!$B:$AN,39,0))</f>
        <v/>
      </c>
      <c r="AX11" s="364">
        <f>VLOOKUP(AF11,Análisis!$B:$AN,29,0)</f>
        <v/>
      </c>
      <c r="AY11" s="363">
        <f>VLOOKUP(AF11,Análisis!$B:$AN,30,0)</f>
        <v/>
      </c>
      <c r="AZ11" s="364">
        <f>VLOOKUP(AF11,Análisis!$B:$AN,31,0)</f>
        <v/>
      </c>
      <c r="BA11" s="363">
        <f>VLOOKUP(AF11,Análisis!$B:$AN,32,0)</f>
        <v/>
      </c>
      <c r="BB11" s="365">
        <f>VLOOKUP(AF11,Análisis!$B:$AN,33,0)</f>
        <v/>
      </c>
      <c r="BE11" s="152" t="s">
        <v>116</v>
      </c>
      <c r="BF11" s="294" t="s">
        <v>311</v>
      </c>
      <c r="BH11" s="353">
        <f>IFERROR(VLOOKUP(BE11,$AF:$BB,3,0),0)</f>
        <v/>
      </c>
      <c r="BI11" s="167">
        <f>IFERROR(VLOOKUP(BE11,$AF:$BB,5,0),0)</f>
        <v/>
      </c>
      <c r="BJ11" s="354">
        <f>IFERROR(VLOOKUP(BE11,$AF:$BB,6,0),0)</f>
        <v/>
      </c>
      <c r="BK11" s="153">
        <f>IFERROR(VLOOKUP(BE11,$AF:$BB,7,0),0)</f>
        <v/>
      </c>
      <c r="BL11" s="355">
        <f>IFERROR(VLOOKUP(BE11,$AF:$BB,8,0),0)</f>
        <v/>
      </c>
      <c r="BM11" s="153">
        <f>IFERROR(VLOOKUP(BE11,$AF:$BB,9,0),0)</f>
        <v/>
      </c>
      <c r="BN11" s="353">
        <f>IFERROR(VLOOKUP(BE11,$AF:$BB,10,0),0)</f>
        <v/>
      </c>
      <c r="BO11" s="167">
        <f>IFERROR(VLOOKUP(BE11,$AF:$BB,12,0),0)</f>
        <v/>
      </c>
      <c r="BP11" s="354">
        <f>IFERROR(VLOOKUP(BE11,$AF:$BB,13,0),0)</f>
        <v/>
      </c>
      <c r="BQ11" s="153">
        <f>IFERROR(VLOOKUP(BE11,$AF:$BB,14,0),0)</f>
        <v/>
      </c>
      <c r="BR11" s="355">
        <f>IFERROR(VLOOKUP(BE11,$AF:$BB,15,0),0)</f>
        <v/>
      </c>
      <c r="BS11" s="153">
        <f>IFERROR(VLOOKUP(BE11,$AF:$BB,16,0),0)</f>
        <v/>
      </c>
      <c r="BT11" s="353">
        <f>IFERROR(VLOOKUP(BE11,$AF:$BB,17,0),0)</f>
        <v/>
      </c>
      <c r="BU11" s="167">
        <f>IFERROR(VLOOKUP(BE11,$AF:$BB,19,0),0)</f>
        <v/>
      </c>
      <c r="BV11" s="354">
        <f>IFERROR(VLOOKUP(BE11,$AF:$BB,20,0),0)</f>
        <v/>
      </c>
      <c r="BW11" s="153">
        <f>IFERROR(VLOOKUP(BE11,$AF:$BB,21,0),0)</f>
        <v/>
      </c>
      <c r="BX11" s="355">
        <f>IFERROR(VLOOKUP(BE11,$AF:$BB,22,0),0)</f>
        <v/>
      </c>
      <c r="BY11" s="153">
        <f>IFERROR(VLOOKUP(BE11,$AF:$BB,23,0),0)</f>
        <v/>
      </c>
    </row>
    <row r="12" spans="1:77">
      <c r="B12" s="72" t="n">
        <v>351</v>
      </c>
      <c r="C12" s="72" t="s">
        <v>234</v>
      </c>
      <c r="D12" s="126">
        <f>IF(VLOOKUP(Resumen!C12,Análisis!B:AN,15,0)=0,"Sin cambios",VLOOKUP(Resumen!C12,Análisis!B:AN,15,0))</f>
        <v/>
      </c>
      <c r="E12" s="126">
        <f>IF(VLOOKUP(Resumen!C12,Análisis!B:AN,27,0)=0,"Sin cambios",VLOOKUP(Resumen!C12,Análisis!B:AN,27,0))</f>
        <v/>
      </c>
      <c r="F12" s="126">
        <f>IF(VLOOKUP(Resumen!C12,Análisis!B:AN,39,0)=0,"Sin cambios",VLOOKUP(Resumen!C12,Análisis!B:AN,39,0))</f>
        <v/>
      </c>
      <c r="G12" s="126">
        <f>IF(AND(D12="Sin cambios",E12="Sin cambios",F12="Sin cambios")=TRUE,"No","Sí")</f>
        <v/>
      </c>
      <c r="I12" s="76">
        <f>Base!A17</f>
        <v/>
      </c>
      <c r="J12" s="356">
        <f>VLOOKUP(I12,Análisis!B:AN,4,0)</f>
        <v/>
      </c>
      <c r="K12" s="357">
        <f>IF(VLOOKUP(I12,Análisis!B:AN,15,0)=0,"Sin cambios",VLOOKUP(I12,Análisis!B:AN,15,0))</f>
        <v/>
      </c>
      <c r="L12" s="358">
        <f>VLOOKUP(I12,Análisis!B:AN,5,0)</f>
        <v/>
      </c>
      <c r="M12" s="357">
        <f>VLOOKUP(I12,Análisis!B:AN,6,0)</f>
        <v/>
      </c>
      <c r="N12" s="358">
        <f>VLOOKUP(I12,Análisis!B:AN,7,0)</f>
        <v/>
      </c>
      <c r="O12" s="357">
        <f>VLOOKUP(I12,Análisis!B:AN,8,0)</f>
        <v/>
      </c>
      <c r="P12" s="359">
        <f>VLOOKUP(I12,Análisis!B:AN,9,0)</f>
        <v/>
      </c>
      <c r="Q12" s="356">
        <f>VLOOKUP(I12,Análisis!B:AN,16,0)</f>
        <v/>
      </c>
      <c r="R12" s="360">
        <f>IF(VLOOKUP(I12,Análisis!B:AN,27,0)=0,"Sin cambios",VLOOKUP(I12,Análisis!B:AN,27,0))</f>
        <v/>
      </c>
      <c r="S12" s="358">
        <f>VLOOKUP(I12,Análisis!B:AN,17,0)</f>
        <v/>
      </c>
      <c r="T12" s="357">
        <f>VLOOKUP(I12,Análisis!B:AN,18,0)</f>
        <v/>
      </c>
      <c r="U12" s="358">
        <f>VLOOKUP(I12,Análisis!B:AN,19,0)</f>
        <v/>
      </c>
      <c r="V12" s="357">
        <f>VLOOKUP(I12,Análisis!B:AN,20,0)</f>
        <v/>
      </c>
      <c r="W12" s="361">
        <f>VLOOKUP(I12,Análisis!B:AN,21,0)</f>
        <v/>
      </c>
      <c r="X12" s="360">
        <f>VLOOKUP(I12,Análisis!B:AN,28,0)</f>
        <v/>
      </c>
      <c r="Y12" s="360">
        <f>IF(VLOOKUP(I12,Análisis!B:AN,39,0)=0,"Sin cambios",VLOOKUP(I12,Análisis!B:AN,39,0))</f>
        <v/>
      </c>
      <c r="Z12" s="358">
        <f>VLOOKUP(I12,Análisis!B:AN,29,0)</f>
        <v/>
      </c>
      <c r="AA12" s="357">
        <f>VLOOKUP(I12,Análisis!B:AN,30,0)</f>
        <v/>
      </c>
      <c r="AB12" s="358">
        <f>VLOOKUP(I12,Análisis!B:AN,31,0)</f>
        <v/>
      </c>
      <c r="AC12" s="357">
        <f>VLOOKUP(I12,Análisis!B:AN,32,0)</f>
        <v/>
      </c>
      <c r="AD12" s="361">
        <f>VLOOKUP(I12,Análisis!B:AN,33,0)</f>
        <v/>
      </c>
      <c r="AF12" s="127" t="s">
        <v>61</v>
      </c>
      <c r="AG12" s="129" t="s">
        <v>227</v>
      </c>
      <c r="AH12" s="362">
        <f>VLOOKUP(AF12,Análisis!$B:$AN,4,0)</f>
        <v/>
      </c>
      <c r="AI12" s="363">
        <f>IF(VLOOKUP(AF12,Análisis!$B:$AN,15,0)=0,"Sin cambios",VLOOKUP(AF12,Análisis!$B:$AN,15,0))</f>
        <v/>
      </c>
      <c r="AJ12" s="364">
        <f>VLOOKUP(AF12,Análisis!$B:$AN,5,0)</f>
        <v/>
      </c>
      <c r="AK12" s="363">
        <f>VLOOKUP(AF12,Análisis!$B:$AN,6,0)</f>
        <v/>
      </c>
      <c r="AL12" s="364">
        <f>VLOOKUP(AF12,Análisis!$B:$AN,7,0)</f>
        <v/>
      </c>
      <c r="AM12" s="363">
        <f>VLOOKUP(AF12,Análisis!$B:$AN,8,0)</f>
        <v/>
      </c>
      <c r="AN12" s="365">
        <f>VLOOKUP(AF12,Análisis!$B:$AN,9,0)</f>
        <v/>
      </c>
      <c r="AO12" s="362">
        <f>VLOOKUP(AF12,Análisis!$B:$AN,16,0)</f>
        <v/>
      </c>
      <c r="AP12" s="363">
        <f>IF(VLOOKUP(AF12,Análisis!$B:$AN,27,0)=0,"Sin cambios",VLOOKUP(AF12,Análisis!$B:$AN,27,0))</f>
        <v/>
      </c>
      <c r="AQ12" s="364">
        <f>VLOOKUP(AF12,Análisis!$B:$AN,17,0)</f>
        <v/>
      </c>
      <c r="AR12" s="363">
        <f>VLOOKUP(AF12,Análisis!$B:$AN,18,0)</f>
        <v/>
      </c>
      <c r="AS12" s="364">
        <f>VLOOKUP(AF12,Análisis!$B:$AN,19,0)</f>
        <v/>
      </c>
      <c r="AT12" s="363">
        <f>VLOOKUP(AF12,Análisis!$B:$AN,20,0)</f>
        <v/>
      </c>
      <c r="AU12" s="365">
        <f>VLOOKUP(AF12,Análisis!$B:$AN,21,0)</f>
        <v/>
      </c>
      <c r="AV12" s="362">
        <f>VLOOKUP(AF12,Análisis!$B:$AN,28,0)</f>
        <v/>
      </c>
      <c r="AW12" s="363">
        <f>IF(VLOOKUP(AF12,Análisis!$B:$AN,39,0)=0,"Sin cambios",VLOOKUP(AF12,Análisis!$B:$AN,39,0))</f>
        <v/>
      </c>
      <c r="AX12" s="364">
        <f>VLOOKUP(AF12,Análisis!$B:$AN,29,0)</f>
        <v/>
      </c>
      <c r="AY12" s="363">
        <f>VLOOKUP(AF12,Análisis!$B:$AN,30,0)</f>
        <v/>
      </c>
      <c r="AZ12" s="364">
        <f>VLOOKUP(AF12,Análisis!$B:$AN,31,0)</f>
        <v/>
      </c>
      <c r="BA12" s="363">
        <f>VLOOKUP(AF12,Análisis!$B:$AN,32,0)</f>
        <v/>
      </c>
      <c r="BB12" s="365">
        <f>VLOOKUP(AF12,Análisis!$B:$AN,33,0)</f>
        <v/>
      </c>
      <c r="BE12" s="152" t="s">
        <v>147</v>
      </c>
      <c r="BF12" s="294" t="s">
        <v>312</v>
      </c>
      <c r="BH12" s="353">
        <f>IFERROR(VLOOKUP(BE12,$AF:$BB,3,0),0)</f>
        <v/>
      </c>
      <c r="BI12" s="167">
        <f>IFERROR(VLOOKUP(BE12,$AF:$BB,5,0),0)</f>
        <v/>
      </c>
      <c r="BJ12" s="354">
        <f>IFERROR(VLOOKUP(BE12,$AF:$BB,6,0),0)</f>
        <v/>
      </c>
      <c r="BK12" s="153">
        <f>IFERROR(VLOOKUP(BE12,$AF:$BB,7,0),0)</f>
        <v/>
      </c>
      <c r="BL12" s="355">
        <f>IFERROR(VLOOKUP(BE12,$AF:$BB,8,0),0)</f>
        <v/>
      </c>
      <c r="BM12" s="153">
        <f>IFERROR(VLOOKUP(BE12,$AF:$BB,9,0),0)</f>
        <v/>
      </c>
      <c r="BN12" s="353">
        <f>IFERROR(VLOOKUP(BE12,$AF:$BB,10,0),0)</f>
        <v/>
      </c>
      <c r="BO12" s="167">
        <f>IFERROR(VLOOKUP(BE12,$AF:$BB,12,0),0)</f>
        <v/>
      </c>
      <c r="BP12" s="354">
        <f>IFERROR(VLOOKUP(BE12,$AF:$BB,13,0),0)</f>
        <v/>
      </c>
      <c r="BQ12" s="153">
        <f>IFERROR(VLOOKUP(BE12,$AF:$BB,14,0),0)</f>
        <v/>
      </c>
      <c r="BR12" s="355">
        <f>IFERROR(VLOOKUP(BE12,$AF:$BB,15,0),0)</f>
        <v/>
      </c>
      <c r="BS12" s="153">
        <f>IFERROR(VLOOKUP(BE12,$AF:$BB,16,0),0)</f>
        <v/>
      </c>
      <c r="BT12" s="353">
        <f>IFERROR(VLOOKUP(BE12,$AF:$BB,17,0),0)</f>
        <v/>
      </c>
      <c r="BU12" s="167">
        <f>IFERROR(VLOOKUP(BE12,$AF:$BB,19,0),0)</f>
        <v/>
      </c>
      <c r="BV12" s="354">
        <f>IFERROR(VLOOKUP(BE12,$AF:$BB,20,0),0)</f>
        <v/>
      </c>
      <c r="BW12" s="153">
        <f>IFERROR(VLOOKUP(BE12,$AF:$BB,21,0),0)</f>
        <v/>
      </c>
      <c r="BX12" s="355">
        <f>IFERROR(VLOOKUP(BE12,$AF:$BB,22,0),0)</f>
        <v/>
      </c>
      <c r="BY12" s="153">
        <f>IFERROR(VLOOKUP(BE12,$AF:$BB,23,0),0)</f>
        <v/>
      </c>
    </row>
    <row r="13" spans="1:77">
      <c r="B13" s="72" t="n">
        <v>364</v>
      </c>
      <c r="C13" s="72" t="s">
        <v>143</v>
      </c>
      <c r="D13" s="126">
        <f>IF(VLOOKUP(Resumen!C13,Análisis!B:AN,15,0)=0,"Sin cambios",VLOOKUP(Resumen!C13,Análisis!B:AN,15,0))</f>
        <v/>
      </c>
      <c r="E13" s="126">
        <f>IF(VLOOKUP(Resumen!C13,Análisis!B:AN,27,0)=0,"Sin cambios",VLOOKUP(Resumen!C13,Análisis!B:AN,27,0))</f>
        <v/>
      </c>
      <c r="F13" s="126">
        <f>IF(VLOOKUP(Resumen!C13,Análisis!B:AN,39,0)=0,"Sin cambios",VLOOKUP(Resumen!C13,Análisis!B:AN,39,0))</f>
        <v/>
      </c>
      <c r="G13" s="126">
        <f>IF(AND(D13="Sin cambios",E13="Sin cambios",F13="Sin cambios")=TRUE,"No","Sí")</f>
        <v/>
      </c>
      <c r="I13" s="76">
        <f>Base!A18</f>
        <v/>
      </c>
      <c r="J13" s="356">
        <f>VLOOKUP(I13,Análisis!B:AN,4,0)</f>
        <v/>
      </c>
      <c r="K13" s="357">
        <f>IF(VLOOKUP(I13,Análisis!B:AN,15,0)=0,"Sin cambios",VLOOKUP(I13,Análisis!B:AN,15,0))</f>
        <v/>
      </c>
      <c r="L13" s="358">
        <f>VLOOKUP(I13,Análisis!B:AN,5,0)</f>
        <v/>
      </c>
      <c r="M13" s="357">
        <f>VLOOKUP(I13,Análisis!B:AN,6,0)</f>
        <v/>
      </c>
      <c r="N13" s="358">
        <f>VLOOKUP(I13,Análisis!B:AN,7,0)</f>
        <v/>
      </c>
      <c r="O13" s="357">
        <f>VLOOKUP(I13,Análisis!B:AN,8,0)</f>
        <v/>
      </c>
      <c r="P13" s="359">
        <f>VLOOKUP(I13,Análisis!B:AN,9,0)</f>
        <v/>
      </c>
      <c r="Q13" s="356">
        <f>VLOOKUP(I13,Análisis!B:AN,16,0)</f>
        <v/>
      </c>
      <c r="R13" s="360">
        <f>IF(VLOOKUP(I13,Análisis!B:AN,27,0)=0,"Sin cambios",VLOOKUP(I13,Análisis!B:AN,27,0))</f>
        <v/>
      </c>
      <c r="S13" s="358">
        <f>VLOOKUP(I13,Análisis!B:AN,17,0)</f>
        <v/>
      </c>
      <c r="T13" s="357">
        <f>VLOOKUP(I13,Análisis!B:AN,18,0)</f>
        <v/>
      </c>
      <c r="U13" s="358">
        <f>VLOOKUP(I13,Análisis!B:AN,19,0)</f>
        <v/>
      </c>
      <c r="V13" s="357">
        <f>VLOOKUP(I13,Análisis!B:AN,20,0)</f>
        <v/>
      </c>
      <c r="W13" s="361">
        <f>VLOOKUP(I13,Análisis!B:AN,21,0)</f>
        <v/>
      </c>
      <c r="X13" s="360">
        <f>VLOOKUP(I13,Análisis!B:AN,28,0)</f>
        <v/>
      </c>
      <c r="Y13" s="360">
        <f>IF(VLOOKUP(I13,Análisis!B:AN,39,0)=0,"Sin cambios",VLOOKUP(I13,Análisis!B:AN,39,0))</f>
        <v/>
      </c>
      <c r="Z13" s="358">
        <f>VLOOKUP(I13,Análisis!B:AN,29,0)</f>
        <v/>
      </c>
      <c r="AA13" s="357">
        <f>VLOOKUP(I13,Análisis!B:AN,30,0)</f>
        <v/>
      </c>
      <c r="AB13" s="358">
        <f>VLOOKUP(I13,Análisis!B:AN,31,0)</f>
        <v/>
      </c>
      <c r="AC13" s="357">
        <f>VLOOKUP(I13,Análisis!B:AN,32,0)</f>
        <v/>
      </c>
      <c r="AD13" s="361">
        <f>VLOOKUP(I13,Análisis!B:AN,33,0)</f>
        <v/>
      </c>
      <c r="AF13" s="127" t="s">
        <v>65</v>
      </c>
      <c r="AG13" s="129" t="s">
        <v>227</v>
      </c>
      <c r="AH13" s="362">
        <f>VLOOKUP(AF13,Análisis!$B:$AN,4,0)</f>
        <v/>
      </c>
      <c r="AI13" s="363">
        <f>IF(VLOOKUP(AF13,Análisis!$B:$AN,15,0)=0,"Sin cambios",VLOOKUP(AF13,Análisis!$B:$AN,15,0))</f>
        <v/>
      </c>
      <c r="AJ13" s="364">
        <f>VLOOKUP(AF13,Análisis!$B:$AN,5,0)</f>
        <v/>
      </c>
      <c r="AK13" s="363">
        <f>VLOOKUP(AF13,Análisis!$B:$AN,6,0)</f>
        <v/>
      </c>
      <c r="AL13" s="364">
        <f>VLOOKUP(AF13,Análisis!$B:$AN,7,0)</f>
        <v/>
      </c>
      <c r="AM13" s="363">
        <f>VLOOKUP(AF13,Análisis!$B:$AN,8,0)</f>
        <v/>
      </c>
      <c r="AN13" s="365">
        <f>VLOOKUP(AF13,Análisis!$B:$AN,9,0)</f>
        <v/>
      </c>
      <c r="AO13" s="362">
        <f>VLOOKUP(AF13,Análisis!$B:$AN,16,0)</f>
        <v/>
      </c>
      <c r="AP13" s="363">
        <f>IF(VLOOKUP(AF13,Análisis!$B:$AN,27,0)=0,"Sin cambios",VLOOKUP(AF13,Análisis!$B:$AN,27,0))</f>
        <v/>
      </c>
      <c r="AQ13" s="364">
        <f>VLOOKUP(AF13,Análisis!$B:$AN,17,0)</f>
        <v/>
      </c>
      <c r="AR13" s="363">
        <f>VLOOKUP(AF13,Análisis!$B:$AN,18,0)</f>
        <v/>
      </c>
      <c r="AS13" s="364">
        <f>VLOOKUP(AF13,Análisis!$B:$AN,19,0)</f>
        <v/>
      </c>
      <c r="AT13" s="363">
        <f>VLOOKUP(AF13,Análisis!$B:$AN,20,0)</f>
        <v/>
      </c>
      <c r="AU13" s="365">
        <f>VLOOKUP(AF13,Análisis!$B:$AN,21,0)</f>
        <v/>
      </c>
      <c r="AV13" s="362">
        <f>VLOOKUP(AF13,Análisis!$B:$AN,28,0)</f>
        <v/>
      </c>
      <c r="AW13" s="363">
        <f>IF(VLOOKUP(AF13,Análisis!$B:$AN,39,0)=0,"Sin cambios",VLOOKUP(AF13,Análisis!$B:$AN,39,0))</f>
        <v/>
      </c>
      <c r="AX13" s="364">
        <f>VLOOKUP(AF13,Análisis!$B:$AN,29,0)</f>
        <v/>
      </c>
      <c r="AY13" s="363">
        <f>VLOOKUP(AF13,Análisis!$B:$AN,30,0)</f>
        <v/>
      </c>
      <c r="AZ13" s="364">
        <f>VLOOKUP(AF13,Análisis!$B:$AN,31,0)</f>
        <v/>
      </c>
      <c r="BA13" s="363">
        <f>VLOOKUP(AF13,Análisis!$B:$AN,32,0)</f>
        <v/>
      </c>
      <c r="BB13" s="365">
        <f>VLOOKUP(AF13,Análisis!$B:$AN,33,0)</f>
        <v/>
      </c>
      <c r="BE13" s="152" t="s">
        <v>135</v>
      </c>
      <c r="BF13" s="294" t="s">
        <v>313</v>
      </c>
      <c r="BH13" s="353">
        <f>IFERROR(VLOOKUP(BE13,$AF:$BB,3,0),0)</f>
        <v/>
      </c>
      <c r="BI13" s="167">
        <f>IFERROR(VLOOKUP(BE13,$AF:$BB,5,0),0)</f>
        <v/>
      </c>
      <c r="BJ13" s="354">
        <f>IFERROR(VLOOKUP(BE13,$AF:$BB,6,0),0)</f>
        <v/>
      </c>
      <c r="BK13" s="153">
        <f>IFERROR(VLOOKUP(BE13,$AF:$BB,7,0),0)</f>
        <v/>
      </c>
      <c r="BL13" s="355">
        <f>IFERROR(VLOOKUP(BE13,$AF:$BB,8,0),0)</f>
        <v/>
      </c>
      <c r="BM13" s="153">
        <f>IFERROR(VLOOKUP(BE13,$AF:$BB,9,0),0)</f>
        <v/>
      </c>
      <c r="BN13" s="353">
        <f>IFERROR(VLOOKUP(BE13,$AF:$BB,10,0),0)</f>
        <v/>
      </c>
      <c r="BO13" s="167">
        <f>IFERROR(VLOOKUP(BE13,$AF:$BB,12,0),0)</f>
        <v/>
      </c>
      <c r="BP13" s="354">
        <f>IFERROR(VLOOKUP(BE13,$AF:$BB,13,0),0)</f>
        <v/>
      </c>
      <c r="BQ13" s="153">
        <f>IFERROR(VLOOKUP(BE13,$AF:$BB,14,0),0)</f>
        <v/>
      </c>
      <c r="BR13" s="355">
        <f>IFERROR(VLOOKUP(BE13,$AF:$BB,15,0),0)</f>
        <v/>
      </c>
      <c r="BS13" s="153">
        <f>IFERROR(VLOOKUP(BE13,$AF:$BB,16,0),0)</f>
        <v/>
      </c>
      <c r="BT13" s="353">
        <f>IFERROR(VLOOKUP(BE13,$AF:$BB,17,0),0)</f>
        <v/>
      </c>
      <c r="BU13" s="167">
        <f>IFERROR(VLOOKUP(BE13,$AF:$BB,19,0),0)</f>
        <v/>
      </c>
      <c r="BV13" s="354">
        <f>IFERROR(VLOOKUP(BE13,$AF:$BB,20,0),0)</f>
        <v/>
      </c>
      <c r="BW13" s="153">
        <f>IFERROR(VLOOKUP(BE13,$AF:$BB,21,0),0)</f>
        <v/>
      </c>
      <c r="BX13" s="355">
        <f>IFERROR(VLOOKUP(BE13,$AF:$BB,22,0),0)</f>
        <v/>
      </c>
      <c r="BY13" s="153">
        <f>IFERROR(VLOOKUP(BE13,$AF:$BB,23,0),0)</f>
        <v/>
      </c>
    </row>
    <row customHeight="1" ht="15.75" r="14" s="183" spans="1:77" thickBot="1">
      <c r="B14" s="72" t="n">
        <v>362</v>
      </c>
      <c r="C14" s="72" t="s">
        <v>141</v>
      </c>
      <c r="D14" s="126">
        <f>IF(VLOOKUP(Resumen!C14,Análisis!B:AN,15,0)=0,"Sin cambios",VLOOKUP(Resumen!C14,Análisis!B:AN,15,0))</f>
        <v/>
      </c>
      <c r="E14" s="126">
        <f>IF(VLOOKUP(Resumen!C14,Análisis!B:AN,27,0)=0,"Sin cambios",VLOOKUP(Resumen!C14,Análisis!B:AN,27,0))</f>
        <v/>
      </c>
      <c r="F14" s="126">
        <f>IF(VLOOKUP(Resumen!C14,Análisis!B:AN,39,0)=0,"Sin cambios",VLOOKUP(Resumen!C14,Análisis!B:AN,39,0))</f>
        <v/>
      </c>
      <c r="G14" s="126">
        <f>IF(AND(D14="Sin cambios",E14="Sin cambios",F14="Sin cambios")=TRUE,"No","Sí")</f>
        <v/>
      </c>
      <c r="I14" s="77">
        <f>Base!A19</f>
        <v/>
      </c>
      <c r="J14" s="366">
        <f>VLOOKUP(I14,Análisis!B:AN,4,0)</f>
        <v/>
      </c>
      <c r="K14" s="367">
        <f>IF(VLOOKUP(I14,Análisis!B:AN,15,0)=0,"Sin cambios",VLOOKUP(I14,Análisis!B:AN,15,0))</f>
        <v/>
      </c>
      <c r="L14" s="368">
        <f>VLOOKUP(I14,Análisis!B:AN,5,0)</f>
        <v/>
      </c>
      <c r="M14" s="367">
        <f>VLOOKUP(I14,Análisis!B:AN,6,0)</f>
        <v/>
      </c>
      <c r="N14" s="368">
        <f>VLOOKUP(I14,Análisis!B:AN,7,0)</f>
        <v/>
      </c>
      <c r="O14" s="367">
        <f>VLOOKUP(I14,Análisis!B:AN,8,0)</f>
        <v/>
      </c>
      <c r="P14" s="369">
        <f>VLOOKUP(I14,Análisis!B:AN,9,0)</f>
        <v/>
      </c>
      <c r="Q14" s="366">
        <f>VLOOKUP(I14,Análisis!B:AN,16,0)</f>
        <v/>
      </c>
      <c r="R14" s="370">
        <f>IF(VLOOKUP(I14,Análisis!B:AN,27,0)=0,"Sin cambios",VLOOKUP(I14,Análisis!B:AN,27,0))</f>
        <v/>
      </c>
      <c r="S14" s="368">
        <f>VLOOKUP(I14,Análisis!B:AN,17,0)</f>
        <v/>
      </c>
      <c r="T14" s="367">
        <f>VLOOKUP(I14,Análisis!B:AN,18,0)</f>
        <v/>
      </c>
      <c r="U14" s="368">
        <f>VLOOKUP(I14,Análisis!B:AN,19,0)</f>
        <v/>
      </c>
      <c r="V14" s="367">
        <f>VLOOKUP(I14,Análisis!B:AN,20,0)</f>
        <v/>
      </c>
      <c r="W14" s="371">
        <f>VLOOKUP(I14,Análisis!B:AN,21,0)</f>
        <v/>
      </c>
      <c r="X14" s="370">
        <f>VLOOKUP(I14,Análisis!B:AN,28,0)</f>
        <v/>
      </c>
      <c r="Y14" s="370">
        <f>IF(VLOOKUP(I14,Análisis!B:AN,39,0)=0,"Sin cambios",VLOOKUP(I14,Análisis!B:AN,39,0))</f>
        <v/>
      </c>
      <c r="Z14" s="368">
        <f>VLOOKUP(I14,Análisis!B:AN,29,0)</f>
        <v/>
      </c>
      <c r="AA14" s="367">
        <f>VLOOKUP(I14,Análisis!B:AN,30,0)</f>
        <v/>
      </c>
      <c r="AB14" s="368">
        <f>VLOOKUP(I14,Análisis!B:AN,31,0)</f>
        <v/>
      </c>
      <c r="AC14" s="367">
        <f>VLOOKUP(I14,Análisis!B:AN,32,0)</f>
        <v/>
      </c>
      <c r="AD14" s="371">
        <f>VLOOKUP(I14,Análisis!B:AN,33,0)</f>
        <v/>
      </c>
      <c r="AF14" s="127" t="s">
        <v>66</v>
      </c>
      <c r="AG14" s="129" t="s">
        <v>227</v>
      </c>
      <c r="AH14" s="362">
        <f>VLOOKUP(AF14,Análisis!$B:$AN,4,0)</f>
        <v/>
      </c>
      <c r="AI14" s="363">
        <f>IF(VLOOKUP(AF14,Análisis!$B:$AN,15,0)=0,"Sin cambios",VLOOKUP(AF14,Análisis!$B:$AN,15,0))</f>
        <v/>
      </c>
      <c r="AJ14" s="364">
        <f>VLOOKUP(AF14,Análisis!$B:$AN,5,0)</f>
        <v/>
      </c>
      <c r="AK14" s="363">
        <f>VLOOKUP(AF14,Análisis!$B:$AN,6,0)</f>
        <v/>
      </c>
      <c r="AL14" s="364">
        <f>VLOOKUP(AF14,Análisis!$B:$AN,7,0)</f>
        <v/>
      </c>
      <c r="AM14" s="363">
        <f>VLOOKUP(AF14,Análisis!$B:$AN,8,0)</f>
        <v/>
      </c>
      <c r="AN14" s="365">
        <f>VLOOKUP(AF14,Análisis!$B:$AN,9,0)</f>
        <v/>
      </c>
      <c r="AO14" s="362">
        <f>VLOOKUP(AF14,Análisis!$B:$AN,16,0)</f>
        <v/>
      </c>
      <c r="AP14" s="363">
        <f>IF(VLOOKUP(AF14,Análisis!$B:$AN,27,0)=0,"Sin cambios",VLOOKUP(AF14,Análisis!$B:$AN,27,0))</f>
        <v/>
      </c>
      <c r="AQ14" s="364">
        <f>VLOOKUP(AF14,Análisis!$B:$AN,17,0)</f>
        <v/>
      </c>
      <c r="AR14" s="363">
        <f>VLOOKUP(AF14,Análisis!$B:$AN,18,0)</f>
        <v/>
      </c>
      <c r="AS14" s="364">
        <f>VLOOKUP(AF14,Análisis!$B:$AN,19,0)</f>
        <v/>
      </c>
      <c r="AT14" s="363">
        <f>VLOOKUP(AF14,Análisis!$B:$AN,20,0)</f>
        <v/>
      </c>
      <c r="AU14" s="365">
        <f>VLOOKUP(AF14,Análisis!$B:$AN,21,0)</f>
        <v/>
      </c>
      <c r="AV14" s="362">
        <f>VLOOKUP(AF14,Análisis!$B:$AN,28,0)</f>
        <v/>
      </c>
      <c r="AW14" s="363">
        <f>IF(VLOOKUP(AF14,Análisis!$B:$AN,39,0)=0,"Sin cambios",VLOOKUP(AF14,Análisis!$B:$AN,39,0))</f>
        <v/>
      </c>
      <c r="AX14" s="364">
        <f>VLOOKUP(AF14,Análisis!$B:$AN,29,0)</f>
        <v/>
      </c>
      <c r="AY14" s="363">
        <f>VLOOKUP(AF14,Análisis!$B:$AN,30,0)</f>
        <v/>
      </c>
      <c r="AZ14" s="364">
        <f>VLOOKUP(AF14,Análisis!$B:$AN,31,0)</f>
        <v/>
      </c>
      <c r="BA14" s="363">
        <f>VLOOKUP(AF14,Análisis!$B:$AN,32,0)</f>
        <v/>
      </c>
      <c r="BB14" s="365">
        <f>VLOOKUP(AF14,Análisis!$B:$AN,33,0)</f>
        <v/>
      </c>
      <c r="BE14" s="152" t="s">
        <v>141</v>
      </c>
      <c r="BF14" s="294" t="s">
        <v>314</v>
      </c>
      <c r="BH14" s="353">
        <f>IFERROR(VLOOKUP(BE14,$AF:$BB,3,0),0)</f>
        <v/>
      </c>
      <c r="BI14" s="167">
        <f>IFERROR(VLOOKUP(BE14,$AF:$BB,5,0),0)</f>
        <v/>
      </c>
      <c r="BJ14" s="354">
        <f>IFERROR(VLOOKUP(BE14,$AF:$BB,6,0),0)</f>
        <v/>
      </c>
      <c r="BK14" s="153">
        <f>IFERROR(VLOOKUP(BE14,$AF:$BB,7,0),0)</f>
        <v/>
      </c>
      <c r="BL14" s="355">
        <f>IFERROR(VLOOKUP(BE14,$AF:$BB,8,0),0)</f>
        <v/>
      </c>
      <c r="BM14" s="153">
        <f>IFERROR(VLOOKUP(BE14,$AF:$BB,9,0),0)</f>
        <v/>
      </c>
      <c r="BN14" s="353">
        <f>IFERROR(VLOOKUP(BE14,$AF:$BB,10,0),0)</f>
        <v/>
      </c>
      <c r="BO14" s="167">
        <f>IFERROR(VLOOKUP(BE14,$AF:$BB,12,0),0)</f>
        <v/>
      </c>
      <c r="BP14" s="354">
        <f>IFERROR(VLOOKUP(BE14,$AF:$BB,13,0),0)</f>
        <v/>
      </c>
      <c r="BQ14" s="153">
        <f>IFERROR(VLOOKUP(BE14,$AF:$BB,14,0),0)</f>
        <v/>
      </c>
      <c r="BR14" s="355">
        <f>IFERROR(VLOOKUP(BE14,$AF:$BB,15,0),0)</f>
        <v/>
      </c>
      <c r="BS14" s="153">
        <f>IFERROR(VLOOKUP(BE14,$AF:$BB,16,0),0)</f>
        <v/>
      </c>
      <c r="BT14" s="353">
        <f>IFERROR(VLOOKUP(BE14,$AF:$BB,17,0),0)</f>
        <v/>
      </c>
      <c r="BU14" s="167">
        <f>IFERROR(VLOOKUP(BE14,$AF:$BB,19,0),0)</f>
        <v/>
      </c>
      <c r="BV14" s="354">
        <f>IFERROR(VLOOKUP(BE14,$AF:$BB,20,0),0)</f>
        <v/>
      </c>
      <c r="BW14" s="153">
        <f>IFERROR(VLOOKUP(BE14,$AF:$BB,21,0),0)</f>
        <v/>
      </c>
      <c r="BX14" s="355">
        <f>IFERROR(VLOOKUP(BE14,$AF:$BB,22,0),0)</f>
        <v/>
      </c>
      <c r="BY14" s="153">
        <f>IFERROR(VLOOKUP(BE14,$AF:$BB,23,0),0)</f>
        <v/>
      </c>
    </row>
    <row customHeight="1" ht="15.75" r="15" s="183" spans="1:77" thickBot="1">
      <c r="B15" s="72" t="n">
        <v>358</v>
      </c>
      <c r="C15" s="72" t="s">
        <v>137</v>
      </c>
      <c r="D15" s="126">
        <f>IF(VLOOKUP(Resumen!C15,Análisis!B:AN,15,0)=0,"Sin cambios",VLOOKUP(Resumen!C15,Análisis!B:AN,15,0))</f>
        <v/>
      </c>
      <c r="E15" s="126">
        <f>IF(VLOOKUP(Resumen!C15,Análisis!B:AN,27,0)=0,"Sin cambios",VLOOKUP(Resumen!C15,Análisis!B:AN,27,0))</f>
        <v/>
      </c>
      <c r="F15" s="126">
        <f>IF(VLOOKUP(Resumen!C15,Análisis!B:AN,39,0)=0,"Sin cambios",VLOOKUP(Resumen!C15,Análisis!B:AN,39,0))</f>
        <v/>
      </c>
      <c r="G15" s="126">
        <f>IF(AND(D15="Sin cambios",E15="Sin cambios",F15="Sin cambios")=TRUE,"No","Sí")</f>
        <v/>
      </c>
      <c r="J15" s="372" t="s">
        <v>315</v>
      </c>
      <c r="K15" s="373" t="n"/>
      <c r="L15" s="374" t="n"/>
      <c r="M15" s="373" t="n"/>
      <c r="N15" s="374" t="n"/>
      <c r="O15" s="373" t="n"/>
      <c r="P15" s="374" t="n"/>
      <c r="Q15" s="373" t="n"/>
      <c r="R15" s="373" t="n"/>
      <c r="S15" s="374" t="n"/>
      <c r="T15" s="373" t="n"/>
      <c r="U15" s="374" t="n"/>
      <c r="V15" s="373" t="n"/>
      <c r="W15" s="374" t="n"/>
      <c r="X15" s="373" t="n"/>
      <c r="Y15" s="373" t="n"/>
      <c r="Z15" s="374" t="n"/>
      <c r="AA15" s="373" t="n"/>
      <c r="AB15" s="374" t="n"/>
      <c r="AC15" s="373" t="n"/>
      <c r="AD15" s="374" t="n"/>
      <c r="AF15" s="127" t="s">
        <v>70</v>
      </c>
      <c r="AG15" s="129" t="s">
        <v>227</v>
      </c>
      <c r="AH15" s="362">
        <f>VLOOKUP(AF15,Análisis!$B:$AN,4,0)</f>
        <v/>
      </c>
      <c r="AI15" s="363">
        <f>IF(VLOOKUP(AF15,Análisis!$B:$AN,15,0)=0,"Sin cambios",VLOOKUP(AF15,Análisis!$B:$AN,15,0))</f>
        <v/>
      </c>
      <c r="AJ15" s="364">
        <f>VLOOKUP(AF15,Análisis!$B:$AN,5,0)</f>
        <v/>
      </c>
      <c r="AK15" s="363">
        <f>VLOOKUP(AF15,Análisis!$B:$AN,6,0)</f>
        <v/>
      </c>
      <c r="AL15" s="364">
        <f>VLOOKUP(AF15,Análisis!$B:$AN,7,0)</f>
        <v/>
      </c>
      <c r="AM15" s="363">
        <f>VLOOKUP(AF15,Análisis!$B:$AN,8,0)</f>
        <v/>
      </c>
      <c r="AN15" s="365">
        <f>VLOOKUP(AF15,Análisis!$B:$AN,9,0)</f>
        <v/>
      </c>
      <c r="AO15" s="362">
        <f>VLOOKUP(AF15,Análisis!$B:$AN,16,0)</f>
        <v/>
      </c>
      <c r="AP15" s="363">
        <f>IF(VLOOKUP(AF15,Análisis!$B:$AN,27,0)=0,"Sin cambios",VLOOKUP(AF15,Análisis!$B:$AN,27,0))</f>
        <v/>
      </c>
      <c r="AQ15" s="364">
        <f>VLOOKUP(AF15,Análisis!$B:$AN,17,0)</f>
        <v/>
      </c>
      <c r="AR15" s="363">
        <f>VLOOKUP(AF15,Análisis!$B:$AN,18,0)</f>
        <v/>
      </c>
      <c r="AS15" s="364">
        <f>VLOOKUP(AF15,Análisis!$B:$AN,19,0)</f>
        <v/>
      </c>
      <c r="AT15" s="363">
        <f>VLOOKUP(AF15,Análisis!$B:$AN,20,0)</f>
        <v/>
      </c>
      <c r="AU15" s="365">
        <f>VLOOKUP(AF15,Análisis!$B:$AN,21,0)</f>
        <v/>
      </c>
      <c r="AV15" s="362">
        <f>VLOOKUP(AF15,Análisis!$B:$AN,28,0)</f>
        <v/>
      </c>
      <c r="AW15" s="363">
        <f>IF(VLOOKUP(AF15,Análisis!$B:$AN,39,0)=0,"Sin cambios",VLOOKUP(AF15,Análisis!$B:$AN,39,0))</f>
        <v/>
      </c>
      <c r="AX15" s="364">
        <f>VLOOKUP(AF15,Análisis!$B:$AN,29,0)</f>
        <v/>
      </c>
      <c r="AY15" s="363">
        <f>VLOOKUP(AF15,Análisis!$B:$AN,30,0)</f>
        <v/>
      </c>
      <c r="AZ15" s="364">
        <f>VLOOKUP(AF15,Análisis!$B:$AN,31,0)</f>
        <v/>
      </c>
      <c r="BA15" s="363">
        <f>VLOOKUP(AF15,Análisis!$B:$AN,32,0)</f>
        <v/>
      </c>
      <c r="BB15" s="365">
        <f>VLOOKUP(AF15,Análisis!$B:$AN,33,0)</f>
        <v/>
      </c>
      <c r="BE15" s="152" t="s">
        <v>234</v>
      </c>
      <c r="BF15" s="294" t="s">
        <v>316</v>
      </c>
      <c r="BH15" s="353">
        <f>IFERROR(VLOOKUP(BE15,$AF:$BB,3,0),0)</f>
        <v/>
      </c>
      <c r="BI15" s="167">
        <f>IFERROR(VLOOKUP(BE15,$AF:$BB,5,0),0)</f>
        <v/>
      </c>
      <c r="BJ15" s="354">
        <f>IFERROR(VLOOKUP(BE15,$AF:$BB,6,0),0)</f>
        <v/>
      </c>
      <c r="BK15" s="153">
        <f>IFERROR(VLOOKUP(BE15,$AF:$BB,7,0),0)</f>
        <v/>
      </c>
      <c r="BL15" s="355">
        <f>IFERROR(VLOOKUP(BE15,$AF:$BB,8,0),0)</f>
        <v/>
      </c>
      <c r="BM15" s="153">
        <f>IFERROR(VLOOKUP(BE15,$AF:$BB,9,0),0)</f>
        <v/>
      </c>
      <c r="BN15" s="353">
        <f>IFERROR(VLOOKUP(BE15,$AF:$BB,10,0),0)</f>
        <v/>
      </c>
      <c r="BO15" s="167">
        <f>IFERROR(VLOOKUP(BE15,$AF:$BB,12,0),0)</f>
        <v/>
      </c>
      <c r="BP15" s="354">
        <f>IFERROR(VLOOKUP(BE15,$AF:$BB,13,0),0)</f>
        <v/>
      </c>
      <c r="BQ15" s="153">
        <f>IFERROR(VLOOKUP(BE15,$AF:$BB,14,0),0)</f>
        <v/>
      </c>
      <c r="BR15" s="355">
        <f>IFERROR(VLOOKUP(BE15,$AF:$BB,15,0),0)</f>
        <v/>
      </c>
      <c r="BS15" s="153">
        <f>IFERROR(VLOOKUP(BE15,$AF:$BB,16,0),0)</f>
        <v/>
      </c>
      <c r="BT15" s="353">
        <f>IFERROR(VLOOKUP(BE15,$AF:$BB,17,0),0)</f>
        <v/>
      </c>
      <c r="BU15" s="167">
        <f>IFERROR(VLOOKUP(BE15,$AF:$BB,19,0),0)</f>
        <v/>
      </c>
      <c r="BV15" s="354">
        <f>IFERROR(VLOOKUP(BE15,$AF:$BB,20,0),0)</f>
        <v/>
      </c>
      <c r="BW15" s="153">
        <f>IFERROR(VLOOKUP(BE15,$AF:$BB,21,0),0)</f>
        <v/>
      </c>
      <c r="BX15" s="355">
        <f>IFERROR(VLOOKUP(BE15,$AF:$BB,22,0),0)</f>
        <v/>
      </c>
      <c r="BY15" s="153">
        <f>IFERROR(VLOOKUP(BE15,$AF:$BB,23,0),0)</f>
        <v/>
      </c>
    </row>
    <row customHeight="1" ht="15.75" r="16" s="183" spans="1:77" thickBot="1">
      <c r="B16" s="72" t="n">
        <v>321</v>
      </c>
      <c r="C16" s="72" t="s">
        <v>109</v>
      </c>
      <c r="D16" s="126">
        <f>IF(VLOOKUP(Resumen!C16,Análisis!B:AN,15,0)=0,"Sin cambios",VLOOKUP(Resumen!C16,Análisis!B:AN,15,0))</f>
        <v/>
      </c>
      <c r="E16" s="126">
        <f>IF(VLOOKUP(Resumen!C16,Análisis!B:AN,27,0)=0,"Sin cambios",VLOOKUP(Resumen!C16,Análisis!B:AN,27,0))</f>
        <v/>
      </c>
      <c r="F16" s="126">
        <f>IF(VLOOKUP(Resumen!C16,Análisis!B:AN,39,0)=0,"Sin cambios",VLOOKUP(Resumen!C16,Análisis!B:AN,39,0))</f>
        <v/>
      </c>
      <c r="G16" s="126">
        <f>IF(AND(D16="Sin cambios",E16="Sin cambios",F16="Sin cambios")=TRUE,"No","Sí")</f>
        <v/>
      </c>
      <c r="J16" s="276">
        <f>J2</f>
        <v/>
      </c>
      <c r="Q16" s="276">
        <f>Q2</f>
        <v/>
      </c>
      <c r="X16" s="277">
        <f>X2</f>
        <v/>
      </c>
      <c r="AF16" s="127" t="s">
        <v>72</v>
      </c>
      <c r="AG16" s="129" t="s">
        <v>227</v>
      </c>
      <c r="AH16" s="362">
        <f>VLOOKUP(AF16,Análisis!$B:$AN,4,0)</f>
        <v/>
      </c>
      <c r="AI16" s="363">
        <f>IF(VLOOKUP(AF16,Análisis!$B:$AN,15,0)=0,"Sin cambios",VLOOKUP(AF16,Análisis!$B:$AN,15,0))</f>
        <v/>
      </c>
      <c r="AJ16" s="364">
        <f>VLOOKUP(AF16,Análisis!$B:$AN,5,0)</f>
        <v/>
      </c>
      <c r="AK16" s="363">
        <f>VLOOKUP(AF16,Análisis!$B:$AN,6,0)</f>
        <v/>
      </c>
      <c r="AL16" s="364">
        <f>VLOOKUP(AF16,Análisis!$B:$AN,7,0)</f>
        <v/>
      </c>
      <c r="AM16" s="363">
        <f>VLOOKUP(AF16,Análisis!$B:$AN,8,0)</f>
        <v/>
      </c>
      <c r="AN16" s="365">
        <f>VLOOKUP(AF16,Análisis!$B:$AN,9,0)</f>
        <v/>
      </c>
      <c r="AO16" s="362">
        <f>VLOOKUP(AF16,Análisis!$B:$AN,16,0)</f>
        <v/>
      </c>
      <c r="AP16" s="363">
        <f>IF(VLOOKUP(AF16,Análisis!$B:$AN,27,0)=0,"Sin cambios",VLOOKUP(AF16,Análisis!$B:$AN,27,0))</f>
        <v/>
      </c>
      <c r="AQ16" s="364">
        <f>VLOOKUP(AF16,Análisis!$B:$AN,17,0)</f>
        <v/>
      </c>
      <c r="AR16" s="363">
        <f>VLOOKUP(AF16,Análisis!$B:$AN,18,0)</f>
        <v/>
      </c>
      <c r="AS16" s="364">
        <f>VLOOKUP(AF16,Análisis!$B:$AN,19,0)</f>
        <v/>
      </c>
      <c r="AT16" s="363">
        <f>VLOOKUP(AF16,Análisis!$B:$AN,20,0)</f>
        <v/>
      </c>
      <c r="AU16" s="365">
        <f>VLOOKUP(AF16,Análisis!$B:$AN,21,0)</f>
        <v/>
      </c>
      <c r="AV16" s="362">
        <f>VLOOKUP(AF16,Análisis!$B:$AN,28,0)</f>
        <v/>
      </c>
      <c r="AW16" s="363">
        <f>IF(VLOOKUP(AF16,Análisis!$B:$AN,39,0)=0,"Sin cambios",VLOOKUP(AF16,Análisis!$B:$AN,39,0))</f>
        <v/>
      </c>
      <c r="AX16" s="364">
        <f>VLOOKUP(AF16,Análisis!$B:$AN,29,0)</f>
        <v/>
      </c>
      <c r="AY16" s="363">
        <f>VLOOKUP(AF16,Análisis!$B:$AN,30,0)</f>
        <v/>
      </c>
      <c r="AZ16" s="364">
        <f>VLOOKUP(AF16,Análisis!$B:$AN,31,0)</f>
        <v/>
      </c>
      <c r="BA16" s="363">
        <f>VLOOKUP(AF16,Análisis!$B:$AN,32,0)</f>
        <v/>
      </c>
      <c r="BB16" s="365">
        <f>VLOOKUP(AF16,Análisis!$B:$AN,33,0)</f>
        <v/>
      </c>
      <c r="BE16" s="152" t="s">
        <v>109</v>
      </c>
      <c r="BF16" s="294" t="s">
        <v>317</v>
      </c>
      <c r="BH16" s="353">
        <f>IFERROR(VLOOKUP(BE16,$AF:$BB,3,0),0)</f>
        <v/>
      </c>
      <c r="BI16" s="167">
        <f>IFERROR(VLOOKUP(BE16,$AF:$BB,5,0),0)</f>
        <v/>
      </c>
      <c r="BJ16" s="354">
        <f>IFERROR(VLOOKUP(BE16,$AF:$BB,6,0),0)</f>
        <v/>
      </c>
      <c r="BK16" s="153">
        <f>IFERROR(VLOOKUP(BE16,$AF:$BB,7,0),0)</f>
        <v/>
      </c>
      <c r="BL16" s="355">
        <f>IFERROR(VLOOKUP(BE16,$AF:$BB,8,0),0)</f>
        <v/>
      </c>
      <c r="BM16" s="153">
        <f>IFERROR(VLOOKUP(BE16,$AF:$BB,9,0),0)</f>
        <v/>
      </c>
      <c r="BN16" s="353">
        <f>IFERROR(VLOOKUP(BE16,$AF:$BB,10,0),0)</f>
        <v/>
      </c>
      <c r="BO16" s="167">
        <f>IFERROR(VLOOKUP(BE16,$AF:$BB,12,0),0)</f>
        <v/>
      </c>
      <c r="BP16" s="354">
        <f>IFERROR(VLOOKUP(BE16,$AF:$BB,13,0),0)</f>
        <v/>
      </c>
      <c r="BQ16" s="153">
        <f>IFERROR(VLOOKUP(BE16,$AF:$BB,14,0),0)</f>
        <v/>
      </c>
      <c r="BR16" s="355">
        <f>IFERROR(VLOOKUP(BE16,$AF:$BB,15,0),0)</f>
        <v/>
      </c>
      <c r="BS16" s="153">
        <f>IFERROR(VLOOKUP(BE16,$AF:$BB,16,0),0)</f>
        <v/>
      </c>
      <c r="BT16" s="353">
        <f>IFERROR(VLOOKUP(BE16,$AF:$BB,17,0),0)</f>
        <v/>
      </c>
      <c r="BU16" s="167">
        <f>IFERROR(VLOOKUP(BE16,$AF:$BB,19,0),0)</f>
        <v/>
      </c>
      <c r="BV16" s="354">
        <f>IFERROR(VLOOKUP(BE16,$AF:$BB,20,0),0)</f>
        <v/>
      </c>
      <c r="BW16" s="153">
        <f>IFERROR(VLOOKUP(BE16,$AF:$BB,21,0),0)</f>
        <v/>
      </c>
      <c r="BX16" s="355">
        <f>IFERROR(VLOOKUP(BE16,$AF:$BB,22,0),0)</f>
        <v/>
      </c>
      <c r="BY16" s="153">
        <f>IFERROR(VLOOKUP(BE16,$AF:$BB,23,0),0)</f>
        <v/>
      </c>
    </row>
    <row customHeight="1" ht="15.75" r="17" s="183" spans="1:77" thickBot="1">
      <c r="B17" s="72" t="n">
        <v>359</v>
      </c>
      <c r="C17" s="72" t="s">
        <v>139</v>
      </c>
      <c r="D17" s="126">
        <f>IF(VLOOKUP(Resumen!C17,Análisis!B:AN,15,0)=0,"Sin cambios",VLOOKUP(Resumen!C17,Análisis!B:AN,15,0))</f>
        <v/>
      </c>
      <c r="E17" s="126">
        <f>IF(VLOOKUP(Resumen!C17,Análisis!B:AN,27,0)=0,"Sin cambios",VLOOKUP(Resumen!C17,Análisis!B:AN,27,0))</f>
        <v/>
      </c>
      <c r="F17" s="126">
        <f>IF(VLOOKUP(Resumen!C17,Análisis!B:AN,39,0)=0,"Sin cambios",VLOOKUP(Resumen!C17,Análisis!B:AN,39,0))</f>
        <v/>
      </c>
      <c r="G17" s="126">
        <f>IF(AND(D17="Sin cambios",E17="Sin cambios",F17="Sin cambios")=TRUE,"No","Sí")</f>
        <v/>
      </c>
      <c r="J17" s="274" t="s">
        <v>280</v>
      </c>
      <c r="M17" s="271" t="s">
        <v>281</v>
      </c>
      <c r="O17" s="272" t="s">
        <v>282</v>
      </c>
      <c r="Q17" s="274" t="s">
        <v>280</v>
      </c>
      <c r="T17" s="271" t="s">
        <v>281</v>
      </c>
      <c r="V17" s="272" t="s">
        <v>282</v>
      </c>
      <c r="X17" s="269" t="s">
        <v>280</v>
      </c>
      <c r="AA17" s="271" t="s">
        <v>281</v>
      </c>
      <c r="AC17" s="272" t="s">
        <v>282</v>
      </c>
      <c r="AF17" s="127" t="s">
        <v>74</v>
      </c>
      <c r="AG17" s="129" t="s">
        <v>219</v>
      </c>
      <c r="AH17" s="362">
        <f>VLOOKUP(AF17,Análisis!$B:$AN,4,0)</f>
        <v/>
      </c>
      <c r="AI17" s="363">
        <f>IF(VLOOKUP(AF17,Análisis!$B:$AN,15,0)=0,"Sin cambios",VLOOKUP(AF17,Análisis!$B:$AN,15,0))</f>
        <v/>
      </c>
      <c r="AJ17" s="364">
        <f>VLOOKUP(AF17,Análisis!$B:$AN,5,0)</f>
        <v/>
      </c>
      <c r="AK17" s="363">
        <f>VLOOKUP(AF17,Análisis!$B:$AN,6,0)</f>
        <v/>
      </c>
      <c r="AL17" s="364">
        <f>VLOOKUP(AF17,Análisis!$B:$AN,7,0)</f>
        <v/>
      </c>
      <c r="AM17" s="363">
        <f>VLOOKUP(AF17,Análisis!$B:$AN,8,0)</f>
        <v/>
      </c>
      <c r="AN17" s="365">
        <f>VLOOKUP(AF17,Análisis!$B:$AN,9,0)</f>
        <v/>
      </c>
      <c r="AO17" s="362">
        <f>VLOOKUP(AF17,Análisis!$B:$AN,16,0)</f>
        <v/>
      </c>
      <c r="AP17" s="363">
        <f>IF(VLOOKUP(AF17,Análisis!$B:$AN,27,0)=0,"Sin cambios",VLOOKUP(AF17,Análisis!$B:$AN,27,0))</f>
        <v/>
      </c>
      <c r="AQ17" s="364">
        <f>VLOOKUP(AF17,Análisis!$B:$AN,17,0)</f>
        <v/>
      </c>
      <c r="AR17" s="363">
        <f>VLOOKUP(AF17,Análisis!$B:$AN,18,0)</f>
        <v/>
      </c>
      <c r="AS17" s="364">
        <f>VLOOKUP(AF17,Análisis!$B:$AN,19,0)</f>
        <v/>
      </c>
      <c r="AT17" s="363">
        <f>VLOOKUP(AF17,Análisis!$B:$AN,20,0)</f>
        <v/>
      </c>
      <c r="AU17" s="365">
        <f>VLOOKUP(AF17,Análisis!$B:$AN,21,0)</f>
        <v/>
      </c>
      <c r="AV17" s="362">
        <f>VLOOKUP(AF17,Análisis!$B:$AN,28,0)</f>
        <v/>
      </c>
      <c r="AW17" s="363">
        <f>IF(VLOOKUP(AF17,Análisis!$B:$AN,39,0)=0,"Sin cambios",VLOOKUP(AF17,Análisis!$B:$AN,39,0))</f>
        <v/>
      </c>
      <c r="AX17" s="364">
        <f>VLOOKUP(AF17,Análisis!$B:$AN,29,0)</f>
        <v/>
      </c>
      <c r="AY17" s="363">
        <f>VLOOKUP(AF17,Análisis!$B:$AN,30,0)</f>
        <v/>
      </c>
      <c r="AZ17" s="364">
        <f>VLOOKUP(AF17,Análisis!$B:$AN,31,0)</f>
        <v/>
      </c>
      <c r="BA17" s="363">
        <f>VLOOKUP(AF17,Análisis!$B:$AN,32,0)</f>
        <v/>
      </c>
      <c r="BB17" s="365">
        <f>VLOOKUP(AF17,Análisis!$B:$AN,33,0)</f>
        <v/>
      </c>
      <c r="BE17" s="152" t="s">
        <v>143</v>
      </c>
      <c r="BF17" s="294" t="s">
        <v>318</v>
      </c>
      <c r="BH17" s="353">
        <f>IFERROR(VLOOKUP(BE17,$AF:$BB,3,0),0)</f>
        <v/>
      </c>
      <c r="BI17" s="167">
        <f>IFERROR(VLOOKUP(BE17,$AF:$BB,5,0),0)</f>
        <v/>
      </c>
      <c r="BJ17" s="354">
        <f>IFERROR(VLOOKUP(BE17,$AF:$BB,6,0),0)</f>
        <v/>
      </c>
      <c r="BK17" s="153">
        <f>IFERROR(VLOOKUP(BE17,$AF:$BB,7,0),0)</f>
        <v/>
      </c>
      <c r="BL17" s="355">
        <f>IFERROR(VLOOKUP(BE17,$AF:$BB,8,0),0)</f>
        <v/>
      </c>
      <c r="BM17" s="153">
        <f>IFERROR(VLOOKUP(BE17,$AF:$BB,9,0),0)</f>
        <v/>
      </c>
      <c r="BN17" s="353">
        <f>IFERROR(VLOOKUP(BE17,$AF:$BB,10,0),0)</f>
        <v/>
      </c>
      <c r="BO17" s="167">
        <f>IFERROR(VLOOKUP(BE17,$AF:$BB,12,0),0)</f>
        <v/>
      </c>
      <c r="BP17" s="354">
        <f>IFERROR(VLOOKUP(BE17,$AF:$BB,13,0),0)</f>
        <v/>
      </c>
      <c r="BQ17" s="153">
        <f>IFERROR(VLOOKUP(BE17,$AF:$BB,14,0),0)</f>
        <v/>
      </c>
      <c r="BR17" s="355">
        <f>IFERROR(VLOOKUP(BE17,$AF:$BB,15,0),0)</f>
        <v/>
      </c>
      <c r="BS17" s="153">
        <f>IFERROR(VLOOKUP(BE17,$AF:$BB,16,0),0)</f>
        <v/>
      </c>
      <c r="BT17" s="353">
        <f>IFERROR(VLOOKUP(BE17,$AF:$BB,17,0),0)</f>
        <v/>
      </c>
      <c r="BU17" s="167">
        <f>IFERROR(VLOOKUP(BE17,$AF:$BB,19,0),0)</f>
        <v/>
      </c>
      <c r="BV17" s="354">
        <f>IFERROR(VLOOKUP(BE17,$AF:$BB,20,0),0)</f>
        <v/>
      </c>
      <c r="BW17" s="153">
        <f>IFERROR(VLOOKUP(BE17,$AF:$BB,21,0),0)</f>
        <v/>
      </c>
      <c r="BX17" s="355">
        <f>IFERROR(VLOOKUP(BE17,$AF:$BB,22,0),0)</f>
        <v/>
      </c>
      <c r="BY17" s="153">
        <f>IFERROR(VLOOKUP(BE17,$AF:$BB,23,0),0)</f>
        <v/>
      </c>
    </row>
    <row customHeight="1" ht="35.1" r="18" s="183" spans="1:77" thickBot="1">
      <c r="B18" s="72" t="n">
        <v>338</v>
      </c>
      <c r="C18" s="72" t="s">
        <v>122</v>
      </c>
      <c r="D18" s="126">
        <f>IF(VLOOKUP(Resumen!C18,Análisis!B:AN,15,0)=0,"Sin cambios",VLOOKUP(Resumen!C18,Análisis!B:AN,15,0))</f>
        <v/>
      </c>
      <c r="E18" s="126">
        <f>IF(VLOOKUP(Resumen!C18,Análisis!B:AN,27,0)=0,"Sin cambios",VLOOKUP(Resumen!C18,Análisis!B:AN,27,0))</f>
        <v/>
      </c>
      <c r="F18" s="126">
        <f>IF(VLOOKUP(Resumen!C18,Análisis!B:AN,39,0)=0,"Sin cambios",VLOOKUP(Resumen!C18,Análisis!B:AN,39,0))</f>
        <v/>
      </c>
      <c r="G18" s="126">
        <f>IF(AND(D18="Sin cambios",E18="Sin cambios",F18="Sin cambios")=TRUE,"No","Sí")</f>
        <v/>
      </c>
      <c r="J18" s="334" t="s">
        <v>301</v>
      </c>
      <c r="K18" s="334" t="s">
        <v>302</v>
      </c>
      <c r="L18" s="335" t="s">
        <v>286</v>
      </c>
      <c r="M18" s="336" t="s">
        <v>285</v>
      </c>
      <c r="N18" s="335" t="s">
        <v>286</v>
      </c>
      <c r="O18" s="336" t="s">
        <v>285</v>
      </c>
      <c r="P18" s="335" t="s">
        <v>286</v>
      </c>
      <c r="Q18" s="334" t="s">
        <v>301</v>
      </c>
      <c r="R18" s="334" t="s">
        <v>302</v>
      </c>
      <c r="S18" s="335" t="s">
        <v>286</v>
      </c>
      <c r="T18" s="336" t="s">
        <v>285</v>
      </c>
      <c r="U18" s="335" t="s">
        <v>286</v>
      </c>
      <c r="V18" s="336" t="s">
        <v>285</v>
      </c>
      <c r="W18" s="335" t="s">
        <v>286</v>
      </c>
      <c r="X18" s="334" t="s">
        <v>301</v>
      </c>
      <c r="Y18" s="334" t="s">
        <v>302</v>
      </c>
      <c r="Z18" s="335" t="s">
        <v>286</v>
      </c>
      <c r="AA18" s="336" t="s">
        <v>285</v>
      </c>
      <c r="AB18" s="335" t="s">
        <v>286</v>
      </c>
      <c r="AC18" s="336" t="s">
        <v>285</v>
      </c>
      <c r="AD18" s="337" t="s">
        <v>286</v>
      </c>
      <c r="AF18" s="127" t="s">
        <v>80</v>
      </c>
      <c r="AG18" s="129" t="s">
        <v>239</v>
      </c>
      <c r="AH18" s="362">
        <f>VLOOKUP(AF18,Análisis!$B:$AN,4,0)</f>
        <v/>
      </c>
      <c r="AI18" s="363">
        <f>IF(VLOOKUP(AF18,Análisis!$B:$AN,15,0)=0,"Sin cambios",VLOOKUP(AF18,Análisis!$B:$AN,15,0))</f>
        <v/>
      </c>
      <c r="AJ18" s="364">
        <f>VLOOKUP(AF18,Análisis!$B:$AN,5,0)</f>
        <v/>
      </c>
      <c r="AK18" s="363">
        <f>VLOOKUP(AF18,Análisis!$B:$AN,6,0)</f>
        <v/>
      </c>
      <c r="AL18" s="364">
        <f>VLOOKUP(AF18,Análisis!$B:$AN,7,0)</f>
        <v/>
      </c>
      <c r="AM18" s="363">
        <f>VLOOKUP(AF18,Análisis!$B:$AN,8,0)</f>
        <v/>
      </c>
      <c r="AN18" s="365">
        <f>VLOOKUP(AF18,Análisis!$B:$AN,9,0)</f>
        <v/>
      </c>
      <c r="AO18" s="362">
        <f>VLOOKUP(AF18,Análisis!$B:$AN,16,0)</f>
        <v/>
      </c>
      <c r="AP18" s="363">
        <f>IF(VLOOKUP(AF18,Análisis!$B:$AN,27,0)=0,"Sin cambios",VLOOKUP(AF18,Análisis!$B:$AN,27,0))</f>
        <v/>
      </c>
      <c r="AQ18" s="364">
        <f>VLOOKUP(AF18,Análisis!$B:$AN,17,0)</f>
        <v/>
      </c>
      <c r="AR18" s="363">
        <f>VLOOKUP(AF18,Análisis!$B:$AN,18,0)</f>
        <v/>
      </c>
      <c r="AS18" s="364">
        <f>VLOOKUP(AF18,Análisis!$B:$AN,19,0)</f>
        <v/>
      </c>
      <c r="AT18" s="363">
        <f>VLOOKUP(AF18,Análisis!$B:$AN,20,0)</f>
        <v/>
      </c>
      <c r="AU18" s="365">
        <f>VLOOKUP(AF18,Análisis!$B:$AN,21,0)</f>
        <v/>
      </c>
      <c r="AV18" s="362">
        <f>VLOOKUP(AF18,Análisis!$B:$AN,28,0)</f>
        <v/>
      </c>
      <c r="AW18" s="363">
        <f>IF(VLOOKUP(AF18,Análisis!$B:$AN,39,0)=0,"Sin cambios",VLOOKUP(AF18,Análisis!$B:$AN,39,0))</f>
        <v/>
      </c>
      <c r="AX18" s="364">
        <f>VLOOKUP(AF18,Análisis!$B:$AN,29,0)</f>
        <v/>
      </c>
      <c r="AY18" s="363">
        <f>VLOOKUP(AF18,Análisis!$B:$AN,30,0)</f>
        <v/>
      </c>
      <c r="AZ18" s="364">
        <f>VLOOKUP(AF18,Análisis!$B:$AN,31,0)</f>
        <v/>
      </c>
      <c r="BA18" s="363">
        <f>VLOOKUP(AF18,Análisis!$B:$AN,32,0)</f>
        <v/>
      </c>
      <c r="BB18" s="365">
        <f>VLOOKUP(AF18,Análisis!$B:$AN,33,0)</f>
        <v/>
      </c>
      <c r="BE18" s="152" t="s">
        <v>137</v>
      </c>
      <c r="BF18" s="294" t="s">
        <v>319</v>
      </c>
      <c r="BH18" s="353">
        <f>IFERROR(VLOOKUP(BE18,$AF:$BB,3,0),0)</f>
        <v/>
      </c>
      <c r="BI18" s="167">
        <f>IFERROR(VLOOKUP(BE18,$AF:$BB,5,0),0)</f>
        <v/>
      </c>
      <c r="BJ18" s="354">
        <f>IFERROR(VLOOKUP(BE18,$AF:$BB,6,0),0)</f>
        <v/>
      </c>
      <c r="BK18" s="153">
        <f>IFERROR(VLOOKUP(BE18,$AF:$BB,7,0),0)</f>
        <v/>
      </c>
      <c r="BL18" s="355">
        <f>IFERROR(VLOOKUP(BE18,$AF:$BB,8,0),0)</f>
        <v/>
      </c>
      <c r="BM18" s="153">
        <f>IFERROR(VLOOKUP(BE18,$AF:$BB,9,0),0)</f>
        <v/>
      </c>
      <c r="BN18" s="353">
        <f>IFERROR(VLOOKUP(BE18,$AF:$BB,10,0),0)</f>
        <v/>
      </c>
      <c r="BO18" s="167">
        <f>IFERROR(VLOOKUP(BE18,$AF:$BB,12,0),0)</f>
        <v/>
      </c>
      <c r="BP18" s="354">
        <f>IFERROR(VLOOKUP(BE18,$AF:$BB,13,0),0)</f>
        <v/>
      </c>
      <c r="BQ18" s="153">
        <f>IFERROR(VLOOKUP(BE18,$AF:$BB,14,0),0)</f>
        <v/>
      </c>
      <c r="BR18" s="355">
        <f>IFERROR(VLOOKUP(BE18,$AF:$BB,15,0),0)</f>
        <v/>
      </c>
      <c r="BS18" s="153">
        <f>IFERROR(VLOOKUP(BE18,$AF:$BB,16,0),0)</f>
        <v/>
      </c>
      <c r="BT18" s="353">
        <f>IFERROR(VLOOKUP(BE18,$AF:$BB,17,0),0)</f>
        <v/>
      </c>
      <c r="BU18" s="167">
        <f>IFERROR(VLOOKUP(BE18,$AF:$BB,19,0),0)</f>
        <v/>
      </c>
      <c r="BV18" s="354">
        <f>IFERROR(VLOOKUP(BE18,$AF:$BB,20,0),0)</f>
        <v/>
      </c>
      <c r="BW18" s="153">
        <f>IFERROR(VLOOKUP(BE18,$AF:$BB,21,0),0)</f>
        <v/>
      </c>
      <c r="BX18" s="355">
        <f>IFERROR(VLOOKUP(BE18,$AF:$BB,22,0),0)</f>
        <v/>
      </c>
      <c r="BY18" s="153">
        <f>IFERROR(VLOOKUP(BE18,$AF:$BB,23,0),0)</f>
        <v/>
      </c>
    </row>
    <row customHeight="1" ht="26.25" r="19" s="183" spans="1:77" thickBot="1">
      <c r="B19" s="72" t="n">
        <v>335</v>
      </c>
      <c r="C19" s="72" t="s">
        <v>119</v>
      </c>
      <c r="D19" s="126">
        <f>IF(VLOOKUP(Resumen!C19,Análisis!B:AN,15,0)=0,"Sin cambios",VLOOKUP(Resumen!C19,Análisis!B:AN,15,0))</f>
        <v/>
      </c>
      <c r="E19" s="126">
        <f>IF(VLOOKUP(Resumen!C19,Análisis!B:AN,27,0)=0,"Sin cambios",VLOOKUP(Resumen!C19,Análisis!B:AN,27,0))</f>
        <v/>
      </c>
      <c r="F19" s="126">
        <f>IF(VLOOKUP(Resumen!C19,Análisis!B:AN,39,0)=0,"Sin cambios",VLOOKUP(Resumen!C19,Análisis!B:AN,39,0))</f>
        <v/>
      </c>
      <c r="G19" s="126">
        <f>IF(AND(D19="Sin cambios",E19="Sin cambios",F19="Sin cambios")=TRUE,"No","Sí")</f>
        <v/>
      </c>
      <c r="I19" s="65" t="s">
        <v>320</v>
      </c>
      <c r="J19" s="375">
        <f>(SUMIF(Análisis!$C:$C,"RM-Urbano",Análisis!E:E)+SUMIF(Análisis!$C:$C,"RM-Extra Urbano",Análisis!E:E))/(COUNTIF(Análisis!$C:$C,"RM-Urbano")+COUNTIF(Análisis!$C:$C,"RM-Extra Urbano"))</f>
        <v/>
      </c>
      <c r="K19" s="376">
        <f>(SUMIF(Análisis!$C:$C,"RM-Urbano",Análisis!P:P)+SUMIF(Análisis!$C:$C,"RM-Extra Urbano",Análisis!P:P))/(COUNTIF(Análisis!$C:$C,"RM-Urbano")+COUNTIF(Análisis!$C:$C,"RM-Extra Urbano"))</f>
        <v/>
      </c>
      <c r="L19" s="377">
        <f>(SUMIF(Análisis!$C:$C,"RM-Urbano",Análisis!F:F)+SUMIF(Análisis!$C:$C,"RM-Extra Urbano",Análisis!F:F))/(COUNTIF(Análisis!$C:$C,"RM-Urbano")+COUNTIF(Análisis!$C:$C,"RM-Extra Urbano"))</f>
        <v/>
      </c>
      <c r="M19" s="378">
        <f>(SUMIF(Análisis!$C:$C,"RM-Urbano",Análisis!G:G)+SUMIF(Análisis!$C:$C,"RM-Extra Urbano",Análisis!G:G))/(COUNTIF(Análisis!$C:$C,"RM-Urbano")+COUNTIF(Análisis!$C:$C,"RM-Extra Urbano"))</f>
        <v/>
      </c>
      <c r="N19" s="377">
        <f>(SUMIF(Análisis!$C:$C,"RM-Urbano",Análisis!H:H)+SUMIF(Análisis!$C:$C,"RM-Extra Urbano",Análisis!H:H))/(COUNTIF(Análisis!$C:$C,"RM-Urbano")+COUNTIF(Análisis!$C:$C,"RM-Extra Urbano"))</f>
        <v/>
      </c>
      <c r="O19" s="378">
        <f>(SUMIF(Análisis!$C:$C,"RM-Urbano",Análisis!I:I)+SUMIF(Análisis!$C:$C,"RM-Extra Urbano",Análisis!I:I))/(COUNTIF(Análisis!$C:$C,"RM-Urbano")+COUNTIF(Análisis!$C:$C,"RM-Extra Urbano"))</f>
        <v/>
      </c>
      <c r="P19" s="379">
        <f>(SUMIF(Análisis!$C:$C,"RM-Urbano",Análisis!J:J)+SUMIF(Análisis!$C:$C,"RM-Extra Urbano",Análisis!J:J))/(COUNTIF(Análisis!$C:$C,"RM-Urbano")+COUNTIF(Análisis!$C:$C,"RM-Extra Urbano"))</f>
        <v/>
      </c>
      <c r="Q19" s="375">
        <f>(SUMIF(Análisis!$C:$C,"RM-Urbano",Análisis!Q:Q)+SUMIF(Análisis!$C:$C,"RM-Extra Urbano",Análisis!Q:Q))/(COUNTIF(Análisis!$C:$C,"RM-Urbano")+COUNTIF(Análisis!$C:$C,"RM-Extra Urbano"))</f>
        <v/>
      </c>
      <c r="R19" s="376">
        <f>(SUMIF(Análisis!$C:$C,"RM-Urbano",Análisis!AB:AB)+SUMIF(Análisis!$C:$C,"RM-Extra Urbano",Análisis!AB:AB))/(COUNTIF(Análisis!$C:$C,"RM-Urbano")+COUNTIF(Análisis!$C:$C,"RM-Extra Urbano"))</f>
        <v/>
      </c>
      <c r="S19" s="377">
        <f>(SUMIF(Análisis!$C:$C,"RM-Urbano",Análisis!R:R)+SUMIF(Análisis!$C:$C,"RM-Extra Urbano",Análisis!R:R))/(COUNTIF(Análisis!$C:$C,"RM-Urbano")+COUNTIF(Análisis!$C:$C,"RM-Extra Urbano"))</f>
        <v/>
      </c>
      <c r="T19" s="378">
        <f>(SUMIF(Análisis!$C:$C,"RM-Urbano",Análisis!S:S)+SUMIF(Análisis!$C:$C,"RM-Extra Urbano",Análisis!S:S))/(COUNTIF(Análisis!$C:$C,"RM-Urbano")+COUNTIF(Análisis!$C:$C,"RM-Extra Urbano"))</f>
        <v/>
      </c>
      <c r="U19" s="377">
        <f>(SUMIF(Análisis!$C:$C,"RM-Urbano",Análisis!T:T)+SUMIF(Análisis!$C:$C,"RM-Extra Urbano",Análisis!T:T))/(COUNTIF(Análisis!$C:$C,"RM-Urbano")+COUNTIF(Análisis!$C:$C,"RM-Extra Urbano"))</f>
        <v/>
      </c>
      <c r="V19" s="378">
        <f>(SUMIF(Análisis!$C:$C,"RM-Urbano",Análisis!U:U)+SUMIF(Análisis!$C:$C,"RM-Extra Urbano",Análisis!U:U))/(COUNTIF(Análisis!$C:$C,"RM-Urbano")+COUNTIF(Análisis!$C:$C,"RM-Extra Urbano"))</f>
        <v/>
      </c>
      <c r="W19" s="380">
        <f>(SUMIF(Análisis!$C:$C,"RM-Urbano",Análisis!V:V)+SUMIF(Análisis!$C:$C,"RM-Extra Urbano",Análisis!V:V))/(COUNTIF(Análisis!$C:$C,"RM-Urbano")+COUNTIF(Análisis!$C:$C,"RM-Extra Urbano"))</f>
        <v/>
      </c>
      <c r="X19" s="376">
        <f>(SUMIF(Análisis!$C:$C,"RM-Urbano",Análisis!AC:AC)+SUMIF(Análisis!$C:$C,"RM-Extra Urbano",Análisis!AC:AC))/(COUNTIF(Análisis!$C:$C,"RM-Urbano")+COUNTIF(Análisis!$C:$C,"RM-Extra Urbano"))</f>
        <v/>
      </c>
      <c r="Y19" s="376">
        <f>(SUMIF(Análisis!$C:$C,"RM-Urbano",Análisis!AN:AN)+SUMIF(Análisis!$C:$C,"RM-Extra Urbano",Análisis!AN:AN))/(COUNTIF(Análisis!$C:$C,"RM-Urbano")+COUNTIF(Análisis!$C:$C,"RM-Extra Urbano"))</f>
        <v/>
      </c>
      <c r="Z19" s="377">
        <f>(SUMIF(Análisis!$C:$C,"RM-Urbano",Análisis!AD:AD)+SUMIF(Análisis!$C:$C,"RM-Extra Urbano",Análisis!AD:AD))/(COUNTIF(Análisis!$C:$C,"RM-Urbano")+COUNTIF(Análisis!$C:$C,"RM-Extra Urbano"))</f>
        <v/>
      </c>
      <c r="AA19" s="378">
        <f>(SUMIF(Análisis!$C:$C,"RM-Urbano",Análisis!AE:AE)+SUMIF(Análisis!$C:$C,"RM-Extra Urbano",Análisis!AE:AE))/(COUNTIF(Análisis!$C:$C,"RM-Urbano")+COUNTIF(Análisis!$C:$C,"RM-Extra Urbano"))</f>
        <v/>
      </c>
      <c r="AB19" s="377">
        <f>(SUMIF(Análisis!$C:$C,"RM-Urbano",Análisis!AF:AF)+SUMIF(Análisis!$C:$C,"RM-Extra Urbano",Análisis!AF:AF))/(COUNTIF(Análisis!$C:$C,"RM-Urbano")+COUNTIF(Análisis!$C:$C,"RM-Extra Urbano"))</f>
        <v/>
      </c>
      <c r="AC19" s="378">
        <f>(SUMIF(Análisis!$C:$C,"RM-Urbano",Análisis!AG:AG)+SUMIF(Análisis!$C:$C,"RM-Extra Urbano",Análisis!AG:AG))/(COUNTIF(Análisis!$C:$C,"RM-Urbano")+COUNTIF(Análisis!$C:$C,"RM-Extra Urbano"))</f>
        <v/>
      </c>
      <c r="AD19" s="380">
        <f>(SUMIF(Análisis!$C:$C,"RM-Urbano",Análisis!AH:AH)+SUMIF(Análisis!$C:$C,"RM-Extra Urbano",Análisis!AH:AH))/(COUNTIF(Análisis!$C:$C,"RM-Urbano")+COUNTIF(Análisis!$C:$C,"RM-Extra Urbano"))</f>
        <v/>
      </c>
      <c r="AF19" s="127" t="s">
        <v>82</v>
      </c>
      <c r="AG19" s="129" t="s">
        <v>239</v>
      </c>
      <c r="AH19" s="362">
        <f>VLOOKUP(AF19,Análisis!$B:$AN,4,0)</f>
        <v/>
      </c>
      <c r="AI19" s="363">
        <f>IF(VLOOKUP(AF19,Análisis!$B:$AN,15,0)=0,"Sin cambios",VLOOKUP(AF19,Análisis!$B:$AN,15,0))</f>
        <v/>
      </c>
      <c r="AJ19" s="364">
        <f>VLOOKUP(AF19,Análisis!$B:$AN,5,0)</f>
        <v/>
      </c>
      <c r="AK19" s="363">
        <f>VLOOKUP(AF19,Análisis!$B:$AN,6,0)</f>
        <v/>
      </c>
      <c r="AL19" s="364">
        <f>VLOOKUP(AF19,Análisis!$B:$AN,7,0)</f>
        <v/>
      </c>
      <c r="AM19" s="363">
        <f>VLOOKUP(AF19,Análisis!$B:$AN,8,0)</f>
        <v/>
      </c>
      <c r="AN19" s="365">
        <f>VLOOKUP(AF19,Análisis!$B:$AN,9,0)</f>
        <v/>
      </c>
      <c r="AO19" s="362">
        <f>VLOOKUP(AF19,Análisis!$B:$AN,16,0)</f>
        <v/>
      </c>
      <c r="AP19" s="363">
        <f>IF(VLOOKUP(AF19,Análisis!$B:$AN,27,0)=0,"Sin cambios",VLOOKUP(AF19,Análisis!$B:$AN,27,0))</f>
        <v/>
      </c>
      <c r="AQ19" s="364">
        <f>VLOOKUP(AF19,Análisis!$B:$AN,17,0)</f>
        <v/>
      </c>
      <c r="AR19" s="363">
        <f>VLOOKUP(AF19,Análisis!$B:$AN,18,0)</f>
        <v/>
      </c>
      <c r="AS19" s="364">
        <f>VLOOKUP(AF19,Análisis!$B:$AN,19,0)</f>
        <v/>
      </c>
      <c r="AT19" s="363">
        <f>VLOOKUP(AF19,Análisis!$B:$AN,20,0)</f>
        <v/>
      </c>
      <c r="AU19" s="365">
        <f>VLOOKUP(AF19,Análisis!$B:$AN,21,0)</f>
        <v/>
      </c>
      <c r="AV19" s="362">
        <f>VLOOKUP(AF19,Análisis!$B:$AN,28,0)</f>
        <v/>
      </c>
      <c r="AW19" s="363">
        <f>IF(VLOOKUP(AF19,Análisis!$B:$AN,39,0)=0,"Sin cambios",VLOOKUP(AF19,Análisis!$B:$AN,39,0))</f>
        <v/>
      </c>
      <c r="AX19" s="364">
        <f>VLOOKUP(AF19,Análisis!$B:$AN,29,0)</f>
        <v/>
      </c>
      <c r="AY19" s="363">
        <f>VLOOKUP(AF19,Análisis!$B:$AN,30,0)</f>
        <v/>
      </c>
      <c r="AZ19" s="364">
        <f>VLOOKUP(AF19,Análisis!$B:$AN,31,0)</f>
        <v/>
      </c>
      <c r="BA19" s="363">
        <f>VLOOKUP(AF19,Análisis!$B:$AN,32,0)</f>
        <v/>
      </c>
      <c r="BB19" s="365">
        <f>VLOOKUP(AF19,Análisis!$B:$AN,33,0)</f>
        <v/>
      </c>
      <c r="BE19" s="154" t="n"/>
      <c r="BF19" s="298" t="s">
        <v>321</v>
      </c>
      <c r="BH19" s="381">
        <f>AVERAGE(BH5:BH18)</f>
        <v/>
      </c>
      <c r="BI19" s="382">
        <f>AVERAGE(BI5:BI18)</f>
        <v/>
      </c>
      <c r="BJ19" s="381">
        <f>AVERAGE(BJ5:BJ18)</f>
        <v/>
      </c>
      <c r="BK19" s="383">
        <f>AVERAGE(BK5:BK18)</f>
        <v/>
      </c>
      <c r="BL19" s="384">
        <f>AVERAGE(BL5:BL18)</f>
        <v/>
      </c>
      <c r="BM19" s="383">
        <f>AVERAGE(BM5:BM18)</f>
        <v/>
      </c>
      <c r="BN19" s="381">
        <f>AVERAGE(BN5:BN18)</f>
        <v/>
      </c>
      <c r="BO19" s="382">
        <f>AVERAGE(BO5:BO18)</f>
        <v/>
      </c>
      <c r="BP19" s="381">
        <f>AVERAGE(BP5:BP18)</f>
        <v/>
      </c>
      <c r="BQ19" s="383">
        <f>AVERAGE(BQ5:BQ18)</f>
        <v/>
      </c>
      <c r="BR19" s="384">
        <f>AVERAGE(BR5:BR18)</f>
        <v/>
      </c>
      <c r="BS19" s="383">
        <f>AVERAGE(BS5:BS18)</f>
        <v/>
      </c>
      <c r="BT19" s="381">
        <f>AVERAGE(BT5:BT18)</f>
        <v/>
      </c>
      <c r="BU19" s="383">
        <f>AVERAGE(BU5:BU18)</f>
        <v/>
      </c>
      <c r="BV19" s="381">
        <f>AVERAGE(BV5:BV18)</f>
        <v/>
      </c>
      <c r="BW19" s="383">
        <f>AVERAGE(BW5:BW18)</f>
        <v/>
      </c>
      <c r="BX19" s="384">
        <f>AVERAGE(BX5:BX18)</f>
        <v/>
      </c>
      <c r="BY19" s="383">
        <f>AVERAGE(BY5:BY18)</f>
        <v/>
      </c>
    </row>
    <row r="20" spans="1:77">
      <c r="B20" s="72" t="n">
        <v>327</v>
      </c>
      <c r="C20" s="72" t="s">
        <v>113</v>
      </c>
      <c r="D20" s="126">
        <f>IF(VLOOKUP(Resumen!C20,Análisis!B:AN,15,0)=0,"Sin cambios",VLOOKUP(Resumen!C20,Análisis!B:AN,15,0))</f>
        <v/>
      </c>
      <c r="E20" s="126">
        <f>IF(VLOOKUP(Resumen!C20,Análisis!B:AN,27,0)=0,"Sin cambios",VLOOKUP(Resumen!C20,Análisis!B:AN,27,0))</f>
        <v/>
      </c>
      <c r="F20" s="126">
        <f>IF(VLOOKUP(Resumen!C20,Análisis!B:AN,39,0)=0,"Sin cambios",VLOOKUP(Resumen!C20,Análisis!B:AN,39,0))</f>
        <v/>
      </c>
      <c r="G20" s="126">
        <f>IF(AND(D20="Sin cambios",E20="Sin cambios",F20="Sin cambios")=TRUE,"No","Sí")</f>
        <v/>
      </c>
      <c r="J20" s="373" t="n"/>
      <c r="K20" s="373" t="n"/>
      <c r="L20" s="374" t="n"/>
      <c r="M20" s="373" t="n"/>
      <c r="N20" s="374" t="n"/>
      <c r="O20" s="373" t="n"/>
      <c r="P20" s="374" t="n"/>
      <c r="Q20" s="373" t="n"/>
      <c r="R20" s="373" t="n"/>
      <c r="S20" s="374" t="n"/>
      <c r="T20" s="373" t="n"/>
      <c r="U20" s="374" t="n"/>
      <c r="V20" s="373" t="n"/>
      <c r="W20" s="374" t="n"/>
      <c r="X20" s="373" t="n"/>
      <c r="Y20" s="373" t="n"/>
      <c r="Z20" s="374" t="n"/>
      <c r="AA20" s="373" t="n"/>
      <c r="AB20" s="374" t="n"/>
      <c r="AC20" s="373" t="n"/>
      <c r="AD20" s="374" t="n"/>
      <c r="AF20" s="127" t="s">
        <v>83</v>
      </c>
      <c r="AG20" s="129" t="s">
        <v>239</v>
      </c>
      <c r="AH20" s="362">
        <f>VLOOKUP(AF20,Análisis!$B:$AN,4,0)</f>
        <v/>
      </c>
      <c r="AI20" s="363">
        <f>IF(VLOOKUP(AF20,Análisis!$B:$AN,15,0)=0,"Sin cambios",VLOOKUP(AF20,Análisis!$B:$AN,15,0))</f>
        <v/>
      </c>
      <c r="AJ20" s="364">
        <f>VLOOKUP(AF20,Análisis!$B:$AN,5,0)</f>
        <v/>
      </c>
      <c r="AK20" s="363">
        <f>VLOOKUP(AF20,Análisis!$B:$AN,6,0)</f>
        <v/>
      </c>
      <c r="AL20" s="364">
        <f>VLOOKUP(AF20,Análisis!$B:$AN,7,0)</f>
        <v/>
      </c>
      <c r="AM20" s="363">
        <f>VLOOKUP(AF20,Análisis!$B:$AN,8,0)</f>
        <v/>
      </c>
      <c r="AN20" s="365">
        <f>VLOOKUP(AF20,Análisis!$B:$AN,9,0)</f>
        <v/>
      </c>
      <c r="AO20" s="362">
        <f>VLOOKUP(AF20,Análisis!$B:$AN,16,0)</f>
        <v/>
      </c>
      <c r="AP20" s="363">
        <f>IF(VLOOKUP(AF20,Análisis!$B:$AN,27,0)=0,"Sin cambios",VLOOKUP(AF20,Análisis!$B:$AN,27,0))</f>
        <v/>
      </c>
      <c r="AQ20" s="364">
        <f>VLOOKUP(AF20,Análisis!$B:$AN,17,0)</f>
        <v/>
      </c>
      <c r="AR20" s="363">
        <f>VLOOKUP(AF20,Análisis!$B:$AN,18,0)</f>
        <v/>
      </c>
      <c r="AS20" s="364">
        <f>VLOOKUP(AF20,Análisis!$B:$AN,19,0)</f>
        <v/>
      </c>
      <c r="AT20" s="363">
        <f>VLOOKUP(AF20,Análisis!$B:$AN,20,0)</f>
        <v/>
      </c>
      <c r="AU20" s="365">
        <f>VLOOKUP(AF20,Análisis!$B:$AN,21,0)</f>
        <v/>
      </c>
      <c r="AV20" s="362">
        <f>VLOOKUP(AF20,Análisis!$B:$AN,28,0)</f>
        <v/>
      </c>
      <c r="AW20" s="363">
        <f>IF(VLOOKUP(AF20,Análisis!$B:$AN,39,0)=0,"Sin cambios",VLOOKUP(AF20,Análisis!$B:$AN,39,0))</f>
        <v/>
      </c>
      <c r="AX20" s="364">
        <f>VLOOKUP(AF20,Análisis!$B:$AN,29,0)</f>
        <v/>
      </c>
      <c r="AY20" s="363">
        <f>VLOOKUP(AF20,Análisis!$B:$AN,30,0)</f>
        <v/>
      </c>
      <c r="AZ20" s="364">
        <f>VLOOKUP(AF20,Análisis!$B:$AN,31,0)</f>
        <v/>
      </c>
      <c r="BA20" s="363">
        <f>VLOOKUP(AF20,Análisis!$B:$AN,32,0)</f>
        <v/>
      </c>
      <c r="BB20" s="365">
        <f>VLOOKUP(AF20,Análisis!$B:$AN,33,0)</f>
        <v/>
      </c>
      <c r="BE20" s="165" t="s">
        <v>54</v>
      </c>
      <c r="BF20" s="294" t="s">
        <v>322</v>
      </c>
      <c r="BH20" s="353">
        <f>IFERROR(VLOOKUP(BE20,$AF:$BB,3,0),0)</f>
        <v/>
      </c>
      <c r="BI20" s="167">
        <f>IFERROR(VLOOKUP(BE20,$AF:$BB,5,0),0)</f>
        <v/>
      </c>
      <c r="BJ20" s="354">
        <f>IFERROR(VLOOKUP(BE20,$AF:$BB,6,0),0)</f>
        <v/>
      </c>
      <c r="BK20" s="153">
        <f>IFERROR(VLOOKUP(BE20,$AF:$BB,7,0),0)</f>
        <v/>
      </c>
      <c r="BL20" s="355">
        <f>IFERROR(VLOOKUP(BE20,$AF:$BB,8,0),0)</f>
        <v/>
      </c>
      <c r="BM20" s="153">
        <f>IFERROR(VLOOKUP(BE20,$AF:$BB,9,0),0)</f>
        <v/>
      </c>
      <c r="BN20" s="353">
        <f>IFERROR(VLOOKUP(BE20,$AF:$BB,10,0),0)</f>
        <v/>
      </c>
      <c r="BO20" s="167">
        <f>IFERROR(VLOOKUP(BE20,$AF:$BB,12,0),0)</f>
        <v/>
      </c>
      <c r="BP20" s="354">
        <f>IFERROR(VLOOKUP(BE20,$AF:$BB,13,0),0)</f>
        <v/>
      </c>
      <c r="BQ20" s="153">
        <f>IFERROR(VLOOKUP(BE20,$AF:$BB,14,0),0)</f>
        <v/>
      </c>
      <c r="BR20" s="355">
        <f>IFERROR(VLOOKUP(BE20,$AF:$BB,15,0),0)</f>
        <v/>
      </c>
      <c r="BS20" s="153">
        <f>IFERROR(VLOOKUP(BE20,$AF:$BB,16,0),0)</f>
        <v/>
      </c>
      <c r="BT20" s="353">
        <f>IFERROR(VLOOKUP(BE20,$AF:$BB,17,0),0)</f>
        <v/>
      </c>
      <c r="BU20" s="167">
        <f>IFERROR(VLOOKUP(BE20,$AF:$BB,19,0),0)</f>
        <v/>
      </c>
      <c r="BV20" s="354">
        <f>IFERROR(VLOOKUP(BE20,$AF:$BB,20,0),0)</f>
        <v/>
      </c>
      <c r="BW20" s="153">
        <f>IFERROR(VLOOKUP(BE20,$AF:$BB,21,0),0)</f>
        <v/>
      </c>
      <c r="BX20" s="355">
        <f>IFERROR(VLOOKUP(BE20,$AF:$BB,22,0),0)</f>
        <v/>
      </c>
      <c r="BY20" s="153">
        <f>IFERROR(VLOOKUP(BE20,$AF:$BB,23,0),0)</f>
        <v/>
      </c>
    </row>
    <row customHeight="1" ht="15.75" r="21" s="183" spans="1:77" thickBot="1">
      <c r="B21" s="72" t="n">
        <v>357</v>
      </c>
      <c r="C21" s="72" t="s">
        <v>138</v>
      </c>
      <c r="D21" s="126">
        <f>IF(VLOOKUP(Resumen!C21,Análisis!B:AN,15,0)=0,"Sin cambios",VLOOKUP(Resumen!C21,Análisis!B:AN,15,0))</f>
        <v/>
      </c>
      <c r="E21" s="126">
        <f>IF(VLOOKUP(Resumen!C21,Análisis!B:AN,27,0)=0,"Sin cambios",VLOOKUP(Resumen!C21,Análisis!B:AN,27,0))</f>
        <v/>
      </c>
      <c r="F21" s="126">
        <f>IF(VLOOKUP(Resumen!C21,Análisis!B:AN,39,0)=0,"Sin cambios",VLOOKUP(Resumen!C21,Análisis!B:AN,39,0))</f>
        <v/>
      </c>
      <c r="G21" s="126">
        <f>IF(AND(D21="Sin cambios",E21="Sin cambios",F21="Sin cambios")=TRUE,"No","Sí")</f>
        <v/>
      </c>
      <c r="J21" s="373" t="n"/>
      <c r="K21" s="373" t="n"/>
      <c r="L21" s="374" t="n"/>
      <c r="M21" s="373" t="n"/>
      <c r="N21" s="374" t="n"/>
      <c r="O21" s="373" t="n"/>
      <c r="P21" s="374" t="n"/>
      <c r="Q21" s="373" t="n"/>
      <c r="R21" s="373" t="n"/>
      <c r="S21" s="374" t="n"/>
      <c r="T21" s="373" t="n"/>
      <c r="U21" s="374" t="n"/>
      <c r="V21" s="373" t="n"/>
      <c r="W21" s="374" t="n"/>
      <c r="X21" s="373" t="n"/>
      <c r="Y21" s="373" t="n"/>
      <c r="Z21" s="374" t="n"/>
      <c r="AA21" s="373" t="n"/>
      <c r="AB21" s="374" t="n"/>
      <c r="AC21" s="373" t="n"/>
      <c r="AD21" s="374" t="n"/>
      <c r="AF21" s="127" t="s">
        <v>84</v>
      </c>
      <c r="AG21" s="129" t="s">
        <v>239</v>
      </c>
      <c r="AH21" s="362">
        <f>VLOOKUP(AF21,Análisis!$B:$AN,4,0)</f>
        <v/>
      </c>
      <c r="AI21" s="363">
        <f>IF(VLOOKUP(AF21,Análisis!$B:$AN,15,0)=0,"Sin cambios",VLOOKUP(AF21,Análisis!$B:$AN,15,0))</f>
        <v/>
      </c>
      <c r="AJ21" s="364">
        <f>VLOOKUP(AF21,Análisis!$B:$AN,5,0)</f>
        <v/>
      </c>
      <c r="AK21" s="363">
        <f>VLOOKUP(AF21,Análisis!$B:$AN,6,0)</f>
        <v/>
      </c>
      <c r="AL21" s="364">
        <f>VLOOKUP(AF21,Análisis!$B:$AN,7,0)</f>
        <v/>
      </c>
      <c r="AM21" s="363">
        <f>VLOOKUP(AF21,Análisis!$B:$AN,8,0)</f>
        <v/>
      </c>
      <c r="AN21" s="365">
        <f>VLOOKUP(AF21,Análisis!$B:$AN,9,0)</f>
        <v/>
      </c>
      <c r="AO21" s="362">
        <f>VLOOKUP(AF21,Análisis!$B:$AN,16,0)</f>
        <v/>
      </c>
      <c r="AP21" s="363">
        <f>IF(VLOOKUP(AF21,Análisis!$B:$AN,27,0)=0,"Sin cambios",VLOOKUP(AF21,Análisis!$B:$AN,27,0))</f>
        <v/>
      </c>
      <c r="AQ21" s="364">
        <f>VLOOKUP(AF21,Análisis!$B:$AN,17,0)</f>
        <v/>
      </c>
      <c r="AR21" s="363">
        <f>VLOOKUP(AF21,Análisis!$B:$AN,18,0)</f>
        <v/>
      </c>
      <c r="AS21" s="364">
        <f>VLOOKUP(AF21,Análisis!$B:$AN,19,0)</f>
        <v/>
      </c>
      <c r="AT21" s="363">
        <f>VLOOKUP(AF21,Análisis!$B:$AN,20,0)</f>
        <v/>
      </c>
      <c r="AU21" s="365">
        <f>VLOOKUP(AF21,Análisis!$B:$AN,21,0)</f>
        <v/>
      </c>
      <c r="AV21" s="362">
        <f>VLOOKUP(AF21,Análisis!$B:$AN,28,0)</f>
        <v/>
      </c>
      <c r="AW21" s="363">
        <f>IF(VLOOKUP(AF21,Análisis!$B:$AN,39,0)=0,"Sin cambios",VLOOKUP(AF21,Análisis!$B:$AN,39,0))</f>
        <v/>
      </c>
      <c r="AX21" s="364">
        <f>VLOOKUP(AF21,Análisis!$B:$AN,29,0)</f>
        <v/>
      </c>
      <c r="AY21" s="363">
        <f>VLOOKUP(AF21,Análisis!$B:$AN,30,0)</f>
        <v/>
      </c>
      <c r="AZ21" s="364">
        <f>VLOOKUP(AF21,Análisis!$B:$AN,31,0)</f>
        <v/>
      </c>
      <c r="BA21" s="363">
        <f>VLOOKUP(AF21,Análisis!$B:$AN,32,0)</f>
        <v/>
      </c>
      <c r="BB21" s="365">
        <f>VLOOKUP(AF21,Análisis!$B:$AN,33,0)</f>
        <v/>
      </c>
      <c r="BE21" s="165" t="s">
        <v>85</v>
      </c>
      <c r="BF21" s="294" t="s">
        <v>323</v>
      </c>
      <c r="BH21" s="353">
        <f>IFERROR(VLOOKUP(BE21,$AF:$BB,3,0),0)</f>
        <v/>
      </c>
      <c r="BI21" s="167">
        <f>IFERROR(VLOOKUP(BE21,$AF:$BB,5,0),0)</f>
        <v/>
      </c>
      <c r="BJ21" s="354">
        <f>IFERROR(VLOOKUP(BE21,$AF:$BB,6,0),0)</f>
        <v/>
      </c>
      <c r="BK21" s="153">
        <f>IFERROR(VLOOKUP(BE21,$AF:$BB,7,0),0)</f>
        <v/>
      </c>
      <c r="BL21" s="355">
        <f>IFERROR(VLOOKUP(BE21,$AF:$BB,8,0),0)</f>
        <v/>
      </c>
      <c r="BM21" s="153">
        <f>IFERROR(VLOOKUP(BE21,$AF:$BB,9,0),0)</f>
        <v/>
      </c>
      <c r="BN21" s="353">
        <f>IFERROR(VLOOKUP(BE21,$AF:$BB,10,0),0)</f>
        <v/>
      </c>
      <c r="BO21" s="167">
        <f>IFERROR(VLOOKUP(BE21,$AF:$BB,12,0),0)</f>
        <v/>
      </c>
      <c r="BP21" s="354">
        <f>IFERROR(VLOOKUP(BE21,$AF:$BB,13,0),0)</f>
        <v/>
      </c>
      <c r="BQ21" s="153">
        <f>IFERROR(VLOOKUP(BE21,$AF:$BB,14,0),0)</f>
        <v/>
      </c>
      <c r="BR21" s="355">
        <f>IFERROR(VLOOKUP(BE21,$AF:$BB,15,0),0)</f>
        <v/>
      </c>
      <c r="BS21" s="153">
        <f>IFERROR(VLOOKUP(BE21,$AF:$BB,16,0),0)</f>
        <v/>
      </c>
      <c r="BT21" s="353">
        <f>IFERROR(VLOOKUP(BE21,$AF:$BB,17,0),0)</f>
        <v/>
      </c>
      <c r="BU21" s="167">
        <f>IFERROR(VLOOKUP(BE21,$AF:$BB,19,0),0)</f>
        <v/>
      </c>
      <c r="BV21" s="354">
        <f>IFERROR(VLOOKUP(BE21,$AF:$BB,20,0),0)</f>
        <v/>
      </c>
      <c r="BW21" s="153">
        <f>IFERROR(VLOOKUP(BE21,$AF:$BB,21,0),0)</f>
        <v/>
      </c>
      <c r="BX21" s="355">
        <f>IFERROR(VLOOKUP(BE21,$AF:$BB,22,0),0)</f>
        <v/>
      </c>
      <c r="BY21" s="153">
        <f>IFERROR(VLOOKUP(BE21,$AF:$BB,23,0),0)</f>
        <v/>
      </c>
    </row>
    <row customHeight="1" ht="15.75" r="22" s="183" spans="1:77" thickBot="1">
      <c r="B22" s="72" t="n">
        <v>360</v>
      </c>
      <c r="C22" s="72" t="s">
        <v>140</v>
      </c>
      <c r="D22" s="126">
        <f>IF(VLOOKUP(Resumen!C22,Análisis!B:AN,15,0)=0,"Sin cambios",VLOOKUP(Resumen!C22,Análisis!B:AN,15,0))</f>
        <v/>
      </c>
      <c r="E22" s="126">
        <f>IF(VLOOKUP(Resumen!C22,Análisis!B:AN,27,0)=0,"Sin cambios",VLOOKUP(Resumen!C22,Análisis!B:AN,27,0))</f>
        <v/>
      </c>
      <c r="F22" s="126">
        <f>IF(VLOOKUP(Resumen!C22,Análisis!B:AN,39,0)=0,"Sin cambios",VLOOKUP(Resumen!C22,Análisis!B:AN,39,0))</f>
        <v/>
      </c>
      <c r="G22" s="126">
        <f>IF(AND(D22="Sin cambios",E22="Sin cambios",F22="Sin cambios")=TRUE,"No","Sí")</f>
        <v/>
      </c>
      <c r="J22" s="276">
        <f>J2</f>
        <v/>
      </c>
      <c r="Q22" s="276">
        <f>Q2</f>
        <v/>
      </c>
      <c r="X22" s="277">
        <f>X2</f>
        <v/>
      </c>
      <c r="AF22" s="127" t="s">
        <v>85</v>
      </c>
      <c r="AG22" s="129" t="s">
        <v>239</v>
      </c>
      <c r="AH22" s="362">
        <f>VLOOKUP(AF22,Análisis!$B:$AN,4,0)</f>
        <v/>
      </c>
      <c r="AI22" s="363">
        <f>IF(VLOOKUP(AF22,Análisis!$B:$AN,15,0)=0,"Sin cambios",VLOOKUP(AF22,Análisis!$B:$AN,15,0))</f>
        <v/>
      </c>
      <c r="AJ22" s="364">
        <f>VLOOKUP(AF22,Análisis!$B:$AN,5,0)</f>
        <v/>
      </c>
      <c r="AK22" s="363">
        <f>VLOOKUP(AF22,Análisis!$B:$AN,6,0)</f>
        <v/>
      </c>
      <c r="AL22" s="364">
        <f>VLOOKUP(AF22,Análisis!$B:$AN,7,0)</f>
        <v/>
      </c>
      <c r="AM22" s="363">
        <f>VLOOKUP(AF22,Análisis!$B:$AN,8,0)</f>
        <v/>
      </c>
      <c r="AN22" s="365">
        <f>VLOOKUP(AF22,Análisis!$B:$AN,9,0)</f>
        <v/>
      </c>
      <c r="AO22" s="362">
        <f>VLOOKUP(AF22,Análisis!$B:$AN,16,0)</f>
        <v/>
      </c>
      <c r="AP22" s="363">
        <f>IF(VLOOKUP(AF22,Análisis!$B:$AN,27,0)=0,"Sin cambios",VLOOKUP(AF22,Análisis!$B:$AN,27,0))</f>
        <v/>
      </c>
      <c r="AQ22" s="364">
        <f>VLOOKUP(AF22,Análisis!$B:$AN,17,0)</f>
        <v/>
      </c>
      <c r="AR22" s="363">
        <f>VLOOKUP(AF22,Análisis!$B:$AN,18,0)</f>
        <v/>
      </c>
      <c r="AS22" s="364">
        <f>VLOOKUP(AF22,Análisis!$B:$AN,19,0)</f>
        <v/>
      </c>
      <c r="AT22" s="363">
        <f>VLOOKUP(AF22,Análisis!$B:$AN,20,0)</f>
        <v/>
      </c>
      <c r="AU22" s="365">
        <f>VLOOKUP(AF22,Análisis!$B:$AN,21,0)</f>
        <v/>
      </c>
      <c r="AV22" s="362">
        <f>VLOOKUP(AF22,Análisis!$B:$AN,28,0)</f>
        <v/>
      </c>
      <c r="AW22" s="363">
        <f>IF(VLOOKUP(AF22,Análisis!$B:$AN,39,0)=0,"Sin cambios",VLOOKUP(AF22,Análisis!$B:$AN,39,0))</f>
        <v/>
      </c>
      <c r="AX22" s="364">
        <f>VLOOKUP(AF22,Análisis!$B:$AN,29,0)</f>
        <v/>
      </c>
      <c r="AY22" s="363">
        <f>VLOOKUP(AF22,Análisis!$B:$AN,30,0)</f>
        <v/>
      </c>
      <c r="AZ22" s="364">
        <f>VLOOKUP(AF22,Análisis!$B:$AN,31,0)</f>
        <v/>
      </c>
      <c r="BA22" s="363">
        <f>VLOOKUP(AF22,Análisis!$B:$AN,32,0)</f>
        <v/>
      </c>
      <c r="BB22" s="365">
        <f>VLOOKUP(AF22,Análisis!$B:$AN,33,0)</f>
        <v/>
      </c>
      <c r="BE22" s="165" t="s">
        <v>83</v>
      </c>
      <c r="BF22" s="294" t="s">
        <v>324</v>
      </c>
      <c r="BH22" s="353">
        <f>IFERROR(VLOOKUP(BE22,$AF:$BB,3,0),0)</f>
        <v/>
      </c>
      <c r="BI22" s="167">
        <f>IFERROR(VLOOKUP(BE22,$AF:$BB,5,0),0)</f>
        <v/>
      </c>
      <c r="BJ22" s="354">
        <f>IFERROR(VLOOKUP(BE22,$AF:$BB,6,0),0)</f>
        <v/>
      </c>
      <c r="BK22" s="153">
        <f>IFERROR(VLOOKUP(BE22,$AF:$BB,7,0),0)</f>
        <v/>
      </c>
      <c r="BL22" s="355">
        <f>IFERROR(VLOOKUP(BE22,$AF:$BB,8,0),0)</f>
        <v/>
      </c>
      <c r="BM22" s="153">
        <f>IFERROR(VLOOKUP(BE22,$AF:$BB,9,0),0)</f>
        <v/>
      </c>
      <c r="BN22" s="353">
        <f>IFERROR(VLOOKUP(BE22,$AF:$BB,10,0),0)</f>
        <v/>
      </c>
      <c r="BO22" s="167">
        <f>IFERROR(VLOOKUP(BE22,$AF:$BB,12,0),0)</f>
        <v/>
      </c>
      <c r="BP22" s="354">
        <f>IFERROR(VLOOKUP(BE22,$AF:$BB,13,0),0)</f>
        <v/>
      </c>
      <c r="BQ22" s="153">
        <f>IFERROR(VLOOKUP(BE22,$AF:$BB,14,0),0)</f>
        <v/>
      </c>
      <c r="BR22" s="355">
        <f>IFERROR(VLOOKUP(BE22,$AF:$BB,15,0),0)</f>
        <v/>
      </c>
      <c r="BS22" s="153">
        <f>IFERROR(VLOOKUP(BE22,$AF:$BB,16,0),0)</f>
        <v/>
      </c>
      <c r="BT22" s="353">
        <f>IFERROR(VLOOKUP(BE22,$AF:$BB,17,0),0)</f>
        <v/>
      </c>
      <c r="BU22" s="167">
        <f>IFERROR(VLOOKUP(BE22,$AF:$BB,19,0),0)</f>
        <v/>
      </c>
      <c r="BV22" s="354">
        <f>IFERROR(VLOOKUP(BE22,$AF:$BB,20,0),0)</f>
        <v/>
      </c>
      <c r="BW22" s="153">
        <f>IFERROR(VLOOKUP(BE22,$AF:$BB,21,0),0)</f>
        <v/>
      </c>
      <c r="BX22" s="355">
        <f>IFERROR(VLOOKUP(BE22,$AF:$BB,22,0),0)</f>
        <v/>
      </c>
      <c r="BY22" s="153">
        <f>IFERROR(VLOOKUP(BE22,$AF:$BB,23,0),0)</f>
        <v/>
      </c>
    </row>
    <row customHeight="1" ht="15.75" r="23" s="183" spans="1:77" thickBot="1">
      <c r="B23" s="72" t="n">
        <v>326</v>
      </c>
      <c r="C23" s="72" t="s">
        <v>112</v>
      </c>
      <c r="D23" s="126">
        <f>IF(VLOOKUP(Resumen!C23,Análisis!B:AN,15,0)=0,"Sin cambios",VLOOKUP(Resumen!C23,Análisis!B:AN,15,0))</f>
        <v/>
      </c>
      <c r="E23" s="126">
        <f>IF(VLOOKUP(Resumen!C23,Análisis!B:AN,27,0)=0,"Sin cambios",VLOOKUP(Resumen!C23,Análisis!B:AN,27,0))</f>
        <v/>
      </c>
      <c r="F23" s="126">
        <f>IF(VLOOKUP(Resumen!C23,Análisis!B:AN,39,0)=0,"Sin cambios",VLOOKUP(Resumen!C23,Análisis!B:AN,39,0))</f>
        <v/>
      </c>
      <c r="G23" s="126">
        <f>IF(AND(D23="Sin cambios",E23="Sin cambios",F23="Sin cambios")=TRUE,"No","Sí")</f>
        <v/>
      </c>
      <c r="J23" s="281" t="s">
        <v>280</v>
      </c>
      <c r="M23" s="284" t="s">
        <v>281</v>
      </c>
      <c r="O23" s="285" t="s">
        <v>282</v>
      </c>
      <c r="Q23" s="274" t="s">
        <v>280</v>
      </c>
      <c r="T23" s="271" t="s">
        <v>281</v>
      </c>
      <c r="V23" s="272" t="s">
        <v>282</v>
      </c>
      <c r="X23" s="269" t="s">
        <v>280</v>
      </c>
      <c r="AA23" s="271" t="s">
        <v>281</v>
      </c>
      <c r="AC23" s="272" t="s">
        <v>282</v>
      </c>
      <c r="AF23" s="127" t="s">
        <v>231</v>
      </c>
      <c r="AG23" s="129" t="s">
        <v>227</v>
      </c>
      <c r="AH23" s="362">
        <f>VLOOKUP(AF23,Análisis!$B:$AN,4,0)</f>
        <v/>
      </c>
      <c r="AI23" s="363">
        <f>IF(VLOOKUP(AF23,Análisis!$B:$AN,15,0)=0,"Sin cambios",VLOOKUP(AF23,Análisis!$B:$AN,15,0))</f>
        <v/>
      </c>
      <c r="AJ23" s="364">
        <f>VLOOKUP(AF23,Análisis!$B:$AN,5,0)</f>
        <v/>
      </c>
      <c r="AK23" s="363">
        <f>VLOOKUP(AF23,Análisis!$B:$AN,6,0)</f>
        <v/>
      </c>
      <c r="AL23" s="364">
        <f>VLOOKUP(AF23,Análisis!$B:$AN,7,0)</f>
        <v/>
      </c>
      <c r="AM23" s="363">
        <f>VLOOKUP(AF23,Análisis!$B:$AN,8,0)</f>
        <v/>
      </c>
      <c r="AN23" s="365">
        <f>VLOOKUP(AF23,Análisis!$B:$AN,9,0)</f>
        <v/>
      </c>
      <c r="AO23" s="362">
        <f>VLOOKUP(AF23,Análisis!$B:$AN,16,0)</f>
        <v/>
      </c>
      <c r="AP23" s="363">
        <f>IF(VLOOKUP(AF23,Análisis!$B:$AN,27,0)=0,"Sin cambios",VLOOKUP(AF23,Análisis!$B:$AN,27,0))</f>
        <v/>
      </c>
      <c r="AQ23" s="364">
        <f>VLOOKUP(AF23,Análisis!$B:$AN,17,0)</f>
        <v/>
      </c>
      <c r="AR23" s="363">
        <f>VLOOKUP(AF23,Análisis!$B:$AN,18,0)</f>
        <v/>
      </c>
      <c r="AS23" s="364">
        <f>VLOOKUP(AF23,Análisis!$B:$AN,19,0)</f>
        <v/>
      </c>
      <c r="AT23" s="363">
        <f>VLOOKUP(AF23,Análisis!$B:$AN,20,0)</f>
        <v/>
      </c>
      <c r="AU23" s="365">
        <f>VLOOKUP(AF23,Análisis!$B:$AN,21,0)</f>
        <v/>
      </c>
      <c r="AV23" s="362">
        <f>VLOOKUP(AF23,Análisis!$B:$AN,28,0)</f>
        <v/>
      </c>
      <c r="AW23" s="363">
        <f>IF(VLOOKUP(AF23,Análisis!$B:$AN,39,0)=0,"Sin cambios",VLOOKUP(AF23,Análisis!$B:$AN,39,0))</f>
        <v/>
      </c>
      <c r="AX23" s="364">
        <f>VLOOKUP(AF23,Análisis!$B:$AN,29,0)</f>
        <v/>
      </c>
      <c r="AY23" s="363">
        <f>VLOOKUP(AF23,Análisis!$B:$AN,30,0)</f>
        <v/>
      </c>
      <c r="AZ23" s="364">
        <f>VLOOKUP(AF23,Análisis!$B:$AN,31,0)</f>
        <v/>
      </c>
      <c r="BA23" s="363">
        <f>VLOOKUP(AF23,Análisis!$B:$AN,32,0)</f>
        <v/>
      </c>
      <c r="BB23" s="365">
        <f>VLOOKUP(AF23,Análisis!$B:$AN,33,0)</f>
        <v/>
      </c>
      <c r="BE23" s="165" t="s">
        <v>98</v>
      </c>
      <c r="BF23" s="294" t="s">
        <v>325</v>
      </c>
      <c r="BH23" s="353">
        <f>IFERROR(VLOOKUP(BE23,$AF:$BB,3,0),0)</f>
        <v/>
      </c>
      <c r="BI23" s="167">
        <f>IFERROR(VLOOKUP(BE23,$AF:$BB,5,0),0)</f>
        <v/>
      </c>
      <c r="BJ23" s="354">
        <f>IFERROR(VLOOKUP(BE23,$AF:$BB,6,0),0)</f>
        <v/>
      </c>
      <c r="BK23" s="153">
        <f>IFERROR(VLOOKUP(BE23,$AF:$BB,7,0),0)</f>
        <v/>
      </c>
      <c r="BL23" s="355">
        <f>IFERROR(VLOOKUP(BE23,$AF:$BB,8,0),0)</f>
        <v/>
      </c>
      <c r="BM23" s="153">
        <f>IFERROR(VLOOKUP(BE23,$AF:$BB,9,0),0)</f>
        <v/>
      </c>
      <c r="BN23" s="353">
        <f>IFERROR(VLOOKUP(BE23,$AF:$BB,10,0),0)</f>
        <v/>
      </c>
      <c r="BO23" s="167">
        <f>IFERROR(VLOOKUP(BE23,$AF:$BB,12,0),0)</f>
        <v/>
      </c>
      <c r="BP23" s="354">
        <f>IFERROR(VLOOKUP(BE23,$AF:$BB,13,0),0)</f>
        <v/>
      </c>
      <c r="BQ23" s="153">
        <f>IFERROR(VLOOKUP(BE23,$AF:$BB,14,0),0)</f>
        <v/>
      </c>
      <c r="BR23" s="355">
        <f>IFERROR(VLOOKUP(BE23,$AF:$BB,15,0),0)</f>
        <v/>
      </c>
      <c r="BS23" s="153">
        <f>IFERROR(VLOOKUP(BE23,$AF:$BB,16,0),0)</f>
        <v/>
      </c>
      <c r="BT23" s="353">
        <f>IFERROR(VLOOKUP(BE23,$AF:$BB,17,0),0)</f>
        <v/>
      </c>
      <c r="BU23" s="167">
        <f>IFERROR(VLOOKUP(BE23,$AF:$BB,19,0),0)</f>
        <v/>
      </c>
      <c r="BV23" s="354">
        <f>IFERROR(VLOOKUP(BE23,$AF:$BB,20,0),0)</f>
        <v/>
      </c>
      <c r="BW23" s="153">
        <f>IFERROR(VLOOKUP(BE23,$AF:$BB,21,0),0)</f>
        <v/>
      </c>
      <c r="BX23" s="355">
        <f>IFERROR(VLOOKUP(BE23,$AF:$BB,22,0),0)</f>
        <v/>
      </c>
      <c r="BY23" s="153">
        <f>IFERROR(VLOOKUP(BE23,$AF:$BB,23,0),0)</f>
        <v/>
      </c>
    </row>
    <row customHeight="1" ht="35.1" r="24" s="183" spans="1:77" thickBot="1">
      <c r="B24" s="72" t="n">
        <v>324</v>
      </c>
      <c r="C24" s="72" t="s">
        <v>111</v>
      </c>
      <c r="D24" s="126">
        <f>IF(VLOOKUP(Resumen!C24,Análisis!B:AN,15,0)=0,"Sin cambios",VLOOKUP(Resumen!C24,Análisis!B:AN,15,0))</f>
        <v/>
      </c>
      <c r="E24" s="126">
        <f>IF(VLOOKUP(Resumen!C24,Análisis!B:AN,27,0)=0,"Sin cambios",VLOOKUP(Resumen!C24,Análisis!B:AN,27,0))</f>
        <v/>
      </c>
      <c r="F24" s="126">
        <f>IF(VLOOKUP(Resumen!C24,Análisis!B:AN,39,0)=0,"Sin cambios",VLOOKUP(Resumen!C24,Análisis!B:AN,39,0))</f>
        <v/>
      </c>
      <c r="G24" s="126">
        <f>IF(AND(D24="Sin cambios",E24="Sin cambios",F24="Sin cambios")=TRUE,"No","Sí")</f>
        <v/>
      </c>
      <c r="I24" s="41" t="s">
        <v>326</v>
      </c>
      <c r="J24" s="334" t="s">
        <v>301</v>
      </c>
      <c r="K24" s="334" t="s">
        <v>302</v>
      </c>
      <c r="L24" s="335" t="s">
        <v>286</v>
      </c>
      <c r="M24" s="336" t="s">
        <v>285</v>
      </c>
      <c r="N24" s="335" t="s">
        <v>286</v>
      </c>
      <c r="O24" s="336" t="s">
        <v>285</v>
      </c>
      <c r="P24" s="335" t="s">
        <v>286</v>
      </c>
      <c r="Q24" s="334" t="s">
        <v>301</v>
      </c>
      <c r="R24" s="334" t="s">
        <v>302</v>
      </c>
      <c r="S24" s="335" t="s">
        <v>286</v>
      </c>
      <c r="T24" s="336" t="s">
        <v>285</v>
      </c>
      <c r="U24" s="335" t="s">
        <v>286</v>
      </c>
      <c r="V24" s="336" t="s">
        <v>285</v>
      </c>
      <c r="W24" s="335" t="s">
        <v>286</v>
      </c>
      <c r="X24" s="334" t="s">
        <v>301</v>
      </c>
      <c r="Y24" s="334" t="s">
        <v>302</v>
      </c>
      <c r="Z24" s="335" t="s">
        <v>286</v>
      </c>
      <c r="AA24" s="336" t="s">
        <v>285</v>
      </c>
      <c r="AB24" s="335" t="s">
        <v>286</v>
      </c>
      <c r="AC24" s="336" t="s">
        <v>285</v>
      </c>
      <c r="AD24" s="337" t="s">
        <v>286</v>
      </c>
      <c r="AF24" s="127" t="s">
        <v>222</v>
      </c>
      <c r="AG24" s="129" t="s">
        <v>227</v>
      </c>
      <c r="AH24" s="362">
        <f>VLOOKUP(AF24,Análisis!$B:$AN,4,0)</f>
        <v/>
      </c>
      <c r="AI24" s="363">
        <f>IF(VLOOKUP(AF24,Análisis!$B:$AN,15,0)=0,"Sin cambios",VLOOKUP(AF24,Análisis!$B:$AN,15,0))</f>
        <v/>
      </c>
      <c r="AJ24" s="364">
        <f>VLOOKUP(AF24,Análisis!$B:$AN,5,0)</f>
        <v/>
      </c>
      <c r="AK24" s="363">
        <f>VLOOKUP(AF24,Análisis!$B:$AN,6,0)</f>
        <v/>
      </c>
      <c r="AL24" s="364">
        <f>VLOOKUP(AF24,Análisis!$B:$AN,7,0)</f>
        <v/>
      </c>
      <c r="AM24" s="363">
        <f>VLOOKUP(AF24,Análisis!$B:$AN,8,0)</f>
        <v/>
      </c>
      <c r="AN24" s="365">
        <f>VLOOKUP(AF24,Análisis!$B:$AN,9,0)</f>
        <v/>
      </c>
      <c r="AO24" s="362">
        <f>VLOOKUP(AF24,Análisis!$B:$AN,16,0)</f>
        <v/>
      </c>
      <c r="AP24" s="363">
        <f>IF(VLOOKUP(AF24,Análisis!$B:$AN,27,0)=0,"Sin cambios",VLOOKUP(AF24,Análisis!$B:$AN,27,0))</f>
        <v/>
      </c>
      <c r="AQ24" s="364">
        <f>VLOOKUP(AF24,Análisis!$B:$AN,17,0)</f>
        <v/>
      </c>
      <c r="AR24" s="363">
        <f>VLOOKUP(AF24,Análisis!$B:$AN,18,0)</f>
        <v/>
      </c>
      <c r="AS24" s="364">
        <f>VLOOKUP(AF24,Análisis!$B:$AN,19,0)</f>
        <v/>
      </c>
      <c r="AT24" s="363">
        <f>VLOOKUP(AF24,Análisis!$B:$AN,20,0)</f>
        <v/>
      </c>
      <c r="AU24" s="365">
        <f>VLOOKUP(AF24,Análisis!$B:$AN,21,0)</f>
        <v/>
      </c>
      <c r="AV24" s="362">
        <f>VLOOKUP(AF24,Análisis!$B:$AN,28,0)</f>
        <v/>
      </c>
      <c r="AW24" s="363">
        <f>IF(VLOOKUP(AF24,Análisis!$B:$AN,39,0)=0,"Sin cambios",VLOOKUP(AF24,Análisis!$B:$AN,39,0))</f>
        <v/>
      </c>
      <c r="AX24" s="364">
        <f>VLOOKUP(AF24,Análisis!$B:$AN,29,0)</f>
        <v/>
      </c>
      <c r="AY24" s="363">
        <f>VLOOKUP(AF24,Análisis!$B:$AN,30,0)</f>
        <v/>
      </c>
      <c r="AZ24" s="364">
        <f>VLOOKUP(AF24,Análisis!$B:$AN,31,0)</f>
        <v/>
      </c>
      <c r="BA24" s="363">
        <f>VLOOKUP(AF24,Análisis!$B:$AN,32,0)</f>
        <v/>
      </c>
      <c r="BB24" s="365">
        <f>VLOOKUP(AF24,Análisis!$B:$AN,33,0)</f>
        <v/>
      </c>
      <c r="BE24" s="165" t="s">
        <v>104</v>
      </c>
      <c r="BF24" s="294" t="s">
        <v>327</v>
      </c>
      <c r="BH24" s="353">
        <f>IFERROR(VLOOKUP(BE24,$AF:$BB,3,0),0)</f>
        <v/>
      </c>
      <c r="BI24" s="167">
        <f>IFERROR(VLOOKUP(BE24,$AF:$BB,5,0),0)</f>
        <v/>
      </c>
      <c r="BJ24" s="354">
        <f>IFERROR(VLOOKUP(BE24,$AF:$BB,6,0),0)</f>
        <v/>
      </c>
      <c r="BK24" s="153">
        <f>IFERROR(VLOOKUP(BE24,$AF:$BB,7,0),0)</f>
        <v/>
      </c>
      <c r="BL24" s="355">
        <f>IFERROR(VLOOKUP(BE24,$AF:$BB,8,0),0)</f>
        <v/>
      </c>
      <c r="BM24" s="153">
        <f>IFERROR(VLOOKUP(BE24,$AF:$BB,9,0),0)</f>
        <v/>
      </c>
      <c r="BN24" s="353">
        <f>IFERROR(VLOOKUP(BE24,$AF:$BB,10,0),0)</f>
        <v/>
      </c>
      <c r="BO24" s="167">
        <f>IFERROR(VLOOKUP(BE24,$AF:$BB,12,0),0)</f>
        <v/>
      </c>
      <c r="BP24" s="354">
        <f>IFERROR(VLOOKUP(BE24,$AF:$BB,13,0),0)</f>
        <v/>
      </c>
      <c r="BQ24" s="153">
        <f>IFERROR(VLOOKUP(BE24,$AF:$BB,14,0),0)</f>
        <v/>
      </c>
      <c r="BR24" s="355">
        <f>IFERROR(VLOOKUP(BE24,$AF:$BB,15,0),0)</f>
        <v/>
      </c>
      <c r="BS24" s="153">
        <f>IFERROR(VLOOKUP(BE24,$AF:$BB,16,0),0)</f>
        <v/>
      </c>
      <c r="BT24" s="353">
        <f>IFERROR(VLOOKUP(BE24,$AF:$BB,17,0),0)</f>
        <v/>
      </c>
      <c r="BU24" s="167">
        <f>IFERROR(VLOOKUP(BE24,$AF:$BB,19,0),0)</f>
        <v/>
      </c>
      <c r="BV24" s="354">
        <f>IFERROR(VLOOKUP(BE24,$AF:$BB,20,0),0)</f>
        <v/>
      </c>
      <c r="BW24" s="153">
        <f>IFERROR(VLOOKUP(BE24,$AF:$BB,21,0),0)</f>
        <v/>
      </c>
      <c r="BX24" s="355">
        <f>IFERROR(VLOOKUP(BE24,$AF:$BB,22,0),0)</f>
        <v/>
      </c>
      <c r="BY24" s="153">
        <f>IFERROR(VLOOKUP(BE24,$AF:$BB,23,0),0)</f>
        <v/>
      </c>
    </row>
    <row r="25" spans="1:77">
      <c r="B25" s="72" t="n">
        <v>342</v>
      </c>
      <c r="C25" s="72" t="s">
        <v>125</v>
      </c>
      <c r="D25" s="126">
        <f>IF(VLOOKUP(Resumen!C25,Análisis!B:AN,15,0)=0,"Sin cambios",VLOOKUP(Resumen!C25,Análisis!B:AN,15,0))</f>
        <v/>
      </c>
      <c r="E25" s="126">
        <f>IF(VLOOKUP(Resumen!C25,Análisis!B:AN,27,0)=0,"Sin cambios",VLOOKUP(Resumen!C25,Análisis!B:AN,27,0))</f>
        <v/>
      </c>
      <c r="F25" s="126">
        <f>IF(VLOOKUP(Resumen!C25,Análisis!B:AN,39,0)=0,"Sin cambios",VLOOKUP(Resumen!C25,Análisis!B:AN,39,0))</f>
        <v/>
      </c>
      <c r="G25" s="126">
        <f>IF(AND(D25="Sin cambios",E25="Sin cambios",F25="Sin cambios")=TRUE,"No","Sí")</f>
        <v/>
      </c>
      <c r="I25" s="75">
        <f>Base!B10</f>
        <v/>
      </c>
      <c r="J25" s="343">
        <f>VLOOKUP(I25,Análisis!B:AN,4,0)</f>
        <v/>
      </c>
      <c r="K25" s="344">
        <f>IF(VLOOKUP(I25,Análisis!B:AN,15,0)=0,"Sin cambios",VLOOKUP(I25,Análisis!B:AN,15,0))</f>
        <v/>
      </c>
      <c r="L25" s="345">
        <f>VLOOKUP(I25,Análisis!B:AN,5,0)</f>
        <v/>
      </c>
      <c r="M25" s="344">
        <f>VLOOKUP(I25,Análisis!B:AN,6,0)</f>
        <v/>
      </c>
      <c r="N25" s="345">
        <f>VLOOKUP(I25,Análisis!B:AN,7,0)</f>
        <v/>
      </c>
      <c r="O25" s="344">
        <f>VLOOKUP(I25,Análisis!B:AN,8,0)</f>
        <v/>
      </c>
      <c r="P25" s="346">
        <f>VLOOKUP(I25,Análisis!B:AN,9,0)</f>
        <v/>
      </c>
      <c r="Q25" s="343">
        <f>VLOOKUP(I25,Análisis!B:AN,16,0)</f>
        <v/>
      </c>
      <c r="R25" s="347">
        <f>IF(VLOOKUP(I25,Análisis!B:AN,27,0)=0,"Sin cambios",VLOOKUP(I25,Análisis!B:AN,27,0))</f>
        <v/>
      </c>
      <c r="S25" s="345">
        <f>VLOOKUP(I25,Análisis!B:AN,17,0)</f>
        <v/>
      </c>
      <c r="T25" s="344">
        <f>VLOOKUP(I25,Análisis!B:AN,18,0)</f>
        <v/>
      </c>
      <c r="U25" s="345">
        <f>VLOOKUP(I25,Análisis!B:AN,19,0)</f>
        <v/>
      </c>
      <c r="V25" s="344">
        <f>VLOOKUP(I25,Análisis!B:AN,20,0)</f>
        <v/>
      </c>
      <c r="W25" s="348">
        <f>VLOOKUP(I25,Análisis!B:AN,21,0)</f>
        <v/>
      </c>
      <c r="X25" s="347">
        <f>VLOOKUP(I25,Análisis!B:AN,28,0)</f>
        <v/>
      </c>
      <c r="Y25" s="347">
        <f>IF(VLOOKUP(I25,Análisis!B:AN,39,0)=0,"Sin cambios",VLOOKUP(I25,Análisis!B:AN,39,0))</f>
        <v/>
      </c>
      <c r="Z25" s="345">
        <f>VLOOKUP(I25,Análisis!B:AN,29,0)</f>
        <v/>
      </c>
      <c r="AA25" s="344">
        <f>VLOOKUP(I25,Análisis!B:AN,30,0)</f>
        <v/>
      </c>
      <c r="AB25" s="345">
        <f>VLOOKUP(I25,Análisis!B:AN,31,0)</f>
        <v/>
      </c>
      <c r="AC25" s="344">
        <f>VLOOKUP(I25,Análisis!B:AN,32,0)</f>
        <v/>
      </c>
      <c r="AD25" s="348">
        <f>VLOOKUP(I25,Análisis!B:AN,33,0)</f>
        <v/>
      </c>
      <c r="AF25" s="127" t="s">
        <v>250</v>
      </c>
      <c r="AG25" s="129" t="s">
        <v>227</v>
      </c>
      <c r="AH25" s="362">
        <f>VLOOKUP(AF25,Análisis!$B:$AN,4,0)</f>
        <v/>
      </c>
      <c r="AI25" s="363">
        <f>IF(VLOOKUP(AF25,Análisis!$B:$AN,15,0)=0,"Sin cambios",VLOOKUP(AF25,Análisis!$B:$AN,15,0))</f>
        <v/>
      </c>
      <c r="AJ25" s="364">
        <f>VLOOKUP(AF25,Análisis!$B:$AN,5,0)</f>
        <v/>
      </c>
      <c r="AK25" s="363">
        <f>VLOOKUP(AF25,Análisis!$B:$AN,6,0)</f>
        <v/>
      </c>
      <c r="AL25" s="364">
        <f>VLOOKUP(AF25,Análisis!$B:$AN,7,0)</f>
        <v/>
      </c>
      <c r="AM25" s="363">
        <f>VLOOKUP(AF25,Análisis!$B:$AN,8,0)</f>
        <v/>
      </c>
      <c r="AN25" s="365">
        <f>VLOOKUP(AF25,Análisis!$B:$AN,9,0)</f>
        <v/>
      </c>
      <c r="AO25" s="362">
        <f>VLOOKUP(AF25,Análisis!$B:$AN,16,0)</f>
        <v/>
      </c>
      <c r="AP25" s="363">
        <f>IF(VLOOKUP(AF25,Análisis!$B:$AN,27,0)=0,"Sin cambios",VLOOKUP(AF25,Análisis!$B:$AN,27,0))</f>
        <v/>
      </c>
      <c r="AQ25" s="364">
        <f>VLOOKUP(AF25,Análisis!$B:$AN,17,0)</f>
        <v/>
      </c>
      <c r="AR25" s="363">
        <f>VLOOKUP(AF25,Análisis!$B:$AN,18,0)</f>
        <v/>
      </c>
      <c r="AS25" s="364">
        <f>VLOOKUP(AF25,Análisis!$B:$AN,19,0)</f>
        <v/>
      </c>
      <c r="AT25" s="363">
        <f>VLOOKUP(AF25,Análisis!$B:$AN,20,0)</f>
        <v/>
      </c>
      <c r="AU25" s="365">
        <f>VLOOKUP(AF25,Análisis!$B:$AN,21,0)</f>
        <v/>
      </c>
      <c r="AV25" s="362">
        <f>VLOOKUP(AF25,Análisis!$B:$AN,28,0)</f>
        <v/>
      </c>
      <c r="AW25" s="363">
        <f>IF(VLOOKUP(AF25,Análisis!$B:$AN,39,0)=0,"Sin cambios",VLOOKUP(AF25,Análisis!$B:$AN,39,0))</f>
        <v/>
      </c>
      <c r="AX25" s="364">
        <f>VLOOKUP(AF25,Análisis!$B:$AN,29,0)</f>
        <v/>
      </c>
      <c r="AY25" s="363">
        <f>VLOOKUP(AF25,Análisis!$B:$AN,30,0)</f>
        <v/>
      </c>
      <c r="AZ25" s="364">
        <f>VLOOKUP(AF25,Análisis!$B:$AN,31,0)</f>
        <v/>
      </c>
      <c r="BA25" s="363">
        <f>VLOOKUP(AF25,Análisis!$B:$AN,32,0)</f>
        <v/>
      </c>
      <c r="BB25" s="365">
        <f>VLOOKUP(AF25,Análisis!$B:$AN,33,0)</f>
        <v/>
      </c>
      <c r="BE25" s="165" t="s">
        <v>231</v>
      </c>
      <c r="BF25" s="294" t="s">
        <v>328</v>
      </c>
      <c r="BH25" s="353">
        <f>IFERROR(VLOOKUP(BE25,$AF:$BB,3,0),0)</f>
        <v/>
      </c>
      <c r="BI25" s="167">
        <f>IFERROR(VLOOKUP(BE25,$AF:$BB,5,0),0)</f>
        <v/>
      </c>
      <c r="BJ25" s="354">
        <f>IFERROR(VLOOKUP(BE25,$AF:$BB,6,0),0)</f>
        <v/>
      </c>
      <c r="BK25" s="153">
        <f>IFERROR(VLOOKUP(BE25,$AF:$BB,7,0),0)</f>
        <v/>
      </c>
      <c r="BL25" s="355">
        <f>IFERROR(VLOOKUP(BE25,$AF:$BB,8,0),0)</f>
        <v/>
      </c>
      <c r="BM25" s="153">
        <f>IFERROR(VLOOKUP(BE25,$AF:$BB,9,0),0)</f>
        <v/>
      </c>
      <c r="BN25" s="353">
        <f>IFERROR(VLOOKUP(BE25,$AF:$BB,10,0),0)</f>
        <v/>
      </c>
      <c r="BO25" s="167">
        <f>IFERROR(VLOOKUP(BE25,$AF:$BB,12,0),0)</f>
        <v/>
      </c>
      <c r="BP25" s="354">
        <f>IFERROR(VLOOKUP(BE25,$AF:$BB,13,0),0)</f>
        <v/>
      </c>
      <c r="BQ25" s="153">
        <f>IFERROR(VLOOKUP(BE25,$AF:$BB,14,0),0)</f>
        <v/>
      </c>
      <c r="BR25" s="355">
        <f>IFERROR(VLOOKUP(BE25,$AF:$BB,15,0),0)</f>
        <v/>
      </c>
      <c r="BS25" s="153">
        <f>IFERROR(VLOOKUP(BE25,$AF:$BB,16,0),0)</f>
        <v/>
      </c>
      <c r="BT25" s="353">
        <f>IFERROR(VLOOKUP(BE25,$AF:$BB,17,0),0)</f>
        <v/>
      </c>
      <c r="BU25" s="167">
        <f>IFERROR(VLOOKUP(BE25,$AF:$BB,19,0),0)</f>
        <v/>
      </c>
      <c r="BV25" s="354">
        <f>IFERROR(VLOOKUP(BE25,$AF:$BB,20,0),0)</f>
        <v/>
      </c>
      <c r="BW25" s="153">
        <f>IFERROR(VLOOKUP(BE25,$AF:$BB,21,0),0)</f>
        <v/>
      </c>
      <c r="BX25" s="355">
        <f>IFERROR(VLOOKUP(BE25,$AF:$BB,22,0),0)</f>
        <v/>
      </c>
      <c r="BY25" s="153">
        <f>IFERROR(VLOOKUP(BE25,$AF:$BB,23,0),0)</f>
        <v/>
      </c>
    </row>
    <row r="26" spans="1:77">
      <c r="B26" s="72" t="n">
        <v>330</v>
      </c>
      <c r="C26" s="72" t="s">
        <v>115</v>
      </c>
      <c r="D26" s="126">
        <f>IF(VLOOKUP(Resumen!C26,Análisis!B:AN,15,0)=0,"Sin cambios",VLOOKUP(Resumen!C26,Análisis!B:AN,15,0))</f>
        <v/>
      </c>
      <c r="E26" s="126">
        <f>IF(VLOOKUP(Resumen!C26,Análisis!B:AN,27,0)=0,"Sin cambios",VLOOKUP(Resumen!C26,Análisis!B:AN,27,0))</f>
        <v/>
      </c>
      <c r="F26" s="126">
        <f>IF(VLOOKUP(Resumen!C26,Análisis!B:AN,39,0)=0,"Sin cambios",VLOOKUP(Resumen!C26,Análisis!B:AN,39,0))</f>
        <v/>
      </c>
      <c r="G26" s="126">
        <f>IF(AND(D26="Sin cambios",E26="Sin cambios",F26="Sin cambios")=TRUE,"No","Sí")</f>
        <v/>
      </c>
      <c r="I26" s="76">
        <f>Base!B11</f>
        <v/>
      </c>
      <c r="J26" s="356">
        <f>VLOOKUP(I26,Análisis!B:AN,4,0)</f>
        <v/>
      </c>
      <c r="K26" s="357">
        <f>IF(VLOOKUP(I26,Análisis!B:AN,15,0)=0,"Sin cambios",VLOOKUP(I26,Análisis!B:AN,15,0))</f>
        <v/>
      </c>
      <c r="L26" s="358">
        <f>VLOOKUP(I26,Análisis!B:AN,5,0)</f>
        <v/>
      </c>
      <c r="M26" s="357">
        <f>VLOOKUP(I26,Análisis!B:AN,6,0)</f>
        <v/>
      </c>
      <c r="N26" s="358">
        <f>VLOOKUP(I26,Análisis!B:AN,7,0)</f>
        <v/>
      </c>
      <c r="O26" s="357">
        <f>VLOOKUP(I26,Análisis!B:AN,8,0)</f>
        <v/>
      </c>
      <c r="P26" s="359">
        <f>VLOOKUP(I26,Análisis!B:AN,9,0)</f>
        <v/>
      </c>
      <c r="Q26" s="356">
        <f>VLOOKUP(I26,Análisis!B:AN,16,0)</f>
        <v/>
      </c>
      <c r="R26" s="360">
        <f>IF(VLOOKUP(I26,Análisis!B:AN,27,0)=0,"Sin cambios",VLOOKUP(I26,Análisis!B:AN,27,0))</f>
        <v/>
      </c>
      <c r="S26" s="358">
        <f>VLOOKUP(I26,Análisis!B:AN,17,0)</f>
        <v/>
      </c>
      <c r="T26" s="357">
        <f>VLOOKUP(I26,Análisis!B:AN,18,0)</f>
        <v/>
      </c>
      <c r="U26" s="358">
        <f>VLOOKUP(I26,Análisis!B:AN,19,0)</f>
        <v/>
      </c>
      <c r="V26" s="357">
        <f>VLOOKUP(I26,Análisis!B:AN,20,0)</f>
        <v/>
      </c>
      <c r="W26" s="361">
        <f>VLOOKUP(I26,Análisis!B:AN,21,0)</f>
        <v/>
      </c>
      <c r="X26" s="360">
        <f>VLOOKUP(I26,Análisis!B:AN,28,0)</f>
        <v/>
      </c>
      <c r="Y26" s="360">
        <f>IF(VLOOKUP(I26,Análisis!B:AN,39,0)=0,"Sin cambios",VLOOKUP(I26,Análisis!B:AN,39,0))</f>
        <v/>
      </c>
      <c r="Z26" s="358">
        <f>VLOOKUP(I26,Análisis!B:AN,29,0)</f>
        <v/>
      </c>
      <c r="AA26" s="357">
        <f>VLOOKUP(I26,Análisis!B:AN,30,0)</f>
        <v/>
      </c>
      <c r="AB26" s="358">
        <f>VLOOKUP(I26,Análisis!B:AN,31,0)</f>
        <v/>
      </c>
      <c r="AC26" s="357">
        <f>VLOOKUP(I26,Análisis!B:AN,32,0)</f>
        <v/>
      </c>
      <c r="AD26" s="361">
        <f>VLOOKUP(I26,Análisis!B:AN,33,0)</f>
        <v/>
      </c>
      <c r="AF26" s="127" t="s">
        <v>94</v>
      </c>
      <c r="AG26" s="129" t="s">
        <v>227</v>
      </c>
      <c r="AH26" s="362">
        <f>VLOOKUP(AF26,Análisis!$B:$AN,4,0)</f>
        <v/>
      </c>
      <c r="AI26" s="363">
        <f>IF(VLOOKUP(AF26,Análisis!$B:$AN,15,0)=0,"Sin cambios",VLOOKUP(AF26,Análisis!$B:$AN,15,0))</f>
        <v/>
      </c>
      <c r="AJ26" s="364">
        <f>VLOOKUP(AF26,Análisis!$B:$AN,5,0)</f>
        <v/>
      </c>
      <c r="AK26" s="363">
        <f>VLOOKUP(AF26,Análisis!$B:$AN,6,0)</f>
        <v/>
      </c>
      <c r="AL26" s="364">
        <f>VLOOKUP(AF26,Análisis!$B:$AN,7,0)</f>
        <v/>
      </c>
      <c r="AM26" s="363">
        <f>VLOOKUP(AF26,Análisis!$B:$AN,8,0)</f>
        <v/>
      </c>
      <c r="AN26" s="365">
        <f>VLOOKUP(AF26,Análisis!$B:$AN,9,0)</f>
        <v/>
      </c>
      <c r="AO26" s="362">
        <f>VLOOKUP(AF26,Análisis!$B:$AN,16,0)</f>
        <v/>
      </c>
      <c r="AP26" s="363">
        <f>IF(VLOOKUP(AF26,Análisis!$B:$AN,27,0)=0,"Sin cambios",VLOOKUP(AF26,Análisis!$B:$AN,27,0))</f>
        <v/>
      </c>
      <c r="AQ26" s="364">
        <f>VLOOKUP(AF26,Análisis!$B:$AN,17,0)</f>
        <v/>
      </c>
      <c r="AR26" s="363">
        <f>VLOOKUP(AF26,Análisis!$B:$AN,18,0)</f>
        <v/>
      </c>
      <c r="AS26" s="364">
        <f>VLOOKUP(AF26,Análisis!$B:$AN,19,0)</f>
        <v/>
      </c>
      <c r="AT26" s="363">
        <f>VLOOKUP(AF26,Análisis!$B:$AN,20,0)</f>
        <v/>
      </c>
      <c r="AU26" s="365">
        <f>VLOOKUP(AF26,Análisis!$B:$AN,21,0)</f>
        <v/>
      </c>
      <c r="AV26" s="362">
        <f>VLOOKUP(AF26,Análisis!$B:$AN,28,0)</f>
        <v/>
      </c>
      <c r="AW26" s="363">
        <f>IF(VLOOKUP(AF26,Análisis!$B:$AN,39,0)=0,"Sin cambios",VLOOKUP(AF26,Análisis!$B:$AN,39,0))</f>
        <v/>
      </c>
      <c r="AX26" s="364">
        <f>VLOOKUP(AF26,Análisis!$B:$AN,29,0)</f>
        <v/>
      </c>
      <c r="AY26" s="363">
        <f>VLOOKUP(AF26,Análisis!$B:$AN,30,0)</f>
        <v/>
      </c>
      <c r="AZ26" s="364">
        <f>VLOOKUP(AF26,Análisis!$B:$AN,31,0)</f>
        <v/>
      </c>
      <c r="BA26" s="363">
        <f>VLOOKUP(AF26,Análisis!$B:$AN,32,0)</f>
        <v/>
      </c>
      <c r="BB26" s="365">
        <f>VLOOKUP(AF26,Análisis!$B:$AN,33,0)</f>
        <v/>
      </c>
      <c r="BE26" s="165" t="s">
        <v>222</v>
      </c>
      <c r="BF26" s="294" t="s">
        <v>329</v>
      </c>
      <c r="BH26" s="353">
        <f>IFERROR(VLOOKUP(BE26,$AF:$BB,3,0),0)</f>
        <v/>
      </c>
      <c r="BI26" s="167">
        <f>IFERROR(VLOOKUP(BE26,$AF:$BB,5,0),0)</f>
        <v/>
      </c>
      <c r="BJ26" s="354">
        <f>IFERROR(VLOOKUP(BE26,$AF:$BB,6,0),0)</f>
        <v/>
      </c>
      <c r="BK26" s="153">
        <f>IFERROR(VLOOKUP(BE26,$AF:$BB,7,0),0)</f>
        <v/>
      </c>
      <c r="BL26" s="355">
        <f>IFERROR(VLOOKUP(BE26,$AF:$BB,8,0),0)</f>
        <v/>
      </c>
      <c r="BM26" s="153">
        <f>IFERROR(VLOOKUP(BE26,$AF:$BB,9,0),0)</f>
        <v/>
      </c>
      <c r="BN26" s="353">
        <f>IFERROR(VLOOKUP(BE26,$AF:$BB,10,0),0)</f>
        <v/>
      </c>
      <c r="BO26" s="167">
        <f>IFERROR(VLOOKUP(BE26,$AF:$BB,12,0),0)</f>
        <v/>
      </c>
      <c r="BP26" s="354">
        <f>IFERROR(VLOOKUP(BE26,$AF:$BB,13,0),0)</f>
        <v/>
      </c>
      <c r="BQ26" s="153">
        <f>IFERROR(VLOOKUP(BE26,$AF:$BB,14,0),0)</f>
        <v/>
      </c>
      <c r="BR26" s="355">
        <f>IFERROR(VLOOKUP(BE26,$AF:$BB,15,0),0)</f>
        <v/>
      </c>
      <c r="BS26" s="153">
        <f>IFERROR(VLOOKUP(BE26,$AF:$BB,16,0),0)</f>
        <v/>
      </c>
      <c r="BT26" s="353">
        <f>IFERROR(VLOOKUP(BE26,$AF:$BB,17,0),0)</f>
        <v/>
      </c>
      <c r="BU26" s="167">
        <f>IFERROR(VLOOKUP(BE26,$AF:$BB,19,0),0)</f>
        <v/>
      </c>
      <c r="BV26" s="354">
        <f>IFERROR(VLOOKUP(BE26,$AF:$BB,20,0),0)</f>
        <v/>
      </c>
      <c r="BW26" s="153">
        <f>IFERROR(VLOOKUP(BE26,$AF:$BB,21,0),0)</f>
        <v/>
      </c>
      <c r="BX26" s="355">
        <f>IFERROR(VLOOKUP(BE26,$AF:$BB,22,0),0)</f>
        <v/>
      </c>
      <c r="BY26" s="153">
        <f>IFERROR(VLOOKUP(BE26,$AF:$BB,23,0),0)</f>
        <v/>
      </c>
    </row>
    <row r="27" spans="1:77">
      <c r="B27" s="72" t="n">
        <v>322</v>
      </c>
      <c r="C27" s="72" t="s">
        <v>110</v>
      </c>
      <c r="D27" s="126">
        <f>IF(VLOOKUP(Resumen!C27,Análisis!B:AN,15,0)=0,"Sin cambios",VLOOKUP(Resumen!C27,Análisis!B:AN,15,0))</f>
        <v/>
      </c>
      <c r="E27" s="126">
        <f>IF(VLOOKUP(Resumen!C27,Análisis!B:AN,27,0)=0,"Sin cambios",VLOOKUP(Resumen!C27,Análisis!B:AN,27,0))</f>
        <v/>
      </c>
      <c r="F27" s="126">
        <f>IF(VLOOKUP(Resumen!C27,Análisis!B:AN,39,0)=0,"Sin cambios",VLOOKUP(Resumen!C27,Análisis!B:AN,39,0))</f>
        <v/>
      </c>
      <c r="G27" s="126">
        <f>IF(AND(D27="Sin cambios",E27="Sin cambios",F27="Sin cambios")=TRUE,"No","Sí")</f>
        <v/>
      </c>
      <c r="I27" s="76">
        <f>Base!B12</f>
        <v/>
      </c>
      <c r="J27" s="356">
        <f>VLOOKUP(I27,Análisis!B:AN,4,0)</f>
        <v/>
      </c>
      <c r="K27" s="357">
        <f>IF(VLOOKUP(I27,Análisis!B:AN,15,0)=0,"Sin cambios",VLOOKUP(I27,Análisis!B:AN,15,0))</f>
        <v/>
      </c>
      <c r="L27" s="358">
        <f>VLOOKUP(I27,Análisis!B:AN,5,0)</f>
        <v/>
      </c>
      <c r="M27" s="357">
        <f>VLOOKUP(I27,Análisis!B:AN,6,0)</f>
        <v/>
      </c>
      <c r="N27" s="358">
        <f>VLOOKUP(I27,Análisis!B:AN,7,0)</f>
        <v/>
      </c>
      <c r="O27" s="357">
        <f>VLOOKUP(I27,Análisis!B:AN,8,0)</f>
        <v/>
      </c>
      <c r="P27" s="359">
        <f>VLOOKUP(I27,Análisis!B:AN,9,0)</f>
        <v/>
      </c>
      <c r="Q27" s="356">
        <f>VLOOKUP(I27,Análisis!B:AN,16,0)</f>
        <v/>
      </c>
      <c r="R27" s="360">
        <f>IF(VLOOKUP(I27,Análisis!B:AN,27,0)=0,"Sin cambios",VLOOKUP(I27,Análisis!B:AN,27,0))</f>
        <v/>
      </c>
      <c r="S27" s="358">
        <f>VLOOKUP(I27,Análisis!B:AN,17,0)</f>
        <v/>
      </c>
      <c r="T27" s="357">
        <f>VLOOKUP(I27,Análisis!B:AN,18,0)</f>
        <v/>
      </c>
      <c r="U27" s="358">
        <f>VLOOKUP(I27,Análisis!B:AN,19,0)</f>
        <v/>
      </c>
      <c r="V27" s="357">
        <f>VLOOKUP(I27,Análisis!B:AN,20,0)</f>
        <v/>
      </c>
      <c r="W27" s="361">
        <f>VLOOKUP(I27,Análisis!B:AN,21,0)</f>
        <v/>
      </c>
      <c r="X27" s="360">
        <f>VLOOKUP(I27,Análisis!B:AN,28,0)</f>
        <v/>
      </c>
      <c r="Y27" s="360">
        <f>IF(VLOOKUP(I27,Análisis!B:AN,39,0)=0,"Sin cambios",VLOOKUP(I27,Análisis!B:AN,39,0))</f>
        <v/>
      </c>
      <c r="Z27" s="358">
        <f>VLOOKUP(I27,Análisis!B:AN,29,0)</f>
        <v/>
      </c>
      <c r="AA27" s="357">
        <f>VLOOKUP(I27,Análisis!B:AN,30,0)</f>
        <v/>
      </c>
      <c r="AB27" s="358">
        <f>VLOOKUP(I27,Análisis!B:AN,31,0)</f>
        <v/>
      </c>
      <c r="AC27" s="357">
        <f>VLOOKUP(I27,Análisis!B:AN,32,0)</f>
        <v/>
      </c>
      <c r="AD27" s="361">
        <f>VLOOKUP(I27,Análisis!B:AN,33,0)</f>
        <v/>
      </c>
      <c r="AF27" s="127" t="s">
        <v>95</v>
      </c>
      <c r="AG27" s="129" t="s">
        <v>227</v>
      </c>
      <c r="AH27" s="362">
        <f>VLOOKUP(AF27,Análisis!$B:$AN,4,0)</f>
        <v/>
      </c>
      <c r="AI27" s="363">
        <f>IF(VLOOKUP(AF27,Análisis!$B:$AN,15,0)=0,"Sin cambios",VLOOKUP(AF27,Análisis!$B:$AN,15,0))</f>
        <v/>
      </c>
      <c r="AJ27" s="364">
        <f>VLOOKUP(AF27,Análisis!$B:$AN,5,0)</f>
        <v/>
      </c>
      <c r="AK27" s="363">
        <f>VLOOKUP(AF27,Análisis!$B:$AN,6,0)</f>
        <v/>
      </c>
      <c r="AL27" s="364">
        <f>VLOOKUP(AF27,Análisis!$B:$AN,7,0)</f>
        <v/>
      </c>
      <c r="AM27" s="363">
        <f>VLOOKUP(AF27,Análisis!$B:$AN,8,0)</f>
        <v/>
      </c>
      <c r="AN27" s="365">
        <f>VLOOKUP(AF27,Análisis!$B:$AN,9,0)</f>
        <v/>
      </c>
      <c r="AO27" s="362">
        <f>VLOOKUP(AF27,Análisis!$B:$AN,16,0)</f>
        <v/>
      </c>
      <c r="AP27" s="363">
        <f>IF(VLOOKUP(AF27,Análisis!$B:$AN,27,0)=0,"Sin cambios",VLOOKUP(AF27,Análisis!$B:$AN,27,0))</f>
        <v/>
      </c>
      <c r="AQ27" s="364">
        <f>VLOOKUP(AF27,Análisis!$B:$AN,17,0)</f>
        <v/>
      </c>
      <c r="AR27" s="363">
        <f>VLOOKUP(AF27,Análisis!$B:$AN,18,0)</f>
        <v/>
      </c>
      <c r="AS27" s="364">
        <f>VLOOKUP(AF27,Análisis!$B:$AN,19,0)</f>
        <v/>
      </c>
      <c r="AT27" s="363">
        <f>VLOOKUP(AF27,Análisis!$B:$AN,20,0)</f>
        <v/>
      </c>
      <c r="AU27" s="365">
        <f>VLOOKUP(AF27,Análisis!$B:$AN,21,0)</f>
        <v/>
      </c>
      <c r="AV27" s="362">
        <f>VLOOKUP(AF27,Análisis!$B:$AN,28,0)</f>
        <v/>
      </c>
      <c r="AW27" s="363">
        <f>IF(VLOOKUP(AF27,Análisis!$B:$AN,39,0)=0,"Sin cambios",VLOOKUP(AF27,Análisis!$B:$AN,39,0))</f>
        <v/>
      </c>
      <c r="AX27" s="364">
        <f>VLOOKUP(AF27,Análisis!$B:$AN,29,0)</f>
        <v/>
      </c>
      <c r="AY27" s="363">
        <f>VLOOKUP(AF27,Análisis!$B:$AN,30,0)</f>
        <v/>
      </c>
      <c r="AZ27" s="364">
        <f>VLOOKUP(AF27,Análisis!$B:$AN,31,0)</f>
        <v/>
      </c>
      <c r="BA27" s="363">
        <f>VLOOKUP(AF27,Análisis!$B:$AN,32,0)</f>
        <v/>
      </c>
      <c r="BB27" s="365">
        <f>VLOOKUP(AF27,Análisis!$B:$AN,33,0)</f>
        <v/>
      </c>
      <c r="BE27" s="165" t="s">
        <v>70</v>
      </c>
      <c r="BF27" s="294" t="s">
        <v>330</v>
      </c>
      <c r="BH27" s="353">
        <f>IFERROR(VLOOKUP(BE27,$AF:$BB,3,0),0)</f>
        <v/>
      </c>
      <c r="BI27" s="167">
        <f>IFERROR(VLOOKUP(BE27,$AF:$BB,5,0),0)</f>
        <v/>
      </c>
      <c r="BJ27" s="354">
        <f>IFERROR(VLOOKUP(BE27,$AF:$BB,6,0),0)</f>
        <v/>
      </c>
      <c r="BK27" s="153">
        <f>IFERROR(VLOOKUP(BE27,$AF:$BB,7,0),0)</f>
        <v/>
      </c>
      <c r="BL27" s="355">
        <f>IFERROR(VLOOKUP(BE27,$AF:$BB,8,0),0)</f>
        <v/>
      </c>
      <c r="BM27" s="153">
        <f>IFERROR(VLOOKUP(BE27,$AF:$BB,9,0),0)</f>
        <v/>
      </c>
      <c r="BN27" s="353">
        <f>IFERROR(VLOOKUP(BE27,$AF:$BB,10,0),0)</f>
        <v/>
      </c>
      <c r="BO27" s="167">
        <f>IFERROR(VLOOKUP(BE27,$AF:$BB,12,0),0)</f>
        <v/>
      </c>
      <c r="BP27" s="354">
        <f>IFERROR(VLOOKUP(BE27,$AF:$BB,13,0),0)</f>
        <v/>
      </c>
      <c r="BQ27" s="153">
        <f>IFERROR(VLOOKUP(BE27,$AF:$BB,14,0),0)</f>
        <v/>
      </c>
      <c r="BR27" s="355">
        <f>IFERROR(VLOOKUP(BE27,$AF:$BB,15,0),0)</f>
        <v/>
      </c>
      <c r="BS27" s="153">
        <f>IFERROR(VLOOKUP(BE27,$AF:$BB,16,0),0)</f>
        <v/>
      </c>
      <c r="BT27" s="353">
        <f>IFERROR(VLOOKUP(BE27,$AF:$BB,17,0),0)</f>
        <v/>
      </c>
      <c r="BU27" s="167">
        <f>IFERROR(VLOOKUP(BE27,$AF:$BB,19,0),0)</f>
        <v/>
      </c>
      <c r="BV27" s="354">
        <f>IFERROR(VLOOKUP(BE27,$AF:$BB,20,0),0)</f>
        <v/>
      </c>
      <c r="BW27" s="153">
        <f>IFERROR(VLOOKUP(BE27,$AF:$BB,21,0),0)</f>
        <v/>
      </c>
      <c r="BX27" s="355">
        <f>IFERROR(VLOOKUP(BE27,$AF:$BB,22,0),0)</f>
        <v/>
      </c>
      <c r="BY27" s="153">
        <f>IFERROR(VLOOKUP(BE27,$AF:$BB,23,0),0)</f>
        <v/>
      </c>
    </row>
    <row r="28" spans="1:77">
      <c r="B28" s="72" t="n">
        <v>328</v>
      </c>
      <c r="C28" s="72" t="s">
        <v>114</v>
      </c>
      <c r="D28" s="126">
        <f>IF(VLOOKUP(Resumen!C28,Análisis!B:AN,15,0)=0,"Sin cambios",VLOOKUP(Resumen!C28,Análisis!B:AN,15,0))</f>
        <v/>
      </c>
      <c r="E28" s="126">
        <f>IF(VLOOKUP(Resumen!C28,Análisis!B:AN,27,0)=0,"Sin cambios",VLOOKUP(Resumen!C28,Análisis!B:AN,27,0))</f>
        <v/>
      </c>
      <c r="F28" s="126">
        <f>IF(VLOOKUP(Resumen!C28,Análisis!B:AN,39,0)=0,"Sin cambios",VLOOKUP(Resumen!C28,Análisis!B:AN,39,0))</f>
        <v/>
      </c>
      <c r="G28" s="126">
        <f>IF(AND(D28="Sin cambios",E28="Sin cambios",F28="Sin cambios")=TRUE,"No","Sí")</f>
        <v/>
      </c>
      <c r="I28" s="76">
        <f>Base!B13</f>
        <v/>
      </c>
      <c r="J28" s="356">
        <f>VLOOKUP(I28,Análisis!B:AN,4,0)</f>
        <v/>
      </c>
      <c r="K28" s="357">
        <f>IF(VLOOKUP(I28,Análisis!B:AN,15,0)=0,"Sin cambios",VLOOKUP(I28,Análisis!B:AN,15,0))</f>
        <v/>
      </c>
      <c r="L28" s="358">
        <f>VLOOKUP(I28,Análisis!B:AN,5,0)</f>
        <v/>
      </c>
      <c r="M28" s="357">
        <f>VLOOKUP(I28,Análisis!B:AN,6,0)</f>
        <v/>
      </c>
      <c r="N28" s="358">
        <f>VLOOKUP(I28,Análisis!B:AN,7,0)</f>
        <v/>
      </c>
      <c r="O28" s="357">
        <f>VLOOKUP(I28,Análisis!B:AN,8,0)</f>
        <v/>
      </c>
      <c r="P28" s="359">
        <f>VLOOKUP(I28,Análisis!B:AN,9,0)</f>
        <v/>
      </c>
      <c r="Q28" s="356">
        <f>VLOOKUP(I28,Análisis!B:AN,16,0)</f>
        <v/>
      </c>
      <c r="R28" s="360">
        <f>IF(VLOOKUP(I28,Análisis!B:AN,27,0)=0,"Sin cambios",VLOOKUP(I28,Análisis!B:AN,27,0))</f>
        <v/>
      </c>
      <c r="S28" s="358">
        <f>VLOOKUP(I28,Análisis!B:AN,17,0)</f>
        <v/>
      </c>
      <c r="T28" s="357">
        <f>VLOOKUP(I28,Análisis!B:AN,18,0)</f>
        <v/>
      </c>
      <c r="U28" s="358">
        <f>VLOOKUP(I28,Análisis!B:AN,19,0)</f>
        <v/>
      </c>
      <c r="V28" s="357">
        <f>VLOOKUP(I28,Análisis!B:AN,20,0)</f>
        <v/>
      </c>
      <c r="W28" s="361">
        <f>VLOOKUP(I28,Análisis!B:AN,21,0)</f>
        <v/>
      </c>
      <c r="X28" s="360">
        <f>VLOOKUP(I28,Análisis!B:AN,28,0)</f>
        <v/>
      </c>
      <c r="Y28" s="360">
        <f>IF(VLOOKUP(I28,Análisis!B:AN,39,0)=0,"Sin cambios",VLOOKUP(I28,Análisis!B:AN,39,0))</f>
        <v/>
      </c>
      <c r="Z28" s="358">
        <f>VLOOKUP(I28,Análisis!B:AN,29,0)</f>
        <v/>
      </c>
      <c r="AA28" s="357">
        <f>VLOOKUP(I28,Análisis!B:AN,30,0)</f>
        <v/>
      </c>
      <c r="AB28" s="358">
        <f>VLOOKUP(I28,Análisis!B:AN,31,0)</f>
        <v/>
      </c>
      <c r="AC28" s="357">
        <f>VLOOKUP(I28,Análisis!B:AN,32,0)</f>
        <v/>
      </c>
      <c r="AD28" s="361">
        <f>VLOOKUP(I28,Análisis!B:AN,33,0)</f>
        <v/>
      </c>
      <c r="AF28" s="127" t="s">
        <v>98</v>
      </c>
      <c r="AG28" s="129" t="s">
        <v>239</v>
      </c>
      <c r="AH28" s="362">
        <f>VLOOKUP(AF28,Análisis!$B:$AN,4,0)</f>
        <v/>
      </c>
      <c r="AI28" s="363">
        <f>IF(VLOOKUP(AF28,Análisis!$B:$AN,15,0)=0,"Sin cambios",VLOOKUP(AF28,Análisis!$B:$AN,15,0))</f>
        <v/>
      </c>
      <c r="AJ28" s="364">
        <f>VLOOKUP(AF28,Análisis!$B:$AN,5,0)</f>
        <v/>
      </c>
      <c r="AK28" s="363">
        <f>VLOOKUP(AF28,Análisis!$B:$AN,6,0)</f>
        <v/>
      </c>
      <c r="AL28" s="364">
        <f>VLOOKUP(AF28,Análisis!$B:$AN,7,0)</f>
        <v/>
      </c>
      <c r="AM28" s="363">
        <f>VLOOKUP(AF28,Análisis!$B:$AN,8,0)</f>
        <v/>
      </c>
      <c r="AN28" s="365">
        <f>VLOOKUP(AF28,Análisis!$B:$AN,9,0)</f>
        <v/>
      </c>
      <c r="AO28" s="362">
        <f>VLOOKUP(AF28,Análisis!$B:$AN,16,0)</f>
        <v/>
      </c>
      <c r="AP28" s="363">
        <f>IF(VLOOKUP(AF28,Análisis!$B:$AN,27,0)=0,"Sin cambios",VLOOKUP(AF28,Análisis!$B:$AN,27,0))</f>
        <v/>
      </c>
      <c r="AQ28" s="364">
        <f>VLOOKUP(AF28,Análisis!$B:$AN,17,0)</f>
        <v/>
      </c>
      <c r="AR28" s="363">
        <f>VLOOKUP(AF28,Análisis!$B:$AN,18,0)</f>
        <v/>
      </c>
      <c r="AS28" s="364">
        <f>VLOOKUP(AF28,Análisis!$B:$AN,19,0)</f>
        <v/>
      </c>
      <c r="AT28" s="363">
        <f>VLOOKUP(AF28,Análisis!$B:$AN,20,0)</f>
        <v/>
      </c>
      <c r="AU28" s="365">
        <f>VLOOKUP(AF28,Análisis!$B:$AN,21,0)</f>
        <v/>
      </c>
      <c r="AV28" s="362">
        <f>VLOOKUP(AF28,Análisis!$B:$AN,28,0)</f>
        <v/>
      </c>
      <c r="AW28" s="363">
        <f>IF(VLOOKUP(AF28,Análisis!$B:$AN,39,0)=0,"Sin cambios",VLOOKUP(AF28,Análisis!$B:$AN,39,0))</f>
        <v/>
      </c>
      <c r="AX28" s="364">
        <f>VLOOKUP(AF28,Análisis!$B:$AN,29,0)</f>
        <v/>
      </c>
      <c r="AY28" s="363">
        <f>VLOOKUP(AF28,Análisis!$B:$AN,30,0)</f>
        <v/>
      </c>
      <c r="AZ28" s="364">
        <f>VLOOKUP(AF28,Análisis!$B:$AN,31,0)</f>
        <v/>
      </c>
      <c r="BA28" s="363">
        <f>VLOOKUP(AF28,Análisis!$B:$AN,32,0)</f>
        <v/>
      </c>
      <c r="BB28" s="365">
        <f>VLOOKUP(AF28,Análisis!$B:$AN,33,0)</f>
        <v/>
      </c>
      <c r="BE28" s="165" t="s">
        <v>61</v>
      </c>
      <c r="BF28" s="294" t="s">
        <v>331</v>
      </c>
      <c r="BH28" s="353">
        <f>IFERROR(VLOOKUP(BE28,$AF:$BB,3,0),0)</f>
        <v/>
      </c>
      <c r="BI28" s="167">
        <f>IFERROR(VLOOKUP(BE28,$AF:$BB,5,0),0)</f>
        <v/>
      </c>
      <c r="BJ28" s="354">
        <f>IFERROR(VLOOKUP(BE28,$AF:$BB,6,0),0)</f>
        <v/>
      </c>
      <c r="BK28" s="153">
        <f>IFERROR(VLOOKUP(BE28,$AF:$BB,7,0),0)</f>
        <v/>
      </c>
      <c r="BL28" s="355">
        <f>IFERROR(VLOOKUP(BE28,$AF:$BB,8,0),0)</f>
        <v/>
      </c>
      <c r="BM28" s="153">
        <f>IFERROR(VLOOKUP(BE28,$AF:$BB,9,0),0)</f>
        <v/>
      </c>
      <c r="BN28" s="353">
        <f>IFERROR(VLOOKUP(BE28,$AF:$BB,10,0),0)</f>
        <v/>
      </c>
      <c r="BO28" s="167">
        <f>IFERROR(VLOOKUP(BE28,$AF:$BB,12,0),0)</f>
        <v/>
      </c>
      <c r="BP28" s="354">
        <f>IFERROR(VLOOKUP(BE28,$AF:$BB,13,0),0)</f>
        <v/>
      </c>
      <c r="BQ28" s="153">
        <f>IFERROR(VLOOKUP(BE28,$AF:$BB,14,0),0)</f>
        <v/>
      </c>
      <c r="BR28" s="355">
        <f>IFERROR(VLOOKUP(BE28,$AF:$BB,15,0),0)</f>
        <v/>
      </c>
      <c r="BS28" s="153">
        <f>IFERROR(VLOOKUP(BE28,$AF:$BB,16,0),0)</f>
        <v/>
      </c>
      <c r="BT28" s="353">
        <f>IFERROR(VLOOKUP(BE28,$AF:$BB,17,0),0)</f>
        <v/>
      </c>
      <c r="BU28" s="167">
        <f>IFERROR(VLOOKUP(BE28,$AF:$BB,19,0),0)</f>
        <v/>
      </c>
      <c r="BV28" s="354">
        <f>IFERROR(VLOOKUP(BE28,$AF:$BB,20,0),0)</f>
        <v/>
      </c>
      <c r="BW28" s="153">
        <f>IFERROR(VLOOKUP(BE28,$AF:$BB,21,0),0)</f>
        <v/>
      </c>
      <c r="BX28" s="355">
        <f>IFERROR(VLOOKUP(BE28,$AF:$BB,22,0),0)</f>
        <v/>
      </c>
      <c r="BY28" s="153">
        <f>IFERROR(VLOOKUP(BE28,$AF:$BB,23,0),0)</f>
        <v/>
      </c>
    </row>
    <row customHeight="1" ht="15.75" r="29" s="183" spans="1:77" thickBot="1">
      <c r="B29" s="72" t="n">
        <v>347</v>
      </c>
      <c r="C29" s="72" t="s">
        <v>127</v>
      </c>
      <c r="D29" s="126">
        <f>IF(VLOOKUP(Resumen!C29,Análisis!B:AN,15,0)=0,"Sin cambios",VLOOKUP(Resumen!C29,Análisis!B:AN,15,0))</f>
        <v/>
      </c>
      <c r="E29" s="126">
        <f>IF(VLOOKUP(Resumen!C29,Análisis!B:AN,27,0)=0,"Sin cambios",VLOOKUP(Resumen!C29,Análisis!B:AN,27,0))</f>
        <v/>
      </c>
      <c r="F29" s="126">
        <f>IF(VLOOKUP(Resumen!C29,Análisis!B:AN,39,0)=0,"Sin cambios",VLOOKUP(Resumen!C29,Análisis!B:AN,39,0))</f>
        <v/>
      </c>
      <c r="G29" s="126">
        <f>IF(AND(D29="Sin cambios",E29="Sin cambios",F29="Sin cambios")=TRUE,"No","Sí")</f>
        <v/>
      </c>
      <c r="I29" s="76">
        <f>Base!B14</f>
        <v/>
      </c>
      <c r="J29" s="356">
        <f>VLOOKUP(I29,Análisis!B:AN,4,0)</f>
        <v/>
      </c>
      <c r="K29" s="357">
        <f>IF(VLOOKUP(I29,Análisis!B:AN,15,0)=0,"Sin cambios",VLOOKUP(I29,Análisis!B:AN,15,0))</f>
        <v/>
      </c>
      <c r="L29" s="358">
        <f>VLOOKUP(I29,Análisis!B:AN,5,0)</f>
        <v/>
      </c>
      <c r="M29" s="357">
        <f>VLOOKUP(I29,Análisis!B:AN,6,0)</f>
        <v/>
      </c>
      <c r="N29" s="358">
        <f>VLOOKUP(I29,Análisis!B:AN,7,0)</f>
        <v/>
      </c>
      <c r="O29" s="357">
        <f>VLOOKUP(I29,Análisis!B:AN,8,0)</f>
        <v/>
      </c>
      <c r="P29" s="359">
        <f>VLOOKUP(I29,Análisis!B:AN,9,0)</f>
        <v/>
      </c>
      <c r="Q29" s="356">
        <f>VLOOKUP(I29,Análisis!B:AN,16,0)</f>
        <v/>
      </c>
      <c r="R29" s="360">
        <f>IF(VLOOKUP(I29,Análisis!B:AN,27,0)=0,"Sin cambios",VLOOKUP(I29,Análisis!B:AN,27,0))</f>
        <v/>
      </c>
      <c r="S29" s="358">
        <f>VLOOKUP(I29,Análisis!B:AN,17,0)</f>
        <v/>
      </c>
      <c r="T29" s="357">
        <f>VLOOKUP(I29,Análisis!B:AN,18,0)</f>
        <v/>
      </c>
      <c r="U29" s="358">
        <f>VLOOKUP(I29,Análisis!B:AN,19,0)</f>
        <v/>
      </c>
      <c r="V29" s="357">
        <f>VLOOKUP(I29,Análisis!B:AN,20,0)</f>
        <v/>
      </c>
      <c r="W29" s="361">
        <f>VLOOKUP(I29,Análisis!B:AN,21,0)</f>
        <v/>
      </c>
      <c r="X29" s="360">
        <f>VLOOKUP(I29,Análisis!B:AN,28,0)</f>
        <v/>
      </c>
      <c r="Y29" s="360">
        <f>IF(VLOOKUP(I29,Análisis!B:AN,39,0)=0,"Sin cambios",VLOOKUP(I29,Análisis!B:AN,39,0))</f>
        <v/>
      </c>
      <c r="Z29" s="358">
        <f>VLOOKUP(I29,Análisis!B:AN,29,0)</f>
        <v/>
      </c>
      <c r="AA29" s="357">
        <f>VLOOKUP(I29,Análisis!B:AN,30,0)</f>
        <v/>
      </c>
      <c r="AB29" s="358">
        <f>VLOOKUP(I29,Análisis!B:AN,31,0)</f>
        <v/>
      </c>
      <c r="AC29" s="357">
        <f>VLOOKUP(I29,Análisis!B:AN,32,0)</f>
        <v/>
      </c>
      <c r="AD29" s="361">
        <f>VLOOKUP(I29,Análisis!B:AN,33,0)</f>
        <v/>
      </c>
      <c r="AF29" s="127" t="s">
        <v>100</v>
      </c>
      <c r="AG29" s="129" t="s">
        <v>239</v>
      </c>
      <c r="AH29" s="362">
        <f>VLOOKUP(AF29,Análisis!$B:$AN,4,0)</f>
        <v/>
      </c>
      <c r="AI29" s="363">
        <f>IF(VLOOKUP(AF29,Análisis!$B:$AN,15,0)=0,"Sin cambios",VLOOKUP(AF29,Análisis!$B:$AN,15,0))</f>
        <v/>
      </c>
      <c r="AJ29" s="364">
        <f>VLOOKUP(AF29,Análisis!$B:$AN,5,0)</f>
        <v/>
      </c>
      <c r="AK29" s="363">
        <f>VLOOKUP(AF29,Análisis!$B:$AN,6,0)</f>
        <v/>
      </c>
      <c r="AL29" s="364">
        <f>VLOOKUP(AF29,Análisis!$B:$AN,7,0)</f>
        <v/>
      </c>
      <c r="AM29" s="363">
        <f>VLOOKUP(AF29,Análisis!$B:$AN,8,0)</f>
        <v/>
      </c>
      <c r="AN29" s="365">
        <f>VLOOKUP(AF29,Análisis!$B:$AN,9,0)</f>
        <v/>
      </c>
      <c r="AO29" s="362">
        <f>VLOOKUP(AF29,Análisis!$B:$AN,16,0)</f>
        <v/>
      </c>
      <c r="AP29" s="363">
        <f>IF(VLOOKUP(AF29,Análisis!$B:$AN,27,0)=0,"Sin cambios",VLOOKUP(AF29,Análisis!$B:$AN,27,0))</f>
        <v/>
      </c>
      <c r="AQ29" s="364">
        <f>VLOOKUP(AF29,Análisis!$B:$AN,17,0)</f>
        <v/>
      </c>
      <c r="AR29" s="363">
        <f>VLOOKUP(AF29,Análisis!$B:$AN,18,0)</f>
        <v/>
      </c>
      <c r="AS29" s="364">
        <f>VLOOKUP(AF29,Análisis!$B:$AN,19,0)</f>
        <v/>
      </c>
      <c r="AT29" s="363">
        <f>VLOOKUP(AF29,Análisis!$B:$AN,20,0)</f>
        <v/>
      </c>
      <c r="AU29" s="365">
        <f>VLOOKUP(AF29,Análisis!$B:$AN,21,0)</f>
        <v/>
      </c>
      <c r="AV29" s="362">
        <f>VLOOKUP(AF29,Análisis!$B:$AN,28,0)</f>
        <v/>
      </c>
      <c r="AW29" s="363">
        <f>IF(VLOOKUP(AF29,Análisis!$B:$AN,39,0)=0,"Sin cambios",VLOOKUP(AF29,Análisis!$B:$AN,39,0))</f>
        <v/>
      </c>
      <c r="AX29" s="364">
        <f>VLOOKUP(AF29,Análisis!$B:$AN,29,0)</f>
        <v/>
      </c>
      <c r="AY29" s="363">
        <f>VLOOKUP(AF29,Análisis!$B:$AN,30,0)</f>
        <v/>
      </c>
      <c r="AZ29" s="364">
        <f>VLOOKUP(AF29,Análisis!$B:$AN,31,0)</f>
        <v/>
      </c>
      <c r="BA29" s="363">
        <f>VLOOKUP(AF29,Análisis!$B:$AN,32,0)</f>
        <v/>
      </c>
      <c r="BB29" s="365">
        <f>VLOOKUP(AF29,Análisis!$B:$AN,33,0)</f>
        <v/>
      </c>
      <c r="BE29" s="165" t="s">
        <v>65</v>
      </c>
      <c r="BF29" s="300" t="s">
        <v>332</v>
      </c>
      <c r="BH29" s="353">
        <f>IFERROR(VLOOKUP(BE29,$AF:$BB,3,0),0)</f>
        <v/>
      </c>
      <c r="BI29" s="167">
        <f>IFERROR(VLOOKUP(BE29,$AF:$BB,5,0),0)</f>
        <v/>
      </c>
      <c r="BJ29" s="354">
        <f>IFERROR(VLOOKUP(BE29,$AF:$BB,6,0),0)</f>
        <v/>
      </c>
      <c r="BK29" s="153">
        <f>IFERROR(VLOOKUP(BE29,$AF:$BB,7,0),0)</f>
        <v/>
      </c>
      <c r="BL29" s="355">
        <f>IFERROR(VLOOKUP(BE29,$AF:$BB,8,0),0)</f>
        <v/>
      </c>
      <c r="BM29" s="153">
        <f>IFERROR(VLOOKUP(BE29,$AF:$BB,9,0),0)</f>
        <v/>
      </c>
      <c r="BN29" s="353">
        <f>IFERROR(VLOOKUP(BE29,$AF:$BB,10,0),0)</f>
        <v/>
      </c>
      <c r="BO29" s="167">
        <f>IFERROR(VLOOKUP(BE29,$AF:$BB,12,0),0)</f>
        <v/>
      </c>
      <c r="BP29" s="354">
        <f>IFERROR(VLOOKUP(BE29,$AF:$BB,13,0),0)</f>
        <v/>
      </c>
      <c r="BQ29" s="153">
        <f>IFERROR(VLOOKUP(BE29,$AF:$BB,14,0),0)</f>
        <v/>
      </c>
      <c r="BR29" s="355">
        <f>IFERROR(VLOOKUP(BE29,$AF:$BB,15,0),0)</f>
        <v/>
      </c>
      <c r="BS29" s="153">
        <f>IFERROR(VLOOKUP(BE29,$AF:$BB,16,0),0)</f>
        <v/>
      </c>
      <c r="BT29" s="353">
        <f>IFERROR(VLOOKUP(BE29,$AF:$BB,17,0),0)</f>
        <v/>
      </c>
      <c r="BU29" s="167">
        <f>IFERROR(VLOOKUP(BE29,$AF:$BB,19,0),0)</f>
        <v/>
      </c>
      <c r="BV29" s="354">
        <f>IFERROR(VLOOKUP(BE29,$AF:$BB,20,0),0)</f>
        <v/>
      </c>
      <c r="BW29" s="153">
        <f>IFERROR(VLOOKUP(BE29,$AF:$BB,21,0),0)</f>
        <v/>
      </c>
      <c r="BX29" s="355">
        <f>IFERROR(VLOOKUP(BE29,$AF:$BB,22,0),0)</f>
        <v/>
      </c>
      <c r="BY29" s="153">
        <f>IFERROR(VLOOKUP(BE29,$AF:$BB,23,0),0)</f>
        <v/>
      </c>
    </row>
    <row customHeight="1" ht="15.75" r="30" s="183" spans="1:77" thickBot="1">
      <c r="B30" s="72" t="n">
        <v>316</v>
      </c>
      <c r="C30" s="72" t="s">
        <v>106</v>
      </c>
      <c r="D30" s="126">
        <f>IF(VLOOKUP(Resumen!C30,Análisis!B:AN,15,0)=0,"Sin cambios",VLOOKUP(Resumen!C30,Análisis!B:AN,15,0))</f>
        <v/>
      </c>
      <c r="E30" s="126">
        <f>IF(VLOOKUP(Resumen!C30,Análisis!B:AN,27,0)=0,"Sin cambios",VLOOKUP(Resumen!C30,Análisis!B:AN,27,0))</f>
        <v/>
      </c>
      <c r="F30" s="126">
        <f>IF(VLOOKUP(Resumen!C30,Análisis!B:AN,39,0)=0,"Sin cambios",VLOOKUP(Resumen!C30,Análisis!B:AN,39,0))</f>
        <v/>
      </c>
      <c r="G30" s="126">
        <f>IF(AND(D30="Sin cambios",E30="Sin cambios",F30="Sin cambios")=TRUE,"No","Sí")</f>
        <v/>
      </c>
      <c r="I30" s="76">
        <f>Base!B15</f>
        <v/>
      </c>
      <c r="J30" s="356">
        <f>VLOOKUP(I30,Análisis!B:AN,4,0)</f>
        <v/>
      </c>
      <c r="K30" s="357">
        <f>IF(VLOOKUP(I30,Análisis!B:AN,15,0)=0,"Sin cambios",VLOOKUP(I30,Análisis!B:AN,15,0))</f>
        <v/>
      </c>
      <c r="L30" s="358">
        <f>VLOOKUP(I30,Análisis!B:AN,5,0)</f>
        <v/>
      </c>
      <c r="M30" s="357">
        <f>VLOOKUP(I30,Análisis!B:AN,6,0)</f>
        <v/>
      </c>
      <c r="N30" s="358">
        <f>VLOOKUP(I30,Análisis!B:AN,7,0)</f>
        <v/>
      </c>
      <c r="O30" s="357">
        <f>VLOOKUP(I30,Análisis!B:AN,8,0)</f>
        <v/>
      </c>
      <c r="P30" s="359">
        <f>VLOOKUP(I30,Análisis!B:AN,9,0)</f>
        <v/>
      </c>
      <c r="Q30" s="356">
        <f>VLOOKUP(I30,Análisis!B:AN,16,0)</f>
        <v/>
      </c>
      <c r="R30" s="360">
        <f>IF(VLOOKUP(I30,Análisis!B:AN,27,0)=0,"Sin cambios",VLOOKUP(I30,Análisis!B:AN,27,0))</f>
        <v/>
      </c>
      <c r="S30" s="358">
        <f>VLOOKUP(I30,Análisis!B:AN,17,0)</f>
        <v/>
      </c>
      <c r="T30" s="357">
        <f>VLOOKUP(I30,Análisis!B:AN,18,0)</f>
        <v/>
      </c>
      <c r="U30" s="358">
        <f>VLOOKUP(I30,Análisis!B:AN,19,0)</f>
        <v/>
      </c>
      <c r="V30" s="357">
        <f>VLOOKUP(I30,Análisis!B:AN,20,0)</f>
        <v/>
      </c>
      <c r="W30" s="361">
        <f>VLOOKUP(I30,Análisis!B:AN,21,0)</f>
        <v/>
      </c>
      <c r="X30" s="360">
        <f>VLOOKUP(I30,Análisis!B:AN,28,0)</f>
        <v/>
      </c>
      <c r="Y30" s="360">
        <f>IF(VLOOKUP(I30,Análisis!B:AN,39,0)=0,"Sin cambios",VLOOKUP(I30,Análisis!B:AN,39,0))</f>
        <v/>
      </c>
      <c r="Z30" s="358">
        <f>VLOOKUP(I30,Análisis!B:AN,29,0)</f>
        <v/>
      </c>
      <c r="AA30" s="357">
        <f>VLOOKUP(I30,Análisis!B:AN,30,0)</f>
        <v/>
      </c>
      <c r="AB30" s="358">
        <f>VLOOKUP(I30,Análisis!B:AN,31,0)</f>
        <v/>
      </c>
      <c r="AC30" s="357">
        <f>VLOOKUP(I30,Análisis!B:AN,32,0)</f>
        <v/>
      </c>
      <c r="AD30" s="361">
        <f>VLOOKUP(I30,Análisis!B:AN,33,0)</f>
        <v/>
      </c>
      <c r="AF30" s="127" t="s">
        <v>256</v>
      </c>
      <c r="AG30" s="129" t="s">
        <v>239</v>
      </c>
      <c r="AH30" s="362">
        <f>VLOOKUP(AF30,Análisis!$B:$AN,4,0)</f>
        <v/>
      </c>
      <c r="AI30" s="363">
        <f>IF(VLOOKUP(AF30,Análisis!$B:$AN,15,0)=0,"Sin cambios",VLOOKUP(AF30,Análisis!$B:$AN,15,0))</f>
        <v/>
      </c>
      <c r="AJ30" s="364">
        <f>VLOOKUP(AF30,Análisis!$B:$AN,5,0)</f>
        <v/>
      </c>
      <c r="AK30" s="363">
        <f>VLOOKUP(AF30,Análisis!$B:$AN,6,0)</f>
        <v/>
      </c>
      <c r="AL30" s="364">
        <f>VLOOKUP(AF30,Análisis!$B:$AN,7,0)</f>
        <v/>
      </c>
      <c r="AM30" s="363">
        <f>VLOOKUP(AF30,Análisis!$B:$AN,8,0)</f>
        <v/>
      </c>
      <c r="AN30" s="365">
        <f>VLOOKUP(AF30,Análisis!$B:$AN,9,0)</f>
        <v/>
      </c>
      <c r="AO30" s="362">
        <f>VLOOKUP(AF30,Análisis!$B:$AN,16,0)</f>
        <v/>
      </c>
      <c r="AP30" s="363">
        <f>IF(VLOOKUP(AF30,Análisis!$B:$AN,27,0)=0,"Sin cambios",VLOOKUP(AF30,Análisis!$B:$AN,27,0))</f>
        <v/>
      </c>
      <c r="AQ30" s="364">
        <f>VLOOKUP(AF30,Análisis!$B:$AN,17,0)</f>
        <v/>
      </c>
      <c r="AR30" s="363">
        <f>VLOOKUP(AF30,Análisis!$B:$AN,18,0)</f>
        <v/>
      </c>
      <c r="AS30" s="364">
        <f>VLOOKUP(AF30,Análisis!$B:$AN,19,0)</f>
        <v/>
      </c>
      <c r="AT30" s="363">
        <f>VLOOKUP(AF30,Análisis!$B:$AN,20,0)</f>
        <v/>
      </c>
      <c r="AU30" s="365">
        <f>VLOOKUP(AF30,Análisis!$B:$AN,21,0)</f>
        <v/>
      </c>
      <c r="AV30" s="362">
        <f>VLOOKUP(AF30,Análisis!$B:$AN,28,0)</f>
        <v/>
      </c>
      <c r="AW30" s="363">
        <f>IF(VLOOKUP(AF30,Análisis!$B:$AN,39,0)=0,"Sin cambios",VLOOKUP(AF30,Análisis!$B:$AN,39,0))</f>
        <v/>
      </c>
      <c r="AX30" s="364">
        <f>VLOOKUP(AF30,Análisis!$B:$AN,29,0)</f>
        <v/>
      </c>
      <c r="AY30" s="363">
        <f>VLOOKUP(AF30,Análisis!$B:$AN,30,0)</f>
        <v/>
      </c>
      <c r="AZ30" s="364">
        <f>VLOOKUP(AF30,Análisis!$B:$AN,31,0)</f>
        <v/>
      </c>
      <c r="BA30" s="363">
        <f>VLOOKUP(AF30,Análisis!$B:$AN,32,0)</f>
        <v/>
      </c>
      <c r="BB30" s="365">
        <f>VLOOKUP(AF30,Análisis!$B:$AN,33,0)</f>
        <v/>
      </c>
      <c r="BE30" s="154" t="n"/>
      <c r="BF30" s="298" t="s">
        <v>333</v>
      </c>
      <c r="BH30" s="381">
        <f>AVERAGE(BH20:BH29)</f>
        <v/>
      </c>
      <c r="BI30" s="382">
        <f>AVERAGE(BI20:BI29)</f>
        <v/>
      </c>
      <c r="BJ30" s="381">
        <f>AVERAGE(BJ20:BJ29)</f>
        <v/>
      </c>
      <c r="BK30" s="383">
        <f>AVERAGE(BK20:BK29)</f>
        <v/>
      </c>
      <c r="BL30" s="384">
        <f>AVERAGE(BL20:BL29)</f>
        <v/>
      </c>
      <c r="BM30" s="383">
        <f>AVERAGE(BM20:BM29)</f>
        <v/>
      </c>
      <c r="BN30" s="381">
        <f>AVERAGE(BN20:BN29)</f>
        <v/>
      </c>
      <c r="BO30" s="382">
        <f>AVERAGE(BO20:BO29)</f>
        <v/>
      </c>
      <c r="BP30" s="381">
        <f>AVERAGE(BP20:BP29)</f>
        <v/>
      </c>
      <c r="BQ30" s="383">
        <f>AVERAGE(BQ20:BQ29)</f>
        <v/>
      </c>
      <c r="BR30" s="384">
        <f>AVERAGE(BR20:BR29)</f>
        <v/>
      </c>
      <c r="BS30" s="383">
        <f>AVERAGE(BS20:BS29)</f>
        <v/>
      </c>
      <c r="BT30" s="381">
        <f>AVERAGE(BT20:BT29)</f>
        <v/>
      </c>
      <c r="BU30" s="382">
        <f>AVERAGE(BU20:BU29)</f>
        <v/>
      </c>
      <c r="BV30" s="381">
        <f>AVERAGE(BV20:BV29)</f>
        <v/>
      </c>
      <c r="BW30" s="383">
        <f>AVERAGE(BW20:BW29)</f>
        <v/>
      </c>
      <c r="BX30" s="384">
        <f>AVERAGE(BX20:BX29)</f>
        <v/>
      </c>
      <c r="BY30" s="383">
        <f>AVERAGE(BY20:BY29)</f>
        <v/>
      </c>
    </row>
    <row r="31" spans="1:77">
      <c r="B31" s="72" t="n">
        <v>320</v>
      </c>
      <c r="C31" s="72" t="s">
        <v>108</v>
      </c>
      <c r="D31" s="126">
        <f>IF(VLOOKUP(Resumen!C31,Análisis!B:AN,15,0)=0,"Sin cambios",VLOOKUP(Resumen!C31,Análisis!B:AN,15,0))</f>
        <v/>
      </c>
      <c r="E31" s="126">
        <f>IF(VLOOKUP(Resumen!C31,Análisis!B:AN,27,0)=0,"Sin cambios",VLOOKUP(Resumen!C31,Análisis!B:AN,27,0))</f>
        <v/>
      </c>
      <c r="F31" s="126">
        <f>IF(VLOOKUP(Resumen!C31,Análisis!B:AN,39,0)=0,"Sin cambios",VLOOKUP(Resumen!C31,Análisis!B:AN,39,0))</f>
        <v/>
      </c>
      <c r="G31" s="126">
        <f>IF(AND(D31="Sin cambios",E31="Sin cambios",F31="Sin cambios")=TRUE,"No","Sí")</f>
        <v/>
      </c>
      <c r="I31" s="76">
        <f>Base!B16</f>
        <v/>
      </c>
      <c r="J31" s="356">
        <f>VLOOKUP(I31,Análisis!B:AN,4,0)</f>
        <v/>
      </c>
      <c r="K31" s="357">
        <f>IF(VLOOKUP(I31,Análisis!B:AN,15,0)=0,"Sin cambios",VLOOKUP(I31,Análisis!B:AN,15,0))</f>
        <v/>
      </c>
      <c r="L31" s="358">
        <f>VLOOKUP(I31,Análisis!B:AN,5,0)</f>
        <v/>
      </c>
      <c r="M31" s="357">
        <f>VLOOKUP(I31,Análisis!B:AN,6,0)</f>
        <v/>
      </c>
      <c r="N31" s="358">
        <f>VLOOKUP(I31,Análisis!B:AN,7,0)</f>
        <v/>
      </c>
      <c r="O31" s="357">
        <f>VLOOKUP(I31,Análisis!B:AN,8,0)</f>
        <v/>
      </c>
      <c r="P31" s="359">
        <f>VLOOKUP(I31,Análisis!B:AN,9,0)</f>
        <v/>
      </c>
      <c r="Q31" s="356">
        <f>VLOOKUP(I31,Análisis!B:AN,16,0)</f>
        <v/>
      </c>
      <c r="R31" s="360">
        <f>IF(VLOOKUP(I31,Análisis!B:AN,27,0)=0,"Sin cambios",VLOOKUP(I31,Análisis!B:AN,27,0))</f>
        <v/>
      </c>
      <c r="S31" s="358">
        <f>VLOOKUP(I31,Análisis!B:AN,17,0)</f>
        <v/>
      </c>
      <c r="T31" s="357">
        <f>VLOOKUP(I31,Análisis!B:AN,18,0)</f>
        <v/>
      </c>
      <c r="U31" s="358">
        <f>VLOOKUP(I31,Análisis!B:AN,19,0)</f>
        <v/>
      </c>
      <c r="V31" s="357">
        <f>VLOOKUP(I31,Análisis!B:AN,20,0)</f>
        <v/>
      </c>
      <c r="W31" s="361">
        <f>VLOOKUP(I31,Análisis!B:AN,21,0)</f>
        <v/>
      </c>
      <c r="X31" s="360">
        <f>VLOOKUP(I31,Análisis!B:AN,28,0)</f>
        <v/>
      </c>
      <c r="Y31" s="360">
        <f>IF(VLOOKUP(I31,Análisis!B:AN,39,0)=0,"Sin cambios",VLOOKUP(I31,Análisis!B:AN,39,0))</f>
        <v/>
      </c>
      <c r="Z31" s="358">
        <f>VLOOKUP(I31,Análisis!B:AN,29,0)</f>
        <v/>
      </c>
      <c r="AA31" s="357">
        <f>VLOOKUP(I31,Análisis!B:AN,30,0)</f>
        <v/>
      </c>
      <c r="AB31" s="358">
        <f>VLOOKUP(I31,Análisis!B:AN,31,0)</f>
        <v/>
      </c>
      <c r="AC31" s="357">
        <f>VLOOKUP(I31,Análisis!B:AN,32,0)</f>
        <v/>
      </c>
      <c r="AD31" s="361">
        <f>VLOOKUP(I31,Análisis!B:AN,33,0)</f>
        <v/>
      </c>
      <c r="AF31" s="127" t="s">
        <v>104</v>
      </c>
      <c r="AG31" s="129" t="s">
        <v>239</v>
      </c>
      <c r="AH31" s="362">
        <f>VLOOKUP(AF31,Análisis!$B:$AN,4,0)</f>
        <v/>
      </c>
      <c r="AI31" s="363">
        <f>IF(VLOOKUP(AF31,Análisis!$B:$AN,15,0)=0,"Sin cambios",VLOOKUP(AF31,Análisis!$B:$AN,15,0))</f>
        <v/>
      </c>
      <c r="AJ31" s="364">
        <f>VLOOKUP(AF31,Análisis!$B:$AN,5,0)</f>
        <v/>
      </c>
      <c r="AK31" s="363">
        <f>VLOOKUP(AF31,Análisis!$B:$AN,6,0)</f>
        <v/>
      </c>
      <c r="AL31" s="364">
        <f>VLOOKUP(AF31,Análisis!$B:$AN,7,0)</f>
        <v/>
      </c>
      <c r="AM31" s="363">
        <f>VLOOKUP(AF31,Análisis!$B:$AN,8,0)</f>
        <v/>
      </c>
      <c r="AN31" s="365">
        <f>VLOOKUP(AF31,Análisis!$B:$AN,9,0)</f>
        <v/>
      </c>
      <c r="AO31" s="362">
        <f>VLOOKUP(AF31,Análisis!$B:$AN,16,0)</f>
        <v/>
      </c>
      <c r="AP31" s="363">
        <f>IF(VLOOKUP(AF31,Análisis!$B:$AN,27,0)=0,"Sin cambios",VLOOKUP(AF31,Análisis!$B:$AN,27,0))</f>
        <v/>
      </c>
      <c r="AQ31" s="364">
        <f>VLOOKUP(AF31,Análisis!$B:$AN,17,0)</f>
        <v/>
      </c>
      <c r="AR31" s="363">
        <f>VLOOKUP(AF31,Análisis!$B:$AN,18,0)</f>
        <v/>
      </c>
      <c r="AS31" s="364">
        <f>VLOOKUP(AF31,Análisis!$B:$AN,19,0)</f>
        <v/>
      </c>
      <c r="AT31" s="363">
        <f>VLOOKUP(AF31,Análisis!$B:$AN,20,0)</f>
        <v/>
      </c>
      <c r="AU31" s="365">
        <f>VLOOKUP(AF31,Análisis!$B:$AN,21,0)</f>
        <v/>
      </c>
      <c r="AV31" s="362">
        <f>VLOOKUP(AF31,Análisis!$B:$AN,28,0)</f>
        <v/>
      </c>
      <c r="AW31" s="363">
        <f>IF(VLOOKUP(AF31,Análisis!$B:$AN,39,0)=0,"Sin cambios",VLOOKUP(AF31,Análisis!$B:$AN,39,0))</f>
        <v/>
      </c>
      <c r="AX31" s="364">
        <f>VLOOKUP(AF31,Análisis!$B:$AN,29,0)</f>
        <v/>
      </c>
      <c r="AY31" s="363">
        <f>VLOOKUP(AF31,Análisis!$B:$AN,30,0)</f>
        <v/>
      </c>
      <c r="AZ31" s="364">
        <f>VLOOKUP(AF31,Análisis!$B:$AN,31,0)</f>
        <v/>
      </c>
      <c r="BA31" s="363">
        <f>VLOOKUP(AF31,Análisis!$B:$AN,32,0)</f>
        <v/>
      </c>
      <c r="BB31" s="365">
        <f>VLOOKUP(AF31,Análisis!$B:$AN,33,0)</f>
        <v/>
      </c>
      <c r="BE31" s="165" t="s">
        <v>45</v>
      </c>
      <c r="BF31" s="294" t="s">
        <v>334</v>
      </c>
      <c r="BH31" s="353">
        <f>IFERROR(VLOOKUP(BE31,$AF:$BB,3,0),0)</f>
        <v/>
      </c>
      <c r="BI31" s="167">
        <f>IFERROR(VLOOKUP(BE31,$AF:$BB,5,0),0)</f>
        <v/>
      </c>
      <c r="BJ31" s="354">
        <f>IFERROR(VLOOKUP(BE31,$AF:$BB,6,0),0)</f>
        <v/>
      </c>
      <c r="BK31" s="153">
        <f>IFERROR(VLOOKUP(BE31,$AF:$BB,7,0),0)</f>
        <v/>
      </c>
      <c r="BL31" s="355">
        <f>IFERROR(VLOOKUP(BE31,$AF:$BB,8,0),0)</f>
        <v/>
      </c>
      <c r="BM31" s="153">
        <f>IFERROR(VLOOKUP(BE31,$AF:$BB,9,0),0)</f>
        <v/>
      </c>
      <c r="BN31" s="353">
        <f>IFERROR(VLOOKUP(BE31,$AF:$BB,10,0),0)</f>
        <v/>
      </c>
      <c r="BO31" s="167">
        <f>IFERROR(VLOOKUP(BE31,$AF:$BB,12,0),0)</f>
        <v/>
      </c>
      <c r="BP31" s="354">
        <f>IFERROR(VLOOKUP(BE31,$AF:$BB,13,0),0)</f>
        <v/>
      </c>
      <c r="BQ31" s="153">
        <f>IFERROR(VLOOKUP(BE31,$AF:$BB,14,0),0)</f>
        <v/>
      </c>
      <c r="BR31" s="355">
        <f>IFERROR(VLOOKUP(BE31,$AF:$BB,15,0),0)</f>
        <v/>
      </c>
      <c r="BS31" s="153">
        <f>IFERROR(VLOOKUP(BE31,$AF:$BB,16,0),0)</f>
        <v/>
      </c>
      <c r="BT31" s="353">
        <f>IFERROR(VLOOKUP(BE31,$AF:$BB,17,0),0)</f>
        <v/>
      </c>
      <c r="BU31" s="167">
        <f>IFERROR(VLOOKUP(BE31,$AF:$BB,19,0),0)</f>
        <v/>
      </c>
      <c r="BV31" s="354">
        <f>IFERROR(VLOOKUP(BE31,$AF:$BB,20,0),0)</f>
        <v/>
      </c>
      <c r="BW31" s="153">
        <f>IFERROR(VLOOKUP(BE31,$AF:$BB,21,0),0)</f>
        <v/>
      </c>
      <c r="BX31" s="355">
        <f>IFERROR(VLOOKUP(BE31,$AF:$BB,22,0),0)</f>
        <v/>
      </c>
      <c r="BY31" s="153">
        <f>IFERROR(VLOOKUP(BE31,$AF:$BB,23,0),0)</f>
        <v/>
      </c>
    </row>
    <row r="32" spans="1:77">
      <c r="B32" s="72" t="n">
        <v>331</v>
      </c>
      <c r="C32" s="72" t="s">
        <v>150</v>
      </c>
      <c r="D32" s="126">
        <f>IF(VLOOKUP(Resumen!C32,Análisis!B:AN,15,0)=0,"Sin cambios",VLOOKUP(Resumen!C32,Análisis!B:AN,15,0))</f>
        <v/>
      </c>
      <c r="E32" s="126">
        <f>IF(VLOOKUP(Resumen!C32,Análisis!B:AN,27,0)=0,"Sin cambios",VLOOKUP(Resumen!C32,Análisis!B:AN,27,0))</f>
        <v/>
      </c>
      <c r="F32" s="126">
        <f>IF(VLOOKUP(Resumen!C32,Análisis!B:AN,39,0)=0,"Sin cambios",VLOOKUP(Resumen!C32,Análisis!B:AN,39,0))</f>
        <v/>
      </c>
      <c r="G32" s="126">
        <f>IF(AND(D32="Sin cambios",E32="Sin cambios",F32="Sin cambios")=TRUE,"No","Sí")</f>
        <v/>
      </c>
      <c r="I32" s="76">
        <f>Base!B17</f>
        <v/>
      </c>
      <c r="J32" s="356">
        <f>VLOOKUP(I32,Análisis!B:AN,4,0)</f>
        <v/>
      </c>
      <c r="K32" s="357">
        <f>IF(VLOOKUP(I32,Análisis!B:AN,15,0)=0,"Sin cambios",VLOOKUP(I32,Análisis!B:AN,15,0))</f>
        <v/>
      </c>
      <c r="L32" s="358">
        <f>VLOOKUP(I32,Análisis!B:AN,5,0)</f>
        <v/>
      </c>
      <c r="M32" s="357">
        <f>VLOOKUP(I32,Análisis!B:AN,6,0)</f>
        <v/>
      </c>
      <c r="N32" s="358">
        <f>VLOOKUP(I32,Análisis!B:AN,7,0)</f>
        <v/>
      </c>
      <c r="O32" s="357">
        <f>VLOOKUP(I32,Análisis!B:AN,8,0)</f>
        <v/>
      </c>
      <c r="P32" s="359">
        <f>VLOOKUP(I32,Análisis!B:AN,9,0)</f>
        <v/>
      </c>
      <c r="Q32" s="356">
        <f>VLOOKUP(I32,Análisis!B:AN,16,0)</f>
        <v/>
      </c>
      <c r="R32" s="360">
        <f>IF(VLOOKUP(I32,Análisis!B:AN,27,0)=0,"Sin cambios",VLOOKUP(I32,Análisis!B:AN,27,0))</f>
        <v/>
      </c>
      <c r="S32" s="358">
        <f>VLOOKUP(I32,Análisis!B:AN,17,0)</f>
        <v/>
      </c>
      <c r="T32" s="357">
        <f>VLOOKUP(I32,Análisis!B:AN,18,0)</f>
        <v/>
      </c>
      <c r="U32" s="358">
        <f>VLOOKUP(I32,Análisis!B:AN,19,0)</f>
        <v/>
      </c>
      <c r="V32" s="357">
        <f>VLOOKUP(I32,Análisis!B:AN,20,0)</f>
        <v/>
      </c>
      <c r="W32" s="361">
        <f>VLOOKUP(I32,Análisis!B:AN,21,0)</f>
        <v/>
      </c>
      <c r="X32" s="360">
        <f>VLOOKUP(I32,Análisis!B:AN,28,0)</f>
        <v/>
      </c>
      <c r="Y32" s="360">
        <f>IF(VLOOKUP(I32,Análisis!B:AN,39,0)=0,"Sin cambios",VLOOKUP(I32,Análisis!B:AN,39,0))</f>
        <v/>
      </c>
      <c r="Z32" s="358">
        <f>VLOOKUP(I32,Análisis!B:AN,29,0)</f>
        <v/>
      </c>
      <c r="AA32" s="357">
        <f>VLOOKUP(I32,Análisis!B:AN,30,0)</f>
        <v/>
      </c>
      <c r="AB32" s="358">
        <f>VLOOKUP(I32,Análisis!B:AN,31,0)</f>
        <v/>
      </c>
      <c r="AC32" s="357">
        <f>VLOOKUP(I32,Análisis!B:AN,32,0)</f>
        <v/>
      </c>
      <c r="AD32" s="361">
        <f>VLOOKUP(I32,Análisis!B:AN,33,0)</f>
        <v/>
      </c>
      <c r="AF32" s="127" t="s">
        <v>106</v>
      </c>
      <c r="AG32" s="129" t="s">
        <v>258</v>
      </c>
      <c r="AH32" s="362">
        <f>VLOOKUP(AF32,Análisis!$B:$AN,4,0)</f>
        <v/>
      </c>
      <c r="AI32" s="363">
        <f>IF(VLOOKUP(AF32,Análisis!$B:$AN,15,0)=0,"Sin cambios",VLOOKUP(AF32,Análisis!$B:$AN,15,0))</f>
        <v/>
      </c>
      <c r="AJ32" s="364">
        <f>VLOOKUP(AF32,Análisis!$B:$AN,5,0)</f>
        <v/>
      </c>
      <c r="AK32" s="363">
        <f>VLOOKUP(AF32,Análisis!$B:$AN,6,0)</f>
        <v/>
      </c>
      <c r="AL32" s="364">
        <f>VLOOKUP(AF32,Análisis!$B:$AN,7,0)</f>
        <v/>
      </c>
      <c r="AM32" s="363">
        <f>VLOOKUP(AF32,Análisis!$B:$AN,8,0)</f>
        <v/>
      </c>
      <c r="AN32" s="365">
        <f>VLOOKUP(AF32,Análisis!$B:$AN,9,0)</f>
        <v/>
      </c>
      <c r="AO32" s="362">
        <f>VLOOKUP(AF32,Análisis!$B:$AN,16,0)</f>
        <v/>
      </c>
      <c r="AP32" s="363">
        <f>IF(VLOOKUP(AF32,Análisis!$B:$AN,27,0)=0,"Sin cambios",VLOOKUP(AF32,Análisis!$B:$AN,27,0))</f>
        <v/>
      </c>
      <c r="AQ32" s="364">
        <f>VLOOKUP(AF32,Análisis!$B:$AN,17,0)</f>
        <v/>
      </c>
      <c r="AR32" s="363">
        <f>VLOOKUP(AF32,Análisis!$B:$AN,18,0)</f>
        <v/>
      </c>
      <c r="AS32" s="364">
        <f>VLOOKUP(AF32,Análisis!$B:$AN,19,0)</f>
        <v/>
      </c>
      <c r="AT32" s="363">
        <f>VLOOKUP(AF32,Análisis!$B:$AN,20,0)</f>
        <v/>
      </c>
      <c r="AU32" s="365">
        <f>VLOOKUP(AF32,Análisis!$B:$AN,21,0)</f>
        <v/>
      </c>
      <c r="AV32" s="362">
        <f>VLOOKUP(AF32,Análisis!$B:$AN,28,0)</f>
        <v/>
      </c>
      <c r="AW32" s="363">
        <f>IF(VLOOKUP(AF32,Análisis!$B:$AN,39,0)=0,"Sin cambios",VLOOKUP(AF32,Análisis!$B:$AN,39,0))</f>
        <v/>
      </c>
      <c r="AX32" s="364">
        <f>VLOOKUP(AF32,Análisis!$B:$AN,29,0)</f>
        <v/>
      </c>
      <c r="AY32" s="363">
        <f>VLOOKUP(AF32,Análisis!$B:$AN,30,0)</f>
        <v/>
      </c>
      <c r="AZ32" s="364">
        <f>VLOOKUP(AF32,Análisis!$B:$AN,31,0)</f>
        <v/>
      </c>
      <c r="BA32" s="363">
        <f>VLOOKUP(AF32,Análisis!$B:$AN,32,0)</f>
        <v/>
      </c>
      <c r="BB32" s="365">
        <f>VLOOKUP(AF32,Análisis!$B:$AN,33,0)</f>
        <v/>
      </c>
      <c r="BE32" s="165" t="s">
        <v>74</v>
      </c>
      <c r="BF32" s="294" t="s">
        <v>335</v>
      </c>
      <c r="BH32" s="353">
        <f>IFERROR(VLOOKUP(BE32,$AF:$BB,3,0),0)</f>
        <v/>
      </c>
      <c r="BI32" s="167">
        <f>IFERROR(VLOOKUP(BE32,$AF:$BB,5,0),0)</f>
        <v/>
      </c>
      <c r="BJ32" s="354">
        <f>IFERROR(VLOOKUP(BE32,$AF:$BB,6,0),0)</f>
        <v/>
      </c>
      <c r="BK32" s="153">
        <f>IFERROR(VLOOKUP(BE32,$AF:$BB,7,0),0)</f>
        <v/>
      </c>
      <c r="BL32" s="355">
        <f>IFERROR(VLOOKUP(BE32,$AF:$BB,8,0),0)</f>
        <v/>
      </c>
      <c r="BM32" s="153">
        <f>IFERROR(VLOOKUP(BE32,$AF:$BB,9,0),0)</f>
        <v/>
      </c>
      <c r="BN32" s="353">
        <f>IFERROR(VLOOKUP(BE32,$AF:$BB,10,0),0)</f>
        <v/>
      </c>
      <c r="BO32" s="167">
        <f>IFERROR(VLOOKUP(BE32,$AF:$BB,12,0),0)</f>
        <v/>
      </c>
      <c r="BP32" s="354">
        <f>IFERROR(VLOOKUP(BE32,$AF:$BB,13,0),0)</f>
        <v/>
      </c>
      <c r="BQ32" s="153">
        <f>IFERROR(VLOOKUP(BE32,$AF:$BB,14,0),0)</f>
        <v/>
      </c>
      <c r="BR32" s="355">
        <f>IFERROR(VLOOKUP(BE32,$AF:$BB,15,0),0)</f>
        <v/>
      </c>
      <c r="BS32" s="153">
        <f>IFERROR(VLOOKUP(BE32,$AF:$BB,16,0),0)</f>
        <v/>
      </c>
      <c r="BT32" s="353">
        <f>IFERROR(VLOOKUP(BE32,$AF:$BB,17,0),0)</f>
        <v/>
      </c>
      <c r="BU32" s="167">
        <f>IFERROR(VLOOKUP(BE32,$AF:$BB,19,0),0)</f>
        <v/>
      </c>
      <c r="BV32" s="354">
        <f>IFERROR(VLOOKUP(BE32,$AF:$BB,20,0),0)</f>
        <v/>
      </c>
      <c r="BW32" s="153">
        <f>IFERROR(VLOOKUP(BE32,$AF:$BB,21,0),0)</f>
        <v/>
      </c>
      <c r="BX32" s="355">
        <f>IFERROR(VLOOKUP(BE32,$AF:$BB,22,0),0)</f>
        <v/>
      </c>
      <c r="BY32" s="153">
        <f>IFERROR(VLOOKUP(BE32,$AF:$BB,23,0),0)</f>
        <v/>
      </c>
    </row>
    <row r="33" spans="1:77">
      <c r="B33" s="72" t="n">
        <v>334</v>
      </c>
      <c r="C33" s="72" t="s">
        <v>118</v>
      </c>
      <c r="D33" s="126">
        <f>IF(VLOOKUP(Resumen!C33,Análisis!B:AN,15,0)=0,"Sin cambios",VLOOKUP(Resumen!C33,Análisis!B:AN,15,0))</f>
        <v/>
      </c>
      <c r="E33" s="126">
        <f>IF(VLOOKUP(Resumen!C33,Análisis!B:AN,27,0)=0,"Sin cambios",VLOOKUP(Resumen!C33,Análisis!B:AN,27,0))</f>
        <v/>
      </c>
      <c r="F33" s="126">
        <f>IF(VLOOKUP(Resumen!C33,Análisis!B:AN,39,0)=0,"Sin cambios",VLOOKUP(Resumen!C33,Análisis!B:AN,39,0))</f>
        <v/>
      </c>
      <c r="G33" s="126">
        <f>IF(AND(D33="Sin cambios",E33="Sin cambios",F33="Sin cambios")=TRUE,"No","Sí")</f>
        <v/>
      </c>
      <c r="I33" s="76">
        <f>Base!B18</f>
        <v/>
      </c>
      <c r="J33" s="356">
        <f>VLOOKUP(I33,Análisis!B:AN,4,0)</f>
        <v/>
      </c>
      <c r="K33" s="357">
        <f>IF(VLOOKUP(I33,Análisis!B:AN,15,0)=0,"Sin cambios",VLOOKUP(I33,Análisis!B:AN,15,0))</f>
        <v/>
      </c>
      <c r="L33" s="358">
        <f>VLOOKUP(I33,Análisis!B:AN,5,0)</f>
        <v/>
      </c>
      <c r="M33" s="357">
        <f>VLOOKUP(I33,Análisis!B:AN,6,0)</f>
        <v/>
      </c>
      <c r="N33" s="358">
        <f>VLOOKUP(I33,Análisis!B:AN,7,0)</f>
        <v/>
      </c>
      <c r="O33" s="357">
        <f>VLOOKUP(I33,Análisis!B:AN,8,0)</f>
        <v/>
      </c>
      <c r="P33" s="359">
        <f>VLOOKUP(I33,Análisis!B:AN,9,0)</f>
        <v/>
      </c>
      <c r="Q33" s="356">
        <f>VLOOKUP(I33,Análisis!B:AN,16,0)</f>
        <v/>
      </c>
      <c r="R33" s="360">
        <f>IF(VLOOKUP(I33,Análisis!B:AN,27,0)=0,"Sin cambios",VLOOKUP(I33,Análisis!B:AN,27,0))</f>
        <v/>
      </c>
      <c r="S33" s="358">
        <f>VLOOKUP(I33,Análisis!B:AN,17,0)</f>
        <v/>
      </c>
      <c r="T33" s="357">
        <f>VLOOKUP(I33,Análisis!B:AN,18,0)</f>
        <v/>
      </c>
      <c r="U33" s="358">
        <f>VLOOKUP(I33,Análisis!B:AN,19,0)</f>
        <v/>
      </c>
      <c r="V33" s="357">
        <f>VLOOKUP(I33,Análisis!B:AN,20,0)</f>
        <v/>
      </c>
      <c r="W33" s="361">
        <f>VLOOKUP(I33,Análisis!B:AN,21,0)</f>
        <v/>
      </c>
      <c r="X33" s="360">
        <f>VLOOKUP(I33,Análisis!B:AN,28,0)</f>
        <v/>
      </c>
      <c r="Y33" s="360">
        <f>IF(VLOOKUP(I33,Análisis!B:AN,39,0)=0,"Sin cambios",VLOOKUP(I33,Análisis!B:AN,39,0))</f>
        <v/>
      </c>
      <c r="Z33" s="358">
        <f>VLOOKUP(I33,Análisis!B:AN,29,0)</f>
        <v/>
      </c>
      <c r="AA33" s="357">
        <f>VLOOKUP(I33,Análisis!B:AN,30,0)</f>
        <v/>
      </c>
      <c r="AB33" s="358">
        <f>VLOOKUP(I33,Análisis!B:AN,31,0)</f>
        <v/>
      </c>
      <c r="AC33" s="357">
        <f>VLOOKUP(I33,Análisis!B:AN,32,0)</f>
        <v/>
      </c>
      <c r="AD33" s="361">
        <f>VLOOKUP(I33,Análisis!B:AN,33,0)</f>
        <v/>
      </c>
      <c r="AF33" s="127" t="s">
        <v>107</v>
      </c>
      <c r="AG33" s="129" t="s">
        <v>260</v>
      </c>
      <c r="AH33" s="362">
        <f>VLOOKUP(AF33,Análisis!$B:$AN,4,0)</f>
        <v/>
      </c>
      <c r="AI33" s="363">
        <f>IF(VLOOKUP(AF33,Análisis!$B:$AN,15,0)=0,"Sin cambios",VLOOKUP(AF33,Análisis!$B:$AN,15,0))</f>
        <v/>
      </c>
      <c r="AJ33" s="364">
        <f>VLOOKUP(AF33,Análisis!$B:$AN,5,0)</f>
        <v/>
      </c>
      <c r="AK33" s="363">
        <f>VLOOKUP(AF33,Análisis!$B:$AN,6,0)</f>
        <v/>
      </c>
      <c r="AL33" s="364">
        <f>VLOOKUP(AF33,Análisis!$B:$AN,7,0)</f>
        <v/>
      </c>
      <c r="AM33" s="363">
        <f>VLOOKUP(AF33,Análisis!$B:$AN,8,0)</f>
        <v/>
      </c>
      <c r="AN33" s="365">
        <f>VLOOKUP(AF33,Análisis!$B:$AN,9,0)</f>
        <v/>
      </c>
      <c r="AO33" s="362">
        <f>VLOOKUP(AF33,Análisis!$B:$AN,16,0)</f>
        <v/>
      </c>
      <c r="AP33" s="363">
        <f>IF(VLOOKUP(AF33,Análisis!$B:$AN,27,0)=0,"Sin cambios",VLOOKUP(AF33,Análisis!$B:$AN,27,0))</f>
        <v/>
      </c>
      <c r="AQ33" s="364">
        <f>VLOOKUP(AF33,Análisis!$B:$AN,17,0)</f>
        <v/>
      </c>
      <c r="AR33" s="363">
        <f>VLOOKUP(AF33,Análisis!$B:$AN,18,0)</f>
        <v/>
      </c>
      <c r="AS33" s="364">
        <f>VLOOKUP(AF33,Análisis!$B:$AN,19,0)</f>
        <v/>
      </c>
      <c r="AT33" s="363">
        <f>VLOOKUP(AF33,Análisis!$B:$AN,20,0)</f>
        <v/>
      </c>
      <c r="AU33" s="365">
        <f>VLOOKUP(AF33,Análisis!$B:$AN,21,0)</f>
        <v/>
      </c>
      <c r="AV33" s="362">
        <f>VLOOKUP(AF33,Análisis!$B:$AN,28,0)</f>
        <v/>
      </c>
      <c r="AW33" s="363">
        <f>IF(VLOOKUP(AF33,Análisis!$B:$AN,39,0)=0,"Sin cambios",VLOOKUP(AF33,Análisis!$B:$AN,39,0))</f>
        <v/>
      </c>
      <c r="AX33" s="364">
        <f>VLOOKUP(AF33,Análisis!$B:$AN,29,0)</f>
        <v/>
      </c>
      <c r="AY33" s="363">
        <f>VLOOKUP(AF33,Análisis!$B:$AN,30,0)</f>
        <v/>
      </c>
      <c r="AZ33" s="364">
        <f>VLOOKUP(AF33,Análisis!$B:$AN,31,0)</f>
        <v/>
      </c>
      <c r="BA33" s="363">
        <f>VLOOKUP(AF33,Análisis!$B:$AN,32,0)</f>
        <v/>
      </c>
      <c r="BB33" s="365">
        <f>VLOOKUP(AF33,Análisis!$B:$AN,33,0)</f>
        <v/>
      </c>
      <c r="BE33" s="165" t="s">
        <v>37</v>
      </c>
      <c r="BF33" s="294" t="s">
        <v>336</v>
      </c>
      <c r="BH33" s="353">
        <f>IFERROR(VLOOKUP(BE33,$AF:$BB,3,0),0)</f>
        <v/>
      </c>
      <c r="BI33" s="167">
        <f>IFERROR(VLOOKUP(BE33,$AF:$BB,5,0),0)</f>
        <v/>
      </c>
      <c r="BJ33" s="354">
        <f>IFERROR(VLOOKUP(BE33,$AF:$BB,6,0),0)</f>
        <v/>
      </c>
      <c r="BK33" s="153">
        <f>IFERROR(VLOOKUP(BE33,$AF:$BB,7,0),0)</f>
        <v/>
      </c>
      <c r="BL33" s="355">
        <f>IFERROR(VLOOKUP(BE33,$AF:$BB,8,0),0)</f>
        <v/>
      </c>
      <c r="BM33" s="153">
        <f>IFERROR(VLOOKUP(BE33,$AF:$BB,9,0),0)</f>
        <v/>
      </c>
      <c r="BN33" s="353">
        <f>IFERROR(VLOOKUP(BE33,$AF:$BB,10,0),0)</f>
        <v/>
      </c>
      <c r="BO33" s="167">
        <f>IFERROR(VLOOKUP(BE33,$AF:$BB,12,0),0)</f>
        <v/>
      </c>
      <c r="BP33" s="354">
        <f>IFERROR(VLOOKUP(BE33,$AF:$BB,13,0),0)</f>
        <v/>
      </c>
      <c r="BQ33" s="153">
        <f>IFERROR(VLOOKUP(BE33,$AF:$BB,14,0),0)</f>
        <v/>
      </c>
      <c r="BR33" s="355">
        <f>IFERROR(VLOOKUP(BE33,$AF:$BB,15,0),0)</f>
        <v/>
      </c>
      <c r="BS33" s="153">
        <f>IFERROR(VLOOKUP(BE33,$AF:$BB,16,0),0)</f>
        <v/>
      </c>
      <c r="BT33" s="353">
        <f>IFERROR(VLOOKUP(BE33,$AF:$BB,17,0),0)</f>
        <v/>
      </c>
      <c r="BU33" s="167">
        <f>IFERROR(VLOOKUP(BE33,$AF:$BB,19,0),0)</f>
        <v/>
      </c>
      <c r="BV33" s="354">
        <f>IFERROR(VLOOKUP(BE33,$AF:$BB,20,0),0)</f>
        <v/>
      </c>
      <c r="BW33" s="153">
        <f>IFERROR(VLOOKUP(BE33,$AF:$BB,21,0),0)</f>
        <v/>
      </c>
      <c r="BX33" s="355">
        <f>IFERROR(VLOOKUP(BE33,$AF:$BB,22,0),0)</f>
        <v/>
      </c>
      <c r="BY33" s="153">
        <f>IFERROR(VLOOKUP(BE33,$AF:$BB,23,0),0)</f>
        <v/>
      </c>
    </row>
    <row customHeight="1" ht="15.75" r="34" s="183" spans="1:77" thickBot="1">
      <c r="B34" s="72" t="n">
        <v>367</v>
      </c>
      <c r="C34" s="72" t="s">
        <v>146</v>
      </c>
      <c r="D34" s="126">
        <f>IF(VLOOKUP(Resumen!C34,Análisis!B:AN,15,0)=0,"Sin cambios",VLOOKUP(Resumen!C34,Análisis!B:AN,15,0))</f>
        <v/>
      </c>
      <c r="E34" s="126">
        <f>IF(VLOOKUP(Resumen!C34,Análisis!B:AN,27,0)=0,"Sin cambios",VLOOKUP(Resumen!C34,Análisis!B:AN,27,0))</f>
        <v/>
      </c>
      <c r="F34" s="126">
        <f>IF(VLOOKUP(Resumen!C34,Análisis!B:AN,39,0)=0,"Sin cambios",VLOOKUP(Resumen!C34,Análisis!B:AN,39,0))</f>
        <v/>
      </c>
      <c r="G34" s="126">
        <f>IF(AND(D34="Sin cambios",E34="Sin cambios",F34="Sin cambios")=TRUE,"No","Sí")</f>
        <v/>
      </c>
      <c r="I34" s="77">
        <f>Base!B19</f>
        <v/>
      </c>
      <c r="J34" s="366">
        <f>VLOOKUP(I34,Análisis!B:AN,4,0)</f>
        <v/>
      </c>
      <c r="K34" s="367">
        <f>IF(VLOOKUP(I34,Análisis!B:AN,15,0)=0,"Sin cambios",VLOOKUP(I34,Análisis!B:AN,15,0))</f>
        <v/>
      </c>
      <c r="L34" s="368">
        <f>VLOOKUP(I34,Análisis!B:AN,5,0)</f>
        <v/>
      </c>
      <c r="M34" s="367">
        <f>VLOOKUP(I34,Análisis!B:AN,6,0)</f>
        <v/>
      </c>
      <c r="N34" s="368">
        <f>VLOOKUP(I34,Análisis!B:AN,7,0)</f>
        <v/>
      </c>
      <c r="O34" s="367">
        <f>VLOOKUP(I34,Análisis!B:AN,8,0)</f>
        <v/>
      </c>
      <c r="P34" s="369">
        <f>VLOOKUP(I34,Análisis!B:AN,9,0)</f>
        <v/>
      </c>
      <c r="Q34" s="366">
        <f>VLOOKUP(I34,Análisis!B:AN,16,0)</f>
        <v/>
      </c>
      <c r="R34" s="370">
        <f>IF(VLOOKUP(I34,Análisis!B:AN,27,0)=0,"Sin cambios",VLOOKUP(I34,Análisis!B:AN,27,0))</f>
        <v/>
      </c>
      <c r="S34" s="368">
        <f>VLOOKUP(I34,Análisis!B:AN,17,0)</f>
        <v/>
      </c>
      <c r="T34" s="367">
        <f>VLOOKUP(I34,Análisis!B:AN,18,0)</f>
        <v/>
      </c>
      <c r="U34" s="368">
        <f>VLOOKUP(I34,Análisis!B:AN,19,0)</f>
        <v/>
      </c>
      <c r="V34" s="367">
        <f>VLOOKUP(I34,Análisis!B:AN,20,0)</f>
        <v/>
      </c>
      <c r="W34" s="371">
        <f>VLOOKUP(I34,Análisis!B:AN,21,0)</f>
        <v/>
      </c>
      <c r="X34" s="370">
        <f>VLOOKUP(I34,Análisis!B:AN,28,0)</f>
        <v/>
      </c>
      <c r="Y34" s="370">
        <f>IF(VLOOKUP(I34,Análisis!B:AN,39,0)=0,"Sin cambios",VLOOKUP(I34,Análisis!B:AN,39,0))</f>
        <v/>
      </c>
      <c r="Z34" s="368">
        <f>VLOOKUP(I34,Análisis!B:AN,29,0)</f>
        <v/>
      </c>
      <c r="AA34" s="367">
        <f>VLOOKUP(I34,Análisis!B:AN,30,0)</f>
        <v/>
      </c>
      <c r="AB34" s="368">
        <f>VLOOKUP(I34,Análisis!B:AN,31,0)</f>
        <v/>
      </c>
      <c r="AC34" s="367">
        <f>VLOOKUP(I34,Análisis!B:AN,32,0)</f>
        <v/>
      </c>
      <c r="AD34" s="371">
        <f>VLOOKUP(I34,Análisis!B:AN,33,0)</f>
        <v/>
      </c>
      <c r="AF34" s="127" t="s">
        <v>108</v>
      </c>
      <c r="AG34" s="129" t="s">
        <v>260</v>
      </c>
      <c r="AH34" s="362">
        <f>VLOOKUP(AF34,Análisis!$B:$AN,4,0)</f>
        <v/>
      </c>
      <c r="AI34" s="363">
        <f>IF(VLOOKUP(AF34,Análisis!$B:$AN,15,0)=0,"Sin cambios",VLOOKUP(AF34,Análisis!$B:$AN,15,0))</f>
        <v/>
      </c>
      <c r="AJ34" s="364">
        <f>VLOOKUP(AF34,Análisis!$B:$AN,5,0)</f>
        <v/>
      </c>
      <c r="AK34" s="363">
        <f>VLOOKUP(AF34,Análisis!$B:$AN,6,0)</f>
        <v/>
      </c>
      <c r="AL34" s="364">
        <f>VLOOKUP(AF34,Análisis!$B:$AN,7,0)</f>
        <v/>
      </c>
      <c r="AM34" s="363">
        <f>VLOOKUP(AF34,Análisis!$B:$AN,8,0)</f>
        <v/>
      </c>
      <c r="AN34" s="365">
        <f>VLOOKUP(AF34,Análisis!$B:$AN,9,0)</f>
        <v/>
      </c>
      <c r="AO34" s="362">
        <f>VLOOKUP(AF34,Análisis!$B:$AN,16,0)</f>
        <v/>
      </c>
      <c r="AP34" s="363">
        <f>IF(VLOOKUP(AF34,Análisis!$B:$AN,27,0)=0,"Sin cambios",VLOOKUP(AF34,Análisis!$B:$AN,27,0))</f>
        <v/>
      </c>
      <c r="AQ34" s="364">
        <f>VLOOKUP(AF34,Análisis!$B:$AN,17,0)</f>
        <v/>
      </c>
      <c r="AR34" s="363">
        <f>VLOOKUP(AF34,Análisis!$B:$AN,18,0)</f>
        <v/>
      </c>
      <c r="AS34" s="364">
        <f>VLOOKUP(AF34,Análisis!$B:$AN,19,0)</f>
        <v/>
      </c>
      <c r="AT34" s="363">
        <f>VLOOKUP(AF34,Análisis!$B:$AN,20,0)</f>
        <v/>
      </c>
      <c r="AU34" s="365">
        <f>VLOOKUP(AF34,Análisis!$B:$AN,21,0)</f>
        <v/>
      </c>
      <c r="AV34" s="362">
        <f>VLOOKUP(AF34,Análisis!$B:$AN,28,0)</f>
        <v/>
      </c>
      <c r="AW34" s="363">
        <f>IF(VLOOKUP(AF34,Análisis!$B:$AN,39,0)=0,"Sin cambios",VLOOKUP(AF34,Análisis!$B:$AN,39,0))</f>
        <v/>
      </c>
      <c r="AX34" s="364">
        <f>VLOOKUP(AF34,Análisis!$B:$AN,29,0)</f>
        <v/>
      </c>
      <c r="AY34" s="363">
        <f>VLOOKUP(AF34,Análisis!$B:$AN,30,0)</f>
        <v/>
      </c>
      <c r="AZ34" s="364">
        <f>VLOOKUP(AF34,Análisis!$B:$AN,31,0)</f>
        <v/>
      </c>
      <c r="BA34" s="363">
        <f>VLOOKUP(AF34,Análisis!$B:$AN,32,0)</f>
        <v/>
      </c>
      <c r="BB34" s="365">
        <f>VLOOKUP(AF34,Análisis!$B:$AN,33,0)</f>
        <v/>
      </c>
      <c r="BE34" s="165" t="s">
        <v>224</v>
      </c>
      <c r="BF34" s="294" t="s">
        <v>337</v>
      </c>
      <c r="BH34" s="353">
        <f>IFERROR(VLOOKUP(BE34,$AF:$BB,3,0),0)</f>
        <v/>
      </c>
      <c r="BI34" s="167">
        <f>IFERROR(VLOOKUP(BE34,$AF:$BB,5,0),0)</f>
        <v/>
      </c>
      <c r="BJ34" s="354">
        <f>IFERROR(VLOOKUP(BE34,$AF:$BB,6,0),0)</f>
        <v/>
      </c>
      <c r="BK34" s="153">
        <f>IFERROR(VLOOKUP(BE34,$AF:$BB,7,0),0)</f>
        <v/>
      </c>
      <c r="BL34" s="355">
        <f>IFERROR(VLOOKUP(BE34,$AF:$BB,8,0),0)</f>
        <v/>
      </c>
      <c r="BM34" s="153">
        <f>IFERROR(VLOOKUP(BE34,$AF:$BB,9,0),0)</f>
        <v/>
      </c>
      <c r="BN34" s="353">
        <f>IFERROR(VLOOKUP(BE34,$AF:$BB,10,0),0)</f>
        <v/>
      </c>
      <c r="BO34" s="167">
        <f>IFERROR(VLOOKUP(BE34,$AF:$BB,12,0),0)</f>
        <v/>
      </c>
      <c r="BP34" s="354">
        <f>IFERROR(VLOOKUP(BE34,$AF:$BB,13,0),0)</f>
        <v/>
      </c>
      <c r="BQ34" s="153">
        <f>IFERROR(VLOOKUP(BE34,$AF:$BB,14,0),0)</f>
        <v/>
      </c>
      <c r="BR34" s="355">
        <f>IFERROR(VLOOKUP(BE34,$AF:$BB,15,0),0)</f>
        <v/>
      </c>
      <c r="BS34" s="153">
        <f>IFERROR(VLOOKUP(BE34,$AF:$BB,16,0),0)</f>
        <v/>
      </c>
      <c r="BT34" s="353">
        <f>IFERROR(VLOOKUP(BE34,$AF:$BB,17,0),0)</f>
        <v/>
      </c>
      <c r="BU34" s="167">
        <f>IFERROR(VLOOKUP(BE34,$AF:$BB,19,0),0)</f>
        <v/>
      </c>
      <c r="BV34" s="354">
        <f>IFERROR(VLOOKUP(BE34,$AF:$BB,20,0),0)</f>
        <v/>
      </c>
      <c r="BW34" s="153">
        <f>IFERROR(VLOOKUP(BE34,$AF:$BB,21,0),0)</f>
        <v/>
      </c>
      <c r="BX34" s="355">
        <f>IFERROR(VLOOKUP(BE34,$AF:$BB,22,0),0)</f>
        <v/>
      </c>
      <c r="BY34" s="153">
        <f>IFERROR(VLOOKUP(BE34,$AF:$BB,23,0),0)</f>
        <v/>
      </c>
    </row>
    <row customHeight="1" ht="15.75" r="35" s="183" spans="1:77" thickBot="1">
      <c r="B35" s="72" t="n">
        <v>340</v>
      </c>
      <c r="C35" s="72" t="s">
        <v>124</v>
      </c>
      <c r="D35" s="126">
        <f>IF(VLOOKUP(Resumen!C35,Análisis!B:AN,15,0)=0,"Sin cambios",VLOOKUP(Resumen!C35,Análisis!B:AN,15,0))</f>
        <v/>
      </c>
      <c r="E35" s="126">
        <f>IF(VLOOKUP(Resumen!C35,Análisis!B:AN,27,0)=0,"Sin cambios",VLOOKUP(Resumen!C35,Análisis!B:AN,27,0))</f>
        <v/>
      </c>
      <c r="F35" s="126">
        <f>IF(VLOOKUP(Resumen!C35,Análisis!B:AN,39,0)=0,"Sin cambios",VLOOKUP(Resumen!C35,Análisis!B:AN,39,0))</f>
        <v/>
      </c>
      <c r="G35" s="126">
        <f>IF(AND(D35="Sin cambios",E35="Sin cambios",F35="Sin cambios")=TRUE,"No","Sí")</f>
        <v/>
      </c>
      <c r="J35" s="372" t="s">
        <v>315</v>
      </c>
      <c r="K35" s="373" t="n"/>
      <c r="L35" s="374" t="n"/>
      <c r="M35" s="373" t="n"/>
      <c r="N35" s="374" t="n"/>
      <c r="O35" s="373" t="n"/>
      <c r="P35" s="374" t="n"/>
      <c r="Q35" s="373" t="n"/>
      <c r="R35" s="373" t="n"/>
      <c r="S35" s="374" t="n"/>
      <c r="T35" s="373" t="n"/>
      <c r="U35" s="374" t="n"/>
      <c r="V35" s="373" t="n"/>
      <c r="W35" s="374" t="n"/>
      <c r="X35" s="373" t="n"/>
      <c r="Y35" s="373" t="n"/>
      <c r="Z35" s="374" t="n"/>
      <c r="AA35" s="373" t="n"/>
      <c r="AB35" s="374" t="n"/>
      <c r="AC35" s="373" t="n"/>
      <c r="AD35" s="374" t="n"/>
      <c r="AF35" s="127" t="s">
        <v>109</v>
      </c>
      <c r="AG35" s="129" t="s">
        <v>258</v>
      </c>
      <c r="AH35" s="362">
        <f>VLOOKUP(AF35,Análisis!$B:$AN,4,0)</f>
        <v/>
      </c>
      <c r="AI35" s="363">
        <f>IF(VLOOKUP(AF35,Análisis!$B:$AN,15,0)=0,"Sin cambios",VLOOKUP(AF35,Análisis!$B:$AN,15,0))</f>
        <v/>
      </c>
      <c r="AJ35" s="364">
        <f>VLOOKUP(AF35,Análisis!$B:$AN,5,0)</f>
        <v/>
      </c>
      <c r="AK35" s="363">
        <f>VLOOKUP(AF35,Análisis!$B:$AN,6,0)</f>
        <v/>
      </c>
      <c r="AL35" s="364">
        <f>VLOOKUP(AF35,Análisis!$B:$AN,7,0)</f>
        <v/>
      </c>
      <c r="AM35" s="363">
        <f>VLOOKUP(AF35,Análisis!$B:$AN,8,0)</f>
        <v/>
      </c>
      <c r="AN35" s="365">
        <f>VLOOKUP(AF35,Análisis!$B:$AN,9,0)</f>
        <v/>
      </c>
      <c r="AO35" s="362">
        <f>VLOOKUP(AF35,Análisis!$B:$AN,16,0)</f>
        <v/>
      </c>
      <c r="AP35" s="363">
        <f>IF(VLOOKUP(AF35,Análisis!$B:$AN,27,0)=0,"Sin cambios",VLOOKUP(AF35,Análisis!$B:$AN,27,0))</f>
        <v/>
      </c>
      <c r="AQ35" s="364">
        <f>VLOOKUP(AF35,Análisis!$B:$AN,17,0)</f>
        <v/>
      </c>
      <c r="AR35" s="363">
        <f>VLOOKUP(AF35,Análisis!$B:$AN,18,0)</f>
        <v/>
      </c>
      <c r="AS35" s="364">
        <f>VLOOKUP(AF35,Análisis!$B:$AN,19,0)</f>
        <v/>
      </c>
      <c r="AT35" s="363">
        <f>VLOOKUP(AF35,Análisis!$B:$AN,20,0)</f>
        <v/>
      </c>
      <c r="AU35" s="365">
        <f>VLOOKUP(AF35,Análisis!$B:$AN,21,0)</f>
        <v/>
      </c>
      <c r="AV35" s="362">
        <f>VLOOKUP(AF35,Análisis!$B:$AN,28,0)</f>
        <v/>
      </c>
      <c r="AW35" s="363">
        <f>IF(VLOOKUP(AF35,Análisis!$B:$AN,39,0)=0,"Sin cambios",VLOOKUP(AF35,Análisis!$B:$AN,39,0))</f>
        <v/>
      </c>
      <c r="AX35" s="364">
        <f>VLOOKUP(AF35,Análisis!$B:$AN,29,0)</f>
        <v/>
      </c>
      <c r="AY35" s="363">
        <f>VLOOKUP(AF35,Análisis!$B:$AN,30,0)</f>
        <v/>
      </c>
      <c r="AZ35" s="364">
        <f>VLOOKUP(AF35,Análisis!$B:$AN,31,0)</f>
        <v/>
      </c>
      <c r="BA35" s="363">
        <f>VLOOKUP(AF35,Análisis!$B:$AN,32,0)</f>
        <v/>
      </c>
      <c r="BB35" s="365">
        <f>VLOOKUP(AF35,Análisis!$B:$AN,33,0)</f>
        <v/>
      </c>
      <c r="BE35" s="165" t="s">
        <v>50</v>
      </c>
      <c r="BF35" s="294" t="s">
        <v>338</v>
      </c>
      <c r="BH35" s="353">
        <f>IFERROR(VLOOKUP(BE35,$AF:$BB,3,0),0)</f>
        <v/>
      </c>
      <c r="BI35" s="167">
        <f>IFERROR(VLOOKUP(BE35,$AF:$BB,5,0),0)</f>
        <v/>
      </c>
      <c r="BJ35" s="354">
        <f>IFERROR(VLOOKUP(BE35,$AF:$BB,6,0),0)</f>
        <v/>
      </c>
      <c r="BK35" s="153">
        <f>IFERROR(VLOOKUP(BE35,$AF:$BB,7,0),0)</f>
        <v/>
      </c>
      <c r="BL35" s="355">
        <f>IFERROR(VLOOKUP(BE35,$AF:$BB,8,0),0)</f>
        <v/>
      </c>
      <c r="BM35" s="153">
        <f>IFERROR(VLOOKUP(BE35,$AF:$BB,9,0),0)</f>
        <v/>
      </c>
      <c r="BN35" s="353">
        <f>IFERROR(VLOOKUP(BE35,$AF:$BB,10,0),0)</f>
        <v/>
      </c>
      <c r="BO35" s="167">
        <f>IFERROR(VLOOKUP(BE35,$AF:$BB,12,0),0)</f>
        <v/>
      </c>
      <c r="BP35" s="354">
        <f>IFERROR(VLOOKUP(BE35,$AF:$BB,13,0),0)</f>
        <v/>
      </c>
      <c r="BQ35" s="153">
        <f>IFERROR(VLOOKUP(BE35,$AF:$BB,14,0),0)</f>
        <v/>
      </c>
      <c r="BR35" s="355">
        <f>IFERROR(VLOOKUP(BE35,$AF:$BB,15,0),0)</f>
        <v/>
      </c>
      <c r="BS35" s="153">
        <f>IFERROR(VLOOKUP(BE35,$AF:$BB,16,0),0)</f>
        <v/>
      </c>
      <c r="BT35" s="353">
        <f>IFERROR(VLOOKUP(BE35,$AF:$BB,17,0),0)</f>
        <v/>
      </c>
      <c r="BU35" s="167">
        <f>IFERROR(VLOOKUP(BE35,$AF:$BB,19,0),0)</f>
        <v/>
      </c>
      <c r="BV35" s="354">
        <f>IFERROR(VLOOKUP(BE35,$AF:$BB,20,0),0)</f>
        <v/>
      </c>
      <c r="BW35" s="153">
        <f>IFERROR(VLOOKUP(BE35,$AF:$BB,21,0),0)</f>
        <v/>
      </c>
      <c r="BX35" s="355">
        <f>IFERROR(VLOOKUP(BE35,$AF:$BB,22,0),0)</f>
        <v/>
      </c>
      <c r="BY35" s="153">
        <f>IFERROR(VLOOKUP(BE35,$AF:$BB,23,0),0)</f>
        <v/>
      </c>
    </row>
    <row customHeight="1" ht="15.75" r="36" s="183" spans="1:77" thickBot="1">
      <c r="B36" s="72" t="n">
        <v>350</v>
      </c>
      <c r="C36" s="72" t="s">
        <v>270</v>
      </c>
      <c r="D36" s="126">
        <f>IF(VLOOKUP(Resumen!C36,Análisis!B:AN,15,0)=0,"Sin cambios",VLOOKUP(Resumen!C36,Análisis!B:AN,15,0))</f>
        <v/>
      </c>
      <c r="E36" s="126">
        <f>IF(VLOOKUP(Resumen!C36,Análisis!B:AN,27,0)=0,"Sin cambios",VLOOKUP(Resumen!C36,Análisis!B:AN,27,0))</f>
        <v/>
      </c>
      <c r="F36" s="126">
        <f>IF(VLOOKUP(Resumen!C36,Análisis!B:AN,39,0)=0,"Sin cambios",VLOOKUP(Resumen!C36,Análisis!B:AN,39,0))</f>
        <v/>
      </c>
      <c r="G36" s="126">
        <f>IF(AND(D36="Sin cambios",E36="Sin cambios",F36="Sin cambios")=TRUE,"No","Sí")</f>
        <v/>
      </c>
      <c r="J36" s="276">
        <f>J2</f>
        <v/>
      </c>
      <c r="Q36" s="276">
        <f>Q2</f>
        <v/>
      </c>
      <c r="X36" s="277">
        <f>X2</f>
        <v/>
      </c>
      <c r="AF36" s="127" t="s">
        <v>110</v>
      </c>
      <c r="AG36" s="129" t="s">
        <v>260</v>
      </c>
      <c r="AH36" s="362">
        <f>VLOOKUP(AF36,Análisis!$B:$AN,4,0)</f>
        <v/>
      </c>
      <c r="AI36" s="363">
        <f>IF(VLOOKUP(AF36,Análisis!$B:$AN,15,0)=0,"Sin cambios",VLOOKUP(AF36,Análisis!$B:$AN,15,0))</f>
        <v/>
      </c>
      <c r="AJ36" s="364">
        <f>VLOOKUP(AF36,Análisis!$B:$AN,5,0)</f>
        <v/>
      </c>
      <c r="AK36" s="363">
        <f>VLOOKUP(AF36,Análisis!$B:$AN,6,0)</f>
        <v/>
      </c>
      <c r="AL36" s="364">
        <f>VLOOKUP(AF36,Análisis!$B:$AN,7,0)</f>
        <v/>
      </c>
      <c r="AM36" s="363">
        <f>VLOOKUP(AF36,Análisis!$B:$AN,8,0)</f>
        <v/>
      </c>
      <c r="AN36" s="365">
        <f>VLOOKUP(AF36,Análisis!$B:$AN,9,0)</f>
        <v/>
      </c>
      <c r="AO36" s="362">
        <f>VLOOKUP(AF36,Análisis!$B:$AN,16,0)</f>
        <v/>
      </c>
      <c r="AP36" s="363">
        <f>IF(VLOOKUP(AF36,Análisis!$B:$AN,27,0)=0,"Sin cambios",VLOOKUP(AF36,Análisis!$B:$AN,27,0))</f>
        <v/>
      </c>
      <c r="AQ36" s="364">
        <f>VLOOKUP(AF36,Análisis!$B:$AN,17,0)</f>
        <v/>
      </c>
      <c r="AR36" s="363">
        <f>VLOOKUP(AF36,Análisis!$B:$AN,18,0)</f>
        <v/>
      </c>
      <c r="AS36" s="364">
        <f>VLOOKUP(AF36,Análisis!$B:$AN,19,0)</f>
        <v/>
      </c>
      <c r="AT36" s="363">
        <f>VLOOKUP(AF36,Análisis!$B:$AN,20,0)</f>
        <v/>
      </c>
      <c r="AU36" s="365">
        <f>VLOOKUP(AF36,Análisis!$B:$AN,21,0)</f>
        <v/>
      </c>
      <c r="AV36" s="362">
        <f>VLOOKUP(AF36,Análisis!$B:$AN,28,0)</f>
        <v/>
      </c>
      <c r="AW36" s="363">
        <f>IF(VLOOKUP(AF36,Análisis!$B:$AN,39,0)=0,"Sin cambios",VLOOKUP(AF36,Análisis!$B:$AN,39,0))</f>
        <v/>
      </c>
      <c r="AX36" s="364">
        <f>VLOOKUP(AF36,Análisis!$B:$AN,29,0)</f>
        <v/>
      </c>
      <c r="AY36" s="363">
        <f>VLOOKUP(AF36,Análisis!$B:$AN,30,0)</f>
        <v/>
      </c>
      <c r="AZ36" s="364">
        <f>VLOOKUP(AF36,Análisis!$B:$AN,31,0)</f>
        <v/>
      </c>
      <c r="BA36" s="363">
        <f>VLOOKUP(AF36,Análisis!$B:$AN,32,0)</f>
        <v/>
      </c>
      <c r="BB36" s="365">
        <f>VLOOKUP(AF36,Análisis!$B:$AN,33,0)</f>
        <v/>
      </c>
      <c r="BE36" s="165" t="s">
        <v>72</v>
      </c>
      <c r="BF36" s="294" t="s">
        <v>339</v>
      </c>
      <c r="BH36" s="353">
        <f>IFERROR(VLOOKUP(BE36,$AF:$BB,3,0),0)</f>
        <v/>
      </c>
      <c r="BI36" s="167">
        <f>IFERROR(VLOOKUP(BE36,$AF:$BB,5,0),0)</f>
        <v/>
      </c>
      <c r="BJ36" s="354">
        <f>IFERROR(VLOOKUP(BE36,$AF:$BB,6,0),0)</f>
        <v/>
      </c>
      <c r="BK36" s="153">
        <f>IFERROR(VLOOKUP(BE36,$AF:$BB,7,0),0)</f>
        <v/>
      </c>
      <c r="BL36" s="355">
        <f>IFERROR(VLOOKUP(BE36,$AF:$BB,8,0),0)</f>
        <v/>
      </c>
      <c r="BM36" s="153">
        <f>IFERROR(VLOOKUP(BE36,$AF:$BB,9,0),0)</f>
        <v/>
      </c>
      <c r="BN36" s="353">
        <f>IFERROR(VLOOKUP(BE36,$AF:$BB,10,0),0)</f>
        <v/>
      </c>
      <c r="BO36" s="167">
        <f>IFERROR(VLOOKUP(BE36,$AF:$BB,12,0),0)</f>
        <v/>
      </c>
      <c r="BP36" s="354">
        <f>IFERROR(VLOOKUP(BE36,$AF:$BB,13,0),0)</f>
        <v/>
      </c>
      <c r="BQ36" s="153">
        <f>IFERROR(VLOOKUP(BE36,$AF:$BB,14,0),0)</f>
        <v/>
      </c>
      <c r="BR36" s="355">
        <f>IFERROR(VLOOKUP(BE36,$AF:$BB,15,0),0)</f>
        <v/>
      </c>
      <c r="BS36" s="153">
        <f>IFERROR(VLOOKUP(BE36,$AF:$BB,16,0),0)</f>
        <v/>
      </c>
      <c r="BT36" s="353">
        <f>IFERROR(VLOOKUP(BE36,$AF:$BB,17,0),0)</f>
        <v/>
      </c>
      <c r="BU36" s="167">
        <f>IFERROR(VLOOKUP(BE36,$AF:$BB,19,0),0)</f>
        <v/>
      </c>
      <c r="BV36" s="354">
        <f>IFERROR(VLOOKUP(BE36,$AF:$BB,20,0),0)</f>
        <v/>
      </c>
      <c r="BW36" s="153">
        <f>IFERROR(VLOOKUP(BE36,$AF:$BB,21,0),0)</f>
        <v/>
      </c>
      <c r="BX36" s="355">
        <f>IFERROR(VLOOKUP(BE36,$AF:$BB,22,0),0)</f>
        <v/>
      </c>
      <c r="BY36" s="153">
        <f>IFERROR(VLOOKUP(BE36,$AF:$BB,23,0),0)</f>
        <v/>
      </c>
    </row>
    <row customHeight="1" ht="15.75" r="37" s="183" spans="1:77" thickBot="1">
      <c r="B37" s="72" t="n">
        <v>336</v>
      </c>
      <c r="C37" s="72" t="s">
        <v>120</v>
      </c>
      <c r="D37" s="126">
        <f>IF(VLOOKUP(Resumen!C37,Análisis!B:AN,15,0)=0,"Sin cambios",VLOOKUP(Resumen!C37,Análisis!B:AN,15,0))</f>
        <v/>
      </c>
      <c r="E37" s="126">
        <f>IF(VLOOKUP(Resumen!C37,Análisis!B:AN,27,0)=0,"Sin cambios",VLOOKUP(Resumen!C37,Análisis!B:AN,27,0))</f>
        <v/>
      </c>
      <c r="F37" s="126">
        <f>IF(VLOOKUP(Resumen!C37,Análisis!B:AN,39,0)=0,"Sin cambios",VLOOKUP(Resumen!C37,Análisis!B:AN,39,0))</f>
        <v/>
      </c>
      <c r="G37" s="126">
        <f>IF(AND(D37="Sin cambios",E37="Sin cambios",F37="Sin cambios")=TRUE,"No","Sí")</f>
        <v/>
      </c>
      <c r="J37" s="274" t="s">
        <v>280</v>
      </c>
      <c r="M37" s="271" t="s">
        <v>281</v>
      </c>
      <c r="O37" s="272" t="s">
        <v>282</v>
      </c>
      <c r="Q37" s="274" t="s">
        <v>280</v>
      </c>
      <c r="T37" s="271" t="s">
        <v>281</v>
      </c>
      <c r="V37" s="272" t="s">
        <v>282</v>
      </c>
      <c r="X37" s="269" t="s">
        <v>280</v>
      </c>
      <c r="AA37" s="271" t="s">
        <v>281</v>
      </c>
      <c r="AC37" s="272" t="s">
        <v>282</v>
      </c>
      <c r="AF37" s="127" t="s">
        <v>111</v>
      </c>
      <c r="AG37" s="129" t="s">
        <v>260</v>
      </c>
      <c r="AH37" s="362">
        <f>VLOOKUP(AF37,Análisis!$B:$AN,4,0)</f>
        <v/>
      </c>
      <c r="AI37" s="363">
        <f>IF(VLOOKUP(AF37,Análisis!$B:$AN,15,0)=0,"Sin cambios",VLOOKUP(AF37,Análisis!$B:$AN,15,0))</f>
        <v/>
      </c>
      <c r="AJ37" s="364">
        <f>VLOOKUP(AF37,Análisis!$B:$AN,5,0)</f>
        <v/>
      </c>
      <c r="AK37" s="363">
        <f>VLOOKUP(AF37,Análisis!$B:$AN,6,0)</f>
        <v/>
      </c>
      <c r="AL37" s="364">
        <f>VLOOKUP(AF37,Análisis!$B:$AN,7,0)</f>
        <v/>
      </c>
      <c r="AM37" s="363">
        <f>VLOOKUP(AF37,Análisis!$B:$AN,8,0)</f>
        <v/>
      </c>
      <c r="AN37" s="365">
        <f>VLOOKUP(AF37,Análisis!$B:$AN,9,0)</f>
        <v/>
      </c>
      <c r="AO37" s="362">
        <f>VLOOKUP(AF37,Análisis!$B:$AN,16,0)</f>
        <v/>
      </c>
      <c r="AP37" s="363">
        <f>IF(VLOOKUP(AF37,Análisis!$B:$AN,27,0)=0,"Sin cambios",VLOOKUP(AF37,Análisis!$B:$AN,27,0))</f>
        <v/>
      </c>
      <c r="AQ37" s="364">
        <f>VLOOKUP(AF37,Análisis!$B:$AN,17,0)</f>
        <v/>
      </c>
      <c r="AR37" s="363">
        <f>VLOOKUP(AF37,Análisis!$B:$AN,18,0)</f>
        <v/>
      </c>
      <c r="AS37" s="364">
        <f>VLOOKUP(AF37,Análisis!$B:$AN,19,0)</f>
        <v/>
      </c>
      <c r="AT37" s="363">
        <f>VLOOKUP(AF37,Análisis!$B:$AN,20,0)</f>
        <v/>
      </c>
      <c r="AU37" s="365">
        <f>VLOOKUP(AF37,Análisis!$B:$AN,21,0)</f>
        <v/>
      </c>
      <c r="AV37" s="362">
        <f>VLOOKUP(AF37,Análisis!$B:$AN,28,0)</f>
        <v/>
      </c>
      <c r="AW37" s="363">
        <f>IF(VLOOKUP(AF37,Análisis!$B:$AN,39,0)=0,"Sin cambios",VLOOKUP(AF37,Análisis!$B:$AN,39,0))</f>
        <v/>
      </c>
      <c r="AX37" s="364">
        <f>VLOOKUP(AF37,Análisis!$B:$AN,29,0)</f>
        <v/>
      </c>
      <c r="AY37" s="363">
        <f>VLOOKUP(AF37,Análisis!$B:$AN,30,0)</f>
        <v/>
      </c>
      <c r="AZ37" s="364">
        <f>VLOOKUP(AF37,Análisis!$B:$AN,31,0)</f>
        <v/>
      </c>
      <c r="BA37" s="363">
        <f>VLOOKUP(AF37,Análisis!$B:$AN,32,0)</f>
        <v/>
      </c>
      <c r="BB37" s="365">
        <f>VLOOKUP(AF37,Análisis!$B:$AN,33,0)</f>
        <v/>
      </c>
      <c r="BE37" s="154" t="n"/>
      <c r="BF37" s="298" t="s">
        <v>340</v>
      </c>
      <c r="BH37" s="381">
        <f>AVERAGE(BH31:BH36)</f>
        <v/>
      </c>
      <c r="BI37" s="382">
        <f>AVERAGE(BI31:BI36)</f>
        <v/>
      </c>
      <c r="BJ37" s="381">
        <f>AVERAGE(BJ31:BJ36)</f>
        <v/>
      </c>
      <c r="BK37" s="383">
        <f>AVERAGE(BK31:BK36)</f>
        <v/>
      </c>
      <c r="BL37" s="384">
        <f>AVERAGE(BL31:BL36)</f>
        <v/>
      </c>
      <c r="BM37" s="383">
        <f>AVERAGE(BM31:BM36)</f>
        <v/>
      </c>
      <c r="BN37" s="381">
        <f>AVERAGE(BN31:BN36)</f>
        <v/>
      </c>
      <c r="BO37" s="382">
        <f>AVERAGE(BO31:BO36)</f>
        <v/>
      </c>
      <c r="BP37" s="381">
        <f>AVERAGE(BP31:BP36)</f>
        <v/>
      </c>
      <c r="BQ37" s="383">
        <f>AVERAGE(BQ31:BQ36)</f>
        <v/>
      </c>
      <c r="BR37" s="384">
        <f>AVERAGE(BR31:BR36)</f>
        <v/>
      </c>
      <c r="BS37" s="383">
        <f>AVERAGE(BS31:BS36)</f>
        <v/>
      </c>
      <c r="BT37" s="381">
        <f>AVERAGE(BT31:BT36)</f>
        <v/>
      </c>
      <c r="BU37" s="382">
        <f>AVERAGE(BU31:BU36)</f>
        <v/>
      </c>
      <c r="BV37" s="381">
        <f>AVERAGE(BV31:BV36)</f>
        <v/>
      </c>
      <c r="BW37" s="383">
        <f>AVERAGE(BW31:BW36)</f>
        <v/>
      </c>
      <c r="BX37" s="384">
        <f>AVERAGE(BX31:BX36)</f>
        <v/>
      </c>
      <c r="BY37" s="383">
        <f>AVERAGE(BY31:BY36)</f>
        <v/>
      </c>
    </row>
    <row customHeight="1" ht="35.1" r="38" s="183" spans="1:77" thickBot="1">
      <c r="B38" s="72" t="n">
        <v>333</v>
      </c>
      <c r="C38" s="72" t="s">
        <v>117</v>
      </c>
      <c r="D38" s="126">
        <f>IF(VLOOKUP(Resumen!C38,Análisis!B:AN,15,0)=0,"Sin cambios",VLOOKUP(Resumen!C38,Análisis!B:AN,15,0))</f>
        <v/>
      </c>
      <c r="E38" s="126">
        <f>IF(VLOOKUP(Resumen!C38,Análisis!B:AN,27,0)=0,"Sin cambios",VLOOKUP(Resumen!C38,Análisis!B:AN,27,0))</f>
        <v/>
      </c>
      <c r="F38" s="126">
        <f>IF(VLOOKUP(Resumen!C38,Análisis!B:AN,39,0)=0,"Sin cambios",VLOOKUP(Resumen!C38,Análisis!B:AN,39,0))</f>
        <v/>
      </c>
      <c r="G38" s="126">
        <f>IF(AND(D38="Sin cambios",E38="Sin cambios",F38="Sin cambios")=TRUE,"No","Sí")</f>
        <v/>
      </c>
      <c r="J38" s="334" t="s">
        <v>301</v>
      </c>
      <c r="K38" s="334" t="s">
        <v>302</v>
      </c>
      <c r="L38" s="335" t="s">
        <v>286</v>
      </c>
      <c r="M38" s="336" t="s">
        <v>285</v>
      </c>
      <c r="N38" s="335" t="s">
        <v>286</v>
      </c>
      <c r="O38" s="336" t="s">
        <v>285</v>
      </c>
      <c r="P38" s="335" t="s">
        <v>286</v>
      </c>
      <c r="Q38" s="334" t="s">
        <v>301</v>
      </c>
      <c r="R38" s="334" t="s">
        <v>302</v>
      </c>
      <c r="S38" s="335" t="s">
        <v>286</v>
      </c>
      <c r="T38" s="336" t="s">
        <v>285</v>
      </c>
      <c r="U38" s="335" t="s">
        <v>286</v>
      </c>
      <c r="V38" s="336" t="s">
        <v>285</v>
      </c>
      <c r="W38" s="335" t="s">
        <v>286</v>
      </c>
      <c r="X38" s="334" t="s">
        <v>301</v>
      </c>
      <c r="Y38" s="334" t="s">
        <v>302</v>
      </c>
      <c r="Z38" s="335" t="s">
        <v>286</v>
      </c>
      <c r="AA38" s="336" t="s">
        <v>285</v>
      </c>
      <c r="AB38" s="335" t="s">
        <v>286</v>
      </c>
      <c r="AC38" s="336" t="s">
        <v>285</v>
      </c>
      <c r="AD38" s="337" t="s">
        <v>286</v>
      </c>
      <c r="AF38" s="127" t="s">
        <v>112</v>
      </c>
      <c r="AG38" s="129" t="s">
        <v>260</v>
      </c>
      <c r="AH38" s="362">
        <f>VLOOKUP(AF38,Análisis!$B:$AN,4,0)</f>
        <v/>
      </c>
      <c r="AI38" s="363">
        <f>IF(VLOOKUP(AF38,Análisis!$B:$AN,15,0)=0,"Sin cambios",VLOOKUP(AF38,Análisis!$B:$AN,15,0))</f>
        <v/>
      </c>
      <c r="AJ38" s="364">
        <f>VLOOKUP(AF38,Análisis!$B:$AN,5,0)</f>
        <v/>
      </c>
      <c r="AK38" s="363">
        <f>VLOOKUP(AF38,Análisis!$B:$AN,6,0)</f>
        <v/>
      </c>
      <c r="AL38" s="364">
        <f>VLOOKUP(AF38,Análisis!$B:$AN,7,0)</f>
        <v/>
      </c>
      <c r="AM38" s="363">
        <f>VLOOKUP(AF38,Análisis!$B:$AN,8,0)</f>
        <v/>
      </c>
      <c r="AN38" s="365">
        <f>VLOOKUP(AF38,Análisis!$B:$AN,9,0)</f>
        <v/>
      </c>
      <c r="AO38" s="362">
        <f>VLOOKUP(AF38,Análisis!$B:$AN,16,0)</f>
        <v/>
      </c>
      <c r="AP38" s="363">
        <f>IF(VLOOKUP(AF38,Análisis!$B:$AN,27,0)=0,"Sin cambios",VLOOKUP(AF38,Análisis!$B:$AN,27,0))</f>
        <v/>
      </c>
      <c r="AQ38" s="364">
        <f>VLOOKUP(AF38,Análisis!$B:$AN,17,0)</f>
        <v/>
      </c>
      <c r="AR38" s="363">
        <f>VLOOKUP(AF38,Análisis!$B:$AN,18,0)</f>
        <v/>
      </c>
      <c r="AS38" s="364">
        <f>VLOOKUP(AF38,Análisis!$B:$AN,19,0)</f>
        <v/>
      </c>
      <c r="AT38" s="363">
        <f>VLOOKUP(AF38,Análisis!$B:$AN,20,0)</f>
        <v/>
      </c>
      <c r="AU38" s="365">
        <f>VLOOKUP(AF38,Análisis!$B:$AN,21,0)</f>
        <v/>
      </c>
      <c r="AV38" s="362">
        <f>VLOOKUP(AF38,Análisis!$B:$AN,28,0)</f>
        <v/>
      </c>
      <c r="AW38" s="363">
        <f>IF(VLOOKUP(AF38,Análisis!$B:$AN,39,0)=0,"Sin cambios",VLOOKUP(AF38,Análisis!$B:$AN,39,0))</f>
        <v/>
      </c>
      <c r="AX38" s="364">
        <f>VLOOKUP(AF38,Análisis!$B:$AN,29,0)</f>
        <v/>
      </c>
      <c r="AY38" s="363">
        <f>VLOOKUP(AF38,Análisis!$B:$AN,30,0)</f>
        <v/>
      </c>
      <c r="AZ38" s="364">
        <f>VLOOKUP(AF38,Análisis!$B:$AN,31,0)</f>
        <v/>
      </c>
      <c r="BA38" s="363">
        <f>VLOOKUP(AF38,Análisis!$B:$AN,32,0)</f>
        <v/>
      </c>
      <c r="BB38" s="365">
        <f>VLOOKUP(AF38,Análisis!$B:$AN,33,0)</f>
        <v/>
      </c>
    </row>
    <row customHeight="1" ht="39" r="39" s="183" spans="1:77" thickBot="1">
      <c r="B39" s="72" t="n">
        <v>319</v>
      </c>
      <c r="C39" s="72" t="s">
        <v>107</v>
      </c>
      <c r="D39" s="126">
        <f>IF(VLOOKUP(Resumen!C39,Análisis!B:AN,15,0)=0,"Sin cambios",VLOOKUP(Resumen!C39,Análisis!B:AN,15,0))</f>
        <v/>
      </c>
      <c r="E39" s="126">
        <f>IF(VLOOKUP(Resumen!C39,Análisis!B:AN,27,0)=0,"Sin cambios",VLOOKUP(Resumen!C39,Análisis!B:AN,27,0))</f>
        <v/>
      </c>
      <c r="F39" s="126">
        <f>IF(VLOOKUP(Resumen!C39,Análisis!B:AN,39,0)=0,"Sin cambios",VLOOKUP(Resumen!C39,Análisis!B:AN,39,0))</f>
        <v/>
      </c>
      <c r="G39" s="126">
        <f>IF(AND(D39="Sin cambios",E39="Sin cambios",F39="Sin cambios")=TRUE,"No","Sí")</f>
        <v/>
      </c>
      <c r="I39" s="65" t="s">
        <v>341</v>
      </c>
      <c r="J39" s="375">
        <f>SUMIF(Análisis!$C:$C,"Regiones",Análisis!E:E)/COUNTIF(Análisis!$C:$C,"Regiones")</f>
        <v/>
      </c>
      <c r="K39" s="376">
        <f>SUMIF(Análisis!$C:$C,"Regiones",Análisis!P:P)/COUNTIF(Análisis!$C:$C,"Regiones")</f>
        <v/>
      </c>
      <c r="L39" s="377">
        <f>SUMIF(Análisis!$C:$C,"Regiones",Análisis!F:F)/COUNTIF(Análisis!$C:$C,"Regiones")</f>
        <v/>
      </c>
      <c r="M39" s="378">
        <f>SUMIF(Análisis!$C:$C,"Regiones",Análisis!G:G)/COUNTIF(Análisis!$C:$C,"Regiones")</f>
        <v/>
      </c>
      <c r="N39" s="377">
        <f>SUMIF(Análisis!$C:$C,"Regiones",Análisis!H:H)/COUNTIF(Análisis!$C:$C,"Regiones")</f>
        <v/>
      </c>
      <c r="O39" s="378">
        <f>SUMIF(Análisis!$C:$C,"Regiones",Análisis!I:I)/COUNTIF(Análisis!$C:$C,"Regiones")</f>
        <v/>
      </c>
      <c r="P39" s="379">
        <f>SUMIF(Análisis!$C:$C,"Regiones",Análisis!J:J)/COUNTIF(Análisis!$C:$C,"Regiones")</f>
        <v/>
      </c>
      <c r="Q39" s="375">
        <f>SUMIF(Análisis!$C:$C,"Regiones",Análisis!Q:Q)/COUNTIF(Análisis!$C:$C,"Regiones")</f>
        <v/>
      </c>
      <c r="R39" s="376">
        <f>SUMIF(Análisis!$C:$C,"Regiones",Análisis!AB:AB)/COUNTIF(Análisis!$C:$C,"Regiones")</f>
        <v/>
      </c>
      <c r="S39" s="377">
        <f>SUMIF(Análisis!$C:$C,"Regiones",Análisis!R:R)/COUNTIF(Análisis!$C:$C,"Regiones")</f>
        <v/>
      </c>
      <c r="T39" s="378">
        <f>SUMIF(Análisis!$C:$C,"Regiones",Análisis!S:S)/COUNTIF(Análisis!$C:$C,"Regiones")</f>
        <v/>
      </c>
      <c r="U39" s="377">
        <f>SUMIF(Análisis!$C:$C,"Regiones",Análisis!T:T)/COUNTIF(Análisis!$C:$C,"Regiones")</f>
        <v/>
      </c>
      <c r="V39" s="378">
        <f>SUMIF(Análisis!$C:$C,"Regiones",Análisis!U:U)/COUNTIF(Análisis!$C:$C,"Regiones")</f>
        <v/>
      </c>
      <c r="W39" s="380">
        <f>SUMIF(Análisis!$C:$C,"Regiones",Análisis!V:V)/COUNTIF(Análisis!$C:$C,"Regiones")</f>
        <v/>
      </c>
      <c r="X39" s="376">
        <f>SUMIF(Análisis!$C:$C,"Regiones",Análisis!AC:AC)/COUNTIF(Análisis!$C:$C,"Regiones")</f>
        <v/>
      </c>
      <c r="Y39" s="376">
        <f>SUMIF(Análisis!$C:$C,"Regiones",Análisis!AN:AN)/COUNTIF(Análisis!$C:$C,"Regiones")</f>
        <v/>
      </c>
      <c r="Z39" s="377">
        <f>SUMIF(Análisis!$C:$C,"Regiones",Análisis!AD:AD)/COUNTIF(Análisis!$C:$C,"Regiones")</f>
        <v/>
      </c>
      <c r="AA39" s="378">
        <f>SUMIF(Análisis!$C:$C,"Regiones",Análisis!AE:AE)/COUNTIF(Análisis!$C:$C,"Regiones")</f>
        <v/>
      </c>
      <c r="AB39" s="377">
        <f>SUMIF(Análisis!$C:$C,"Regiones",Análisis!AF:AF)/COUNTIF(Análisis!$C:$C,"Regiones")</f>
        <v/>
      </c>
      <c r="AC39" s="378">
        <f>SUMIF(Análisis!$C:$C,"Regiones",Análisis!AG:AG)/COUNTIF(Análisis!$C:$C,"Regiones")</f>
        <v/>
      </c>
      <c r="AD39" s="380">
        <f>SUMIF(Análisis!$C:$C,"Regiones",Análisis!AH:AH)/COUNTIF(Análisis!$C:$C,"Regiones")</f>
        <v/>
      </c>
      <c r="AF39" s="127" t="s">
        <v>113</v>
      </c>
      <c r="AG39" s="129" t="s">
        <v>260</v>
      </c>
      <c r="AH39" s="362">
        <f>VLOOKUP(AF39,Análisis!$B:$AN,4,0)</f>
        <v/>
      </c>
      <c r="AI39" s="363">
        <f>IF(VLOOKUP(AF39,Análisis!$B:$AN,15,0)=0,"Sin cambios",VLOOKUP(AF39,Análisis!$B:$AN,15,0))</f>
        <v/>
      </c>
      <c r="AJ39" s="364">
        <f>VLOOKUP(AF39,Análisis!$B:$AN,5,0)</f>
        <v/>
      </c>
      <c r="AK39" s="363">
        <f>VLOOKUP(AF39,Análisis!$B:$AN,6,0)</f>
        <v/>
      </c>
      <c r="AL39" s="364">
        <f>VLOOKUP(AF39,Análisis!$B:$AN,7,0)</f>
        <v/>
      </c>
      <c r="AM39" s="363">
        <f>VLOOKUP(AF39,Análisis!$B:$AN,8,0)</f>
        <v/>
      </c>
      <c r="AN39" s="365">
        <f>VLOOKUP(AF39,Análisis!$B:$AN,9,0)</f>
        <v/>
      </c>
      <c r="AO39" s="362">
        <f>VLOOKUP(AF39,Análisis!$B:$AN,16,0)</f>
        <v/>
      </c>
      <c r="AP39" s="363">
        <f>IF(VLOOKUP(AF39,Análisis!$B:$AN,27,0)=0,"Sin cambios",VLOOKUP(AF39,Análisis!$B:$AN,27,0))</f>
        <v/>
      </c>
      <c r="AQ39" s="364">
        <f>VLOOKUP(AF39,Análisis!$B:$AN,17,0)</f>
        <v/>
      </c>
      <c r="AR39" s="363">
        <f>VLOOKUP(AF39,Análisis!$B:$AN,18,0)</f>
        <v/>
      </c>
      <c r="AS39" s="364">
        <f>VLOOKUP(AF39,Análisis!$B:$AN,19,0)</f>
        <v/>
      </c>
      <c r="AT39" s="363">
        <f>VLOOKUP(AF39,Análisis!$B:$AN,20,0)</f>
        <v/>
      </c>
      <c r="AU39" s="365">
        <f>VLOOKUP(AF39,Análisis!$B:$AN,21,0)</f>
        <v/>
      </c>
      <c r="AV39" s="362">
        <f>VLOOKUP(AF39,Análisis!$B:$AN,28,0)</f>
        <v/>
      </c>
      <c r="AW39" s="363">
        <f>IF(VLOOKUP(AF39,Análisis!$B:$AN,39,0)=0,"Sin cambios",VLOOKUP(AF39,Análisis!$B:$AN,39,0))</f>
        <v/>
      </c>
      <c r="AX39" s="364">
        <f>VLOOKUP(AF39,Análisis!$B:$AN,29,0)</f>
        <v/>
      </c>
      <c r="AY39" s="363">
        <f>VLOOKUP(AF39,Análisis!$B:$AN,30,0)</f>
        <v/>
      </c>
      <c r="AZ39" s="364">
        <f>VLOOKUP(AF39,Análisis!$B:$AN,31,0)</f>
        <v/>
      </c>
      <c r="BA39" s="363">
        <f>VLOOKUP(AF39,Análisis!$B:$AN,32,0)</f>
        <v/>
      </c>
      <c r="BB39" s="365">
        <f>VLOOKUP(AF39,Análisis!$B:$AN,33,0)</f>
        <v/>
      </c>
    </row>
    <row r="40" spans="1:77">
      <c r="B40" s="72" t="n">
        <v>363</v>
      </c>
      <c r="C40" s="72" t="s">
        <v>142</v>
      </c>
      <c r="D40" s="126">
        <f>IF(VLOOKUP(Resumen!C40,Análisis!B:AN,15,0)=0,"Sin cambios",VLOOKUP(Resumen!C40,Análisis!B:AN,15,0))</f>
        <v/>
      </c>
      <c r="E40" s="126">
        <f>IF(VLOOKUP(Resumen!C40,Análisis!B:AN,27,0)=0,"Sin cambios",VLOOKUP(Resumen!C40,Análisis!B:AN,27,0))</f>
        <v/>
      </c>
      <c r="F40" s="126">
        <f>IF(VLOOKUP(Resumen!C40,Análisis!B:AN,39,0)=0,"Sin cambios",VLOOKUP(Resumen!C40,Análisis!B:AN,39,0))</f>
        <v/>
      </c>
      <c r="G40" s="126">
        <f>IF(AND(D40="Sin cambios",E40="Sin cambios",F40="Sin cambios")=TRUE,"No","Sí")</f>
        <v/>
      </c>
      <c r="AF40" s="127" t="s">
        <v>114</v>
      </c>
      <c r="AG40" s="129" t="s">
        <v>260</v>
      </c>
      <c r="AH40" s="362">
        <f>VLOOKUP(AF40,Análisis!$B:$AN,4,0)</f>
        <v/>
      </c>
      <c r="AI40" s="363">
        <f>IF(VLOOKUP(AF40,Análisis!$B:$AN,15,0)=0,"Sin cambios",VLOOKUP(AF40,Análisis!$B:$AN,15,0))</f>
        <v/>
      </c>
      <c r="AJ40" s="364">
        <f>VLOOKUP(AF40,Análisis!$B:$AN,5,0)</f>
        <v/>
      </c>
      <c r="AK40" s="363">
        <f>VLOOKUP(AF40,Análisis!$B:$AN,6,0)</f>
        <v/>
      </c>
      <c r="AL40" s="364">
        <f>VLOOKUP(AF40,Análisis!$B:$AN,7,0)</f>
        <v/>
      </c>
      <c r="AM40" s="363">
        <f>VLOOKUP(AF40,Análisis!$B:$AN,8,0)</f>
        <v/>
      </c>
      <c r="AN40" s="365">
        <f>VLOOKUP(AF40,Análisis!$B:$AN,9,0)</f>
        <v/>
      </c>
      <c r="AO40" s="362">
        <f>VLOOKUP(AF40,Análisis!$B:$AN,16,0)</f>
        <v/>
      </c>
      <c r="AP40" s="363">
        <f>IF(VLOOKUP(AF40,Análisis!$B:$AN,27,0)=0,"Sin cambios",VLOOKUP(AF40,Análisis!$B:$AN,27,0))</f>
        <v/>
      </c>
      <c r="AQ40" s="364">
        <f>VLOOKUP(AF40,Análisis!$B:$AN,17,0)</f>
        <v/>
      </c>
      <c r="AR40" s="363">
        <f>VLOOKUP(AF40,Análisis!$B:$AN,18,0)</f>
        <v/>
      </c>
      <c r="AS40" s="364">
        <f>VLOOKUP(AF40,Análisis!$B:$AN,19,0)</f>
        <v/>
      </c>
      <c r="AT40" s="363">
        <f>VLOOKUP(AF40,Análisis!$B:$AN,20,0)</f>
        <v/>
      </c>
      <c r="AU40" s="365">
        <f>VLOOKUP(AF40,Análisis!$B:$AN,21,0)</f>
        <v/>
      </c>
      <c r="AV40" s="362">
        <f>VLOOKUP(AF40,Análisis!$B:$AN,28,0)</f>
        <v/>
      </c>
      <c r="AW40" s="363">
        <f>IF(VLOOKUP(AF40,Análisis!$B:$AN,39,0)=0,"Sin cambios",VLOOKUP(AF40,Análisis!$B:$AN,39,0))</f>
        <v/>
      </c>
      <c r="AX40" s="364">
        <f>VLOOKUP(AF40,Análisis!$B:$AN,29,0)</f>
        <v/>
      </c>
      <c r="AY40" s="363">
        <f>VLOOKUP(AF40,Análisis!$B:$AN,30,0)</f>
        <v/>
      </c>
      <c r="AZ40" s="364">
        <f>VLOOKUP(AF40,Análisis!$B:$AN,31,0)</f>
        <v/>
      </c>
      <c r="BA40" s="363">
        <f>VLOOKUP(AF40,Análisis!$B:$AN,32,0)</f>
        <v/>
      </c>
      <c r="BB40" s="365">
        <f>VLOOKUP(AF40,Análisis!$B:$AN,33,0)</f>
        <v/>
      </c>
    </row>
    <row r="41" spans="1:77">
      <c r="B41" s="72" t="n">
        <v>352</v>
      </c>
      <c r="C41" s="72" t="s">
        <v>131</v>
      </c>
      <c r="D41" s="126">
        <f>IF(VLOOKUP(Resumen!C41,Análisis!B:AN,15,0)=0,"Sin cambios",VLOOKUP(Resumen!C41,Análisis!B:AN,15,0))</f>
        <v/>
      </c>
      <c r="E41" s="126">
        <f>IF(VLOOKUP(Resumen!C41,Análisis!B:AN,27,0)=0,"Sin cambios",VLOOKUP(Resumen!C41,Análisis!B:AN,27,0))</f>
        <v/>
      </c>
      <c r="F41" s="126">
        <f>IF(VLOOKUP(Resumen!C41,Análisis!B:AN,39,0)=0,"Sin cambios",VLOOKUP(Resumen!C41,Análisis!B:AN,39,0))</f>
        <v/>
      </c>
      <c r="G41" s="126">
        <f>IF(AND(D41="Sin cambios",E41="Sin cambios",F41="Sin cambios")=TRUE,"No","Sí")</f>
        <v/>
      </c>
      <c r="AF41" s="127" t="s">
        <v>115</v>
      </c>
      <c r="AG41" s="129" t="s">
        <v>260</v>
      </c>
      <c r="AH41" s="362">
        <f>VLOOKUP(AF41,Análisis!$B:$AN,4,0)</f>
        <v/>
      </c>
      <c r="AI41" s="363">
        <f>IF(VLOOKUP(AF41,Análisis!$B:$AN,15,0)=0,"Sin cambios",VLOOKUP(AF41,Análisis!$B:$AN,15,0))</f>
        <v/>
      </c>
      <c r="AJ41" s="364">
        <f>VLOOKUP(AF41,Análisis!$B:$AN,5,0)</f>
        <v/>
      </c>
      <c r="AK41" s="363">
        <f>VLOOKUP(AF41,Análisis!$B:$AN,6,0)</f>
        <v/>
      </c>
      <c r="AL41" s="364">
        <f>VLOOKUP(AF41,Análisis!$B:$AN,7,0)</f>
        <v/>
      </c>
      <c r="AM41" s="363">
        <f>VLOOKUP(AF41,Análisis!$B:$AN,8,0)</f>
        <v/>
      </c>
      <c r="AN41" s="365">
        <f>VLOOKUP(AF41,Análisis!$B:$AN,9,0)</f>
        <v/>
      </c>
      <c r="AO41" s="362">
        <f>VLOOKUP(AF41,Análisis!$B:$AN,16,0)</f>
        <v/>
      </c>
      <c r="AP41" s="363">
        <f>IF(VLOOKUP(AF41,Análisis!$B:$AN,27,0)=0,"Sin cambios",VLOOKUP(AF41,Análisis!$B:$AN,27,0))</f>
        <v/>
      </c>
      <c r="AQ41" s="364">
        <f>VLOOKUP(AF41,Análisis!$B:$AN,17,0)</f>
        <v/>
      </c>
      <c r="AR41" s="363">
        <f>VLOOKUP(AF41,Análisis!$B:$AN,18,0)</f>
        <v/>
      </c>
      <c r="AS41" s="364">
        <f>VLOOKUP(AF41,Análisis!$B:$AN,19,0)</f>
        <v/>
      </c>
      <c r="AT41" s="363">
        <f>VLOOKUP(AF41,Análisis!$B:$AN,20,0)</f>
        <v/>
      </c>
      <c r="AU41" s="365">
        <f>VLOOKUP(AF41,Análisis!$B:$AN,21,0)</f>
        <v/>
      </c>
      <c r="AV41" s="362">
        <f>VLOOKUP(AF41,Análisis!$B:$AN,28,0)</f>
        <v/>
      </c>
      <c r="AW41" s="363">
        <f>IF(VLOOKUP(AF41,Análisis!$B:$AN,39,0)=0,"Sin cambios",VLOOKUP(AF41,Análisis!$B:$AN,39,0))</f>
        <v/>
      </c>
      <c r="AX41" s="364">
        <f>VLOOKUP(AF41,Análisis!$B:$AN,29,0)</f>
        <v/>
      </c>
      <c r="AY41" s="363">
        <f>VLOOKUP(AF41,Análisis!$B:$AN,30,0)</f>
        <v/>
      </c>
      <c r="AZ41" s="364">
        <f>VLOOKUP(AF41,Análisis!$B:$AN,31,0)</f>
        <v/>
      </c>
      <c r="BA41" s="363">
        <f>VLOOKUP(AF41,Análisis!$B:$AN,32,0)</f>
        <v/>
      </c>
      <c r="BB41" s="365">
        <f>VLOOKUP(AF41,Análisis!$B:$AN,33,0)</f>
        <v/>
      </c>
    </row>
    <row r="42" spans="1:77">
      <c r="B42" s="72" t="n">
        <v>365</v>
      </c>
      <c r="C42" s="72" t="s">
        <v>144</v>
      </c>
      <c r="D42" s="126">
        <f>IF(VLOOKUP(Resumen!C42,Análisis!B:AN,15,0)=0,"Sin cambios",VLOOKUP(Resumen!C42,Análisis!B:AN,15,0))</f>
        <v/>
      </c>
      <c r="E42" s="126">
        <f>IF(VLOOKUP(Resumen!C42,Análisis!B:AN,27,0)=0,"Sin cambios",VLOOKUP(Resumen!C42,Análisis!B:AN,27,0))</f>
        <v/>
      </c>
      <c r="F42" s="126">
        <f>IF(VLOOKUP(Resumen!C42,Análisis!B:AN,39,0)=0,"Sin cambios",VLOOKUP(Resumen!C42,Análisis!B:AN,39,0))</f>
        <v/>
      </c>
      <c r="G42" s="126">
        <f>IF(AND(D42="Sin cambios",E42="Sin cambios",F42="Sin cambios")=TRUE,"No","Sí")</f>
        <v/>
      </c>
      <c r="AF42" s="127" t="s">
        <v>150</v>
      </c>
      <c r="AG42" s="129" t="s">
        <v>260</v>
      </c>
      <c r="AH42" s="362">
        <f>VLOOKUP(AF42,Análisis!$B:$AN,4,0)</f>
        <v/>
      </c>
      <c r="AI42" s="363">
        <f>IF(VLOOKUP(AF42,Análisis!$B:$AN,15,0)=0,"Sin cambios",VLOOKUP(AF42,Análisis!$B:$AN,15,0))</f>
        <v/>
      </c>
      <c r="AJ42" s="364">
        <f>VLOOKUP(AF42,Análisis!$B:$AN,5,0)</f>
        <v/>
      </c>
      <c r="AK42" s="363">
        <f>VLOOKUP(AF42,Análisis!$B:$AN,6,0)</f>
        <v/>
      </c>
      <c r="AL42" s="364">
        <f>VLOOKUP(AF42,Análisis!$B:$AN,7,0)</f>
        <v/>
      </c>
      <c r="AM42" s="363">
        <f>VLOOKUP(AF42,Análisis!$B:$AN,8,0)</f>
        <v/>
      </c>
      <c r="AN42" s="365">
        <f>VLOOKUP(AF42,Análisis!$B:$AN,9,0)</f>
        <v/>
      </c>
      <c r="AO42" s="362">
        <f>VLOOKUP(AF42,Análisis!$B:$AN,16,0)</f>
        <v/>
      </c>
      <c r="AP42" s="363">
        <f>IF(VLOOKUP(AF42,Análisis!$B:$AN,27,0)=0,"Sin cambios",VLOOKUP(AF42,Análisis!$B:$AN,27,0))</f>
        <v/>
      </c>
      <c r="AQ42" s="364">
        <f>VLOOKUP(AF42,Análisis!$B:$AN,17,0)</f>
        <v/>
      </c>
      <c r="AR42" s="363">
        <f>VLOOKUP(AF42,Análisis!$B:$AN,18,0)</f>
        <v/>
      </c>
      <c r="AS42" s="364">
        <f>VLOOKUP(AF42,Análisis!$B:$AN,19,0)</f>
        <v/>
      </c>
      <c r="AT42" s="363">
        <f>VLOOKUP(AF42,Análisis!$B:$AN,20,0)</f>
        <v/>
      </c>
      <c r="AU42" s="365">
        <f>VLOOKUP(AF42,Análisis!$B:$AN,21,0)</f>
        <v/>
      </c>
      <c r="AV42" s="362">
        <f>VLOOKUP(AF42,Análisis!$B:$AN,28,0)</f>
        <v/>
      </c>
      <c r="AW42" s="363">
        <f>IF(VLOOKUP(AF42,Análisis!$B:$AN,39,0)=0,"Sin cambios",VLOOKUP(AF42,Análisis!$B:$AN,39,0))</f>
        <v/>
      </c>
      <c r="AX42" s="364">
        <f>VLOOKUP(AF42,Análisis!$B:$AN,29,0)</f>
        <v/>
      </c>
      <c r="AY42" s="363">
        <f>VLOOKUP(AF42,Análisis!$B:$AN,30,0)</f>
        <v/>
      </c>
      <c r="AZ42" s="364">
        <f>VLOOKUP(AF42,Análisis!$B:$AN,31,0)</f>
        <v/>
      </c>
      <c r="BA42" s="363">
        <f>VLOOKUP(AF42,Análisis!$B:$AN,32,0)</f>
        <v/>
      </c>
      <c r="BB42" s="365">
        <f>VLOOKUP(AF42,Análisis!$B:$AN,33,0)</f>
        <v/>
      </c>
    </row>
    <row r="43" spans="1:77">
      <c r="B43" s="72" t="n">
        <v>339</v>
      </c>
      <c r="C43" s="72" t="s">
        <v>123</v>
      </c>
      <c r="D43" s="126">
        <f>IF(VLOOKUP(Resumen!C43,Análisis!B:AN,15,0)=0,"Sin cambios",VLOOKUP(Resumen!C43,Análisis!B:AN,15,0))</f>
        <v/>
      </c>
      <c r="E43" s="126">
        <f>IF(VLOOKUP(Resumen!C43,Análisis!B:AN,27,0)=0,"Sin cambios",VLOOKUP(Resumen!C43,Análisis!B:AN,27,0))</f>
        <v/>
      </c>
      <c r="F43" s="126">
        <f>IF(VLOOKUP(Resumen!C43,Análisis!B:AN,39,0)=0,"Sin cambios",VLOOKUP(Resumen!C43,Análisis!B:AN,39,0))</f>
        <v/>
      </c>
      <c r="G43" s="126">
        <f>IF(AND(D43="Sin cambios",E43="Sin cambios",F43="Sin cambios")=TRUE,"No","Sí")</f>
        <v/>
      </c>
      <c r="AF43" s="127" t="s">
        <v>116</v>
      </c>
      <c r="AG43" s="129" t="s">
        <v>260</v>
      </c>
      <c r="AH43" s="362">
        <f>VLOOKUP(AF43,Análisis!$B:$AN,4,0)</f>
        <v/>
      </c>
      <c r="AI43" s="363">
        <f>IF(VLOOKUP(AF43,Análisis!$B:$AN,15,0)=0,"Sin cambios",VLOOKUP(AF43,Análisis!$B:$AN,15,0))</f>
        <v/>
      </c>
      <c r="AJ43" s="364">
        <f>VLOOKUP(AF43,Análisis!$B:$AN,5,0)</f>
        <v/>
      </c>
      <c r="AK43" s="363">
        <f>VLOOKUP(AF43,Análisis!$B:$AN,6,0)</f>
        <v/>
      </c>
      <c r="AL43" s="364">
        <f>VLOOKUP(AF43,Análisis!$B:$AN,7,0)</f>
        <v/>
      </c>
      <c r="AM43" s="363">
        <f>VLOOKUP(AF43,Análisis!$B:$AN,8,0)</f>
        <v/>
      </c>
      <c r="AN43" s="365">
        <f>VLOOKUP(AF43,Análisis!$B:$AN,9,0)</f>
        <v/>
      </c>
      <c r="AO43" s="362">
        <f>VLOOKUP(AF43,Análisis!$B:$AN,16,0)</f>
        <v/>
      </c>
      <c r="AP43" s="363">
        <f>IF(VLOOKUP(AF43,Análisis!$B:$AN,27,0)=0,"Sin cambios",VLOOKUP(AF43,Análisis!$B:$AN,27,0))</f>
        <v/>
      </c>
      <c r="AQ43" s="364">
        <f>VLOOKUP(AF43,Análisis!$B:$AN,17,0)</f>
        <v/>
      </c>
      <c r="AR43" s="363">
        <f>VLOOKUP(AF43,Análisis!$B:$AN,18,0)</f>
        <v/>
      </c>
      <c r="AS43" s="364">
        <f>VLOOKUP(AF43,Análisis!$B:$AN,19,0)</f>
        <v/>
      </c>
      <c r="AT43" s="363">
        <f>VLOOKUP(AF43,Análisis!$B:$AN,20,0)</f>
        <v/>
      </c>
      <c r="AU43" s="365">
        <f>VLOOKUP(AF43,Análisis!$B:$AN,21,0)</f>
        <v/>
      </c>
      <c r="AV43" s="362">
        <f>VLOOKUP(AF43,Análisis!$B:$AN,28,0)</f>
        <v/>
      </c>
      <c r="AW43" s="363">
        <f>IF(VLOOKUP(AF43,Análisis!$B:$AN,39,0)=0,"Sin cambios",VLOOKUP(AF43,Análisis!$B:$AN,39,0))</f>
        <v/>
      </c>
      <c r="AX43" s="364">
        <f>VLOOKUP(AF43,Análisis!$B:$AN,29,0)</f>
        <v/>
      </c>
      <c r="AY43" s="363">
        <f>VLOOKUP(AF43,Análisis!$B:$AN,30,0)</f>
        <v/>
      </c>
      <c r="AZ43" s="364">
        <f>VLOOKUP(AF43,Análisis!$B:$AN,31,0)</f>
        <v/>
      </c>
      <c r="BA43" s="363">
        <f>VLOOKUP(AF43,Análisis!$B:$AN,32,0)</f>
        <v/>
      </c>
      <c r="BB43" s="365">
        <f>VLOOKUP(AF43,Análisis!$B:$AN,33,0)</f>
        <v/>
      </c>
    </row>
    <row r="44" spans="1:77">
      <c r="B44" s="72" t="n">
        <v>348</v>
      </c>
      <c r="C44" s="72" t="s">
        <v>129</v>
      </c>
      <c r="D44" s="126">
        <f>IF(VLOOKUP(Resumen!C44,Análisis!B:AN,15,0)=0,"Sin cambios",VLOOKUP(Resumen!C44,Análisis!B:AN,15,0))</f>
        <v/>
      </c>
      <c r="E44" s="126">
        <f>IF(VLOOKUP(Resumen!C44,Análisis!B:AN,27,0)=0,"Sin cambios",VLOOKUP(Resumen!C44,Análisis!B:AN,27,0))</f>
        <v/>
      </c>
      <c r="F44" s="126">
        <f>IF(VLOOKUP(Resumen!C44,Análisis!B:AN,39,0)=0,"Sin cambios",VLOOKUP(Resumen!C44,Análisis!B:AN,39,0))</f>
        <v/>
      </c>
      <c r="G44" s="126">
        <f>IF(AND(D44="Sin cambios",E44="Sin cambios",F44="Sin cambios")=TRUE,"No","Sí")</f>
        <v/>
      </c>
      <c r="AF44" s="127" t="s">
        <v>117</v>
      </c>
      <c r="AG44" s="129" t="s">
        <v>260</v>
      </c>
      <c r="AH44" s="362">
        <f>VLOOKUP(AF44,Análisis!$B:$AN,4,0)</f>
        <v/>
      </c>
      <c r="AI44" s="363">
        <f>IF(VLOOKUP(AF44,Análisis!$B:$AN,15,0)=0,"Sin cambios",VLOOKUP(AF44,Análisis!$B:$AN,15,0))</f>
        <v/>
      </c>
      <c r="AJ44" s="364">
        <f>VLOOKUP(AF44,Análisis!$B:$AN,5,0)</f>
        <v/>
      </c>
      <c r="AK44" s="363">
        <f>VLOOKUP(AF44,Análisis!$B:$AN,6,0)</f>
        <v/>
      </c>
      <c r="AL44" s="364">
        <f>VLOOKUP(AF44,Análisis!$B:$AN,7,0)</f>
        <v/>
      </c>
      <c r="AM44" s="363">
        <f>VLOOKUP(AF44,Análisis!$B:$AN,8,0)</f>
        <v/>
      </c>
      <c r="AN44" s="365">
        <f>VLOOKUP(AF44,Análisis!$B:$AN,9,0)</f>
        <v/>
      </c>
      <c r="AO44" s="362">
        <f>VLOOKUP(AF44,Análisis!$B:$AN,16,0)</f>
        <v/>
      </c>
      <c r="AP44" s="363">
        <f>IF(VLOOKUP(AF44,Análisis!$B:$AN,27,0)=0,"Sin cambios",VLOOKUP(AF44,Análisis!$B:$AN,27,0))</f>
        <v/>
      </c>
      <c r="AQ44" s="364">
        <f>VLOOKUP(AF44,Análisis!$B:$AN,17,0)</f>
        <v/>
      </c>
      <c r="AR44" s="363">
        <f>VLOOKUP(AF44,Análisis!$B:$AN,18,0)</f>
        <v/>
      </c>
      <c r="AS44" s="364">
        <f>VLOOKUP(AF44,Análisis!$B:$AN,19,0)</f>
        <v/>
      </c>
      <c r="AT44" s="363">
        <f>VLOOKUP(AF44,Análisis!$B:$AN,20,0)</f>
        <v/>
      </c>
      <c r="AU44" s="365">
        <f>VLOOKUP(AF44,Análisis!$B:$AN,21,0)</f>
        <v/>
      </c>
      <c r="AV44" s="362">
        <f>VLOOKUP(AF44,Análisis!$B:$AN,28,0)</f>
        <v/>
      </c>
      <c r="AW44" s="363">
        <f>IF(VLOOKUP(AF44,Análisis!$B:$AN,39,0)=0,"Sin cambios",VLOOKUP(AF44,Análisis!$B:$AN,39,0))</f>
        <v/>
      </c>
      <c r="AX44" s="364">
        <f>VLOOKUP(AF44,Análisis!$B:$AN,29,0)</f>
        <v/>
      </c>
      <c r="AY44" s="363">
        <f>VLOOKUP(AF44,Análisis!$B:$AN,30,0)</f>
        <v/>
      </c>
      <c r="AZ44" s="364">
        <f>VLOOKUP(AF44,Análisis!$B:$AN,31,0)</f>
        <v/>
      </c>
      <c r="BA44" s="363">
        <f>VLOOKUP(AF44,Análisis!$B:$AN,32,0)</f>
        <v/>
      </c>
      <c r="BB44" s="365">
        <f>VLOOKUP(AF44,Análisis!$B:$AN,33,0)</f>
        <v/>
      </c>
    </row>
    <row r="45" spans="1:77">
      <c r="B45" s="72" t="n">
        <v>88</v>
      </c>
      <c r="C45" s="72" t="s">
        <v>85</v>
      </c>
      <c r="D45" s="126">
        <f>IF(VLOOKUP(Resumen!C45,Análisis!B:AN,15,0)=0,"Sin cambios",VLOOKUP(Resumen!C45,Análisis!B:AN,15,0))</f>
        <v/>
      </c>
      <c r="E45" s="126">
        <f>IF(VLOOKUP(Resumen!C45,Análisis!B:AN,27,0)=0,"Sin cambios",VLOOKUP(Resumen!C45,Análisis!B:AN,27,0))</f>
        <v/>
      </c>
      <c r="F45" s="126">
        <f>IF(VLOOKUP(Resumen!C45,Análisis!B:AN,39,0)=0,"Sin cambios",VLOOKUP(Resumen!C45,Análisis!B:AN,39,0))</f>
        <v/>
      </c>
      <c r="G45" s="126">
        <f>IF(AND(D45="Sin cambios",E45="Sin cambios",F45="Sin cambios")=TRUE,"No","Sí")</f>
        <v/>
      </c>
      <c r="AF45" s="127" t="s">
        <v>118</v>
      </c>
      <c r="AG45" s="129" t="s">
        <v>260</v>
      </c>
      <c r="AH45" s="362">
        <f>VLOOKUP(AF45,Análisis!$B:$AN,4,0)</f>
        <v/>
      </c>
      <c r="AI45" s="363">
        <f>IF(VLOOKUP(AF45,Análisis!$B:$AN,15,0)=0,"Sin cambios",VLOOKUP(AF45,Análisis!$B:$AN,15,0))</f>
        <v/>
      </c>
      <c r="AJ45" s="364">
        <f>VLOOKUP(AF45,Análisis!$B:$AN,5,0)</f>
        <v/>
      </c>
      <c r="AK45" s="363">
        <f>VLOOKUP(AF45,Análisis!$B:$AN,6,0)</f>
        <v/>
      </c>
      <c r="AL45" s="364">
        <f>VLOOKUP(AF45,Análisis!$B:$AN,7,0)</f>
        <v/>
      </c>
      <c r="AM45" s="363">
        <f>VLOOKUP(AF45,Análisis!$B:$AN,8,0)</f>
        <v/>
      </c>
      <c r="AN45" s="365">
        <f>VLOOKUP(AF45,Análisis!$B:$AN,9,0)</f>
        <v/>
      </c>
      <c r="AO45" s="362">
        <f>VLOOKUP(AF45,Análisis!$B:$AN,16,0)</f>
        <v/>
      </c>
      <c r="AP45" s="363">
        <f>IF(VLOOKUP(AF45,Análisis!$B:$AN,27,0)=0,"Sin cambios",VLOOKUP(AF45,Análisis!$B:$AN,27,0))</f>
        <v/>
      </c>
      <c r="AQ45" s="364">
        <f>VLOOKUP(AF45,Análisis!$B:$AN,17,0)</f>
        <v/>
      </c>
      <c r="AR45" s="363">
        <f>VLOOKUP(AF45,Análisis!$B:$AN,18,0)</f>
        <v/>
      </c>
      <c r="AS45" s="364">
        <f>VLOOKUP(AF45,Análisis!$B:$AN,19,0)</f>
        <v/>
      </c>
      <c r="AT45" s="363">
        <f>VLOOKUP(AF45,Análisis!$B:$AN,20,0)</f>
        <v/>
      </c>
      <c r="AU45" s="365">
        <f>VLOOKUP(AF45,Análisis!$B:$AN,21,0)</f>
        <v/>
      </c>
      <c r="AV45" s="362">
        <f>VLOOKUP(AF45,Análisis!$B:$AN,28,0)</f>
        <v/>
      </c>
      <c r="AW45" s="363">
        <f>IF(VLOOKUP(AF45,Análisis!$B:$AN,39,0)=0,"Sin cambios",VLOOKUP(AF45,Análisis!$B:$AN,39,0))</f>
        <v/>
      </c>
      <c r="AX45" s="364">
        <f>VLOOKUP(AF45,Análisis!$B:$AN,29,0)</f>
        <v/>
      </c>
      <c r="AY45" s="363">
        <f>VLOOKUP(AF45,Análisis!$B:$AN,30,0)</f>
        <v/>
      </c>
      <c r="AZ45" s="364">
        <f>VLOOKUP(AF45,Análisis!$B:$AN,31,0)</f>
        <v/>
      </c>
      <c r="BA45" s="363">
        <f>VLOOKUP(AF45,Análisis!$B:$AN,32,0)</f>
        <v/>
      </c>
      <c r="BB45" s="365">
        <f>VLOOKUP(AF45,Análisis!$B:$AN,33,0)</f>
        <v/>
      </c>
    </row>
    <row r="46" spans="1:77">
      <c r="B46" s="72" t="n">
        <v>10</v>
      </c>
      <c r="C46" s="72" t="s">
        <v>37</v>
      </c>
      <c r="D46" s="126">
        <f>IF(VLOOKUP(Resumen!C46,Análisis!B:AN,15,0)=0,"Sin cambios",VLOOKUP(Resumen!C46,Análisis!B:AN,15,0))</f>
        <v/>
      </c>
      <c r="E46" s="126">
        <f>IF(VLOOKUP(Resumen!C46,Análisis!B:AN,27,0)=0,"Sin cambios",VLOOKUP(Resumen!C46,Análisis!B:AN,27,0))</f>
        <v/>
      </c>
      <c r="F46" s="126">
        <f>IF(VLOOKUP(Resumen!C46,Análisis!B:AN,39,0)=0,"Sin cambios",VLOOKUP(Resumen!C46,Análisis!B:AN,39,0))</f>
        <v/>
      </c>
      <c r="G46" s="126">
        <f>IF(AND(D46="Sin cambios",E46="Sin cambios",F46="Sin cambios")=TRUE,"No","Sí")</f>
        <v/>
      </c>
      <c r="AF46" s="127" t="s">
        <v>119</v>
      </c>
      <c r="AG46" s="129" t="s">
        <v>260</v>
      </c>
      <c r="AH46" s="362">
        <f>VLOOKUP(AF46,Análisis!$B:$AN,4,0)</f>
        <v/>
      </c>
      <c r="AI46" s="363">
        <f>IF(VLOOKUP(AF46,Análisis!$B:$AN,15,0)=0,"Sin cambios",VLOOKUP(AF46,Análisis!$B:$AN,15,0))</f>
        <v/>
      </c>
      <c r="AJ46" s="364">
        <f>VLOOKUP(AF46,Análisis!$B:$AN,5,0)</f>
        <v/>
      </c>
      <c r="AK46" s="363">
        <f>VLOOKUP(AF46,Análisis!$B:$AN,6,0)</f>
        <v/>
      </c>
      <c r="AL46" s="364">
        <f>VLOOKUP(AF46,Análisis!$B:$AN,7,0)</f>
        <v/>
      </c>
      <c r="AM46" s="363">
        <f>VLOOKUP(AF46,Análisis!$B:$AN,8,0)</f>
        <v/>
      </c>
      <c r="AN46" s="365">
        <f>VLOOKUP(AF46,Análisis!$B:$AN,9,0)</f>
        <v/>
      </c>
      <c r="AO46" s="362">
        <f>VLOOKUP(AF46,Análisis!$B:$AN,16,0)</f>
        <v/>
      </c>
      <c r="AP46" s="363">
        <f>IF(VLOOKUP(AF46,Análisis!$B:$AN,27,0)=0,"Sin cambios",VLOOKUP(AF46,Análisis!$B:$AN,27,0))</f>
        <v/>
      </c>
      <c r="AQ46" s="364">
        <f>VLOOKUP(AF46,Análisis!$B:$AN,17,0)</f>
        <v/>
      </c>
      <c r="AR46" s="363">
        <f>VLOOKUP(AF46,Análisis!$B:$AN,18,0)</f>
        <v/>
      </c>
      <c r="AS46" s="364">
        <f>VLOOKUP(AF46,Análisis!$B:$AN,19,0)</f>
        <v/>
      </c>
      <c r="AT46" s="363">
        <f>VLOOKUP(AF46,Análisis!$B:$AN,20,0)</f>
        <v/>
      </c>
      <c r="AU46" s="365">
        <f>VLOOKUP(AF46,Análisis!$B:$AN,21,0)</f>
        <v/>
      </c>
      <c r="AV46" s="362">
        <f>VLOOKUP(AF46,Análisis!$B:$AN,28,0)</f>
        <v/>
      </c>
      <c r="AW46" s="363">
        <f>IF(VLOOKUP(AF46,Análisis!$B:$AN,39,0)=0,"Sin cambios",VLOOKUP(AF46,Análisis!$B:$AN,39,0))</f>
        <v/>
      </c>
      <c r="AX46" s="364">
        <f>VLOOKUP(AF46,Análisis!$B:$AN,29,0)</f>
        <v/>
      </c>
      <c r="AY46" s="363">
        <f>VLOOKUP(AF46,Análisis!$B:$AN,30,0)</f>
        <v/>
      </c>
      <c r="AZ46" s="364">
        <f>VLOOKUP(AF46,Análisis!$B:$AN,31,0)</f>
        <v/>
      </c>
      <c r="BA46" s="363">
        <f>VLOOKUP(AF46,Análisis!$B:$AN,32,0)</f>
        <v/>
      </c>
      <c r="BB46" s="365">
        <f>VLOOKUP(AF46,Análisis!$B:$AN,33,0)</f>
        <v/>
      </c>
    </row>
    <row r="47" spans="1:77">
      <c r="B47" s="72" t="n">
        <v>171</v>
      </c>
      <c r="C47" s="72" t="s">
        <v>222</v>
      </c>
      <c r="D47" s="126">
        <f>IF(VLOOKUP(Resumen!C47,Análisis!B:AN,15,0)=0,"Sin cambios",VLOOKUP(Resumen!C47,Análisis!B:AN,15,0))</f>
        <v/>
      </c>
      <c r="E47" s="126">
        <f>IF(VLOOKUP(Resumen!C47,Análisis!B:AN,27,0)=0,"Sin cambios",VLOOKUP(Resumen!C47,Análisis!B:AN,27,0))</f>
        <v/>
      </c>
      <c r="F47" s="126">
        <f>IF(VLOOKUP(Resumen!C47,Análisis!B:AN,39,0)=0,"Sin cambios",VLOOKUP(Resumen!C47,Análisis!B:AN,39,0))</f>
        <v/>
      </c>
      <c r="G47" s="126">
        <f>IF(AND(D47="Sin cambios",E47="Sin cambios",F47="Sin cambios")=TRUE,"No","Sí")</f>
        <v/>
      </c>
      <c r="AF47" s="127" t="s">
        <v>120</v>
      </c>
      <c r="AG47" s="129" t="s">
        <v>258</v>
      </c>
      <c r="AH47" s="362">
        <f>VLOOKUP(AF47,Análisis!$B:$AN,4,0)</f>
        <v/>
      </c>
      <c r="AI47" s="363">
        <f>IF(VLOOKUP(AF47,Análisis!$B:$AN,15,0)=0,"Sin cambios",VLOOKUP(AF47,Análisis!$B:$AN,15,0))</f>
        <v/>
      </c>
      <c r="AJ47" s="364">
        <f>VLOOKUP(AF47,Análisis!$B:$AN,5,0)</f>
        <v/>
      </c>
      <c r="AK47" s="363">
        <f>VLOOKUP(AF47,Análisis!$B:$AN,6,0)</f>
        <v/>
      </c>
      <c r="AL47" s="364">
        <f>VLOOKUP(AF47,Análisis!$B:$AN,7,0)</f>
        <v/>
      </c>
      <c r="AM47" s="363">
        <f>VLOOKUP(AF47,Análisis!$B:$AN,8,0)</f>
        <v/>
      </c>
      <c r="AN47" s="365">
        <f>VLOOKUP(AF47,Análisis!$B:$AN,9,0)</f>
        <v/>
      </c>
      <c r="AO47" s="362">
        <f>VLOOKUP(AF47,Análisis!$B:$AN,16,0)</f>
        <v/>
      </c>
      <c r="AP47" s="363">
        <f>IF(VLOOKUP(AF47,Análisis!$B:$AN,27,0)=0,"Sin cambios",VLOOKUP(AF47,Análisis!$B:$AN,27,0))</f>
        <v/>
      </c>
      <c r="AQ47" s="364">
        <f>VLOOKUP(AF47,Análisis!$B:$AN,17,0)</f>
        <v/>
      </c>
      <c r="AR47" s="363">
        <f>VLOOKUP(AF47,Análisis!$B:$AN,18,0)</f>
        <v/>
      </c>
      <c r="AS47" s="364">
        <f>VLOOKUP(AF47,Análisis!$B:$AN,19,0)</f>
        <v/>
      </c>
      <c r="AT47" s="363">
        <f>VLOOKUP(AF47,Análisis!$B:$AN,20,0)</f>
        <v/>
      </c>
      <c r="AU47" s="365">
        <f>VLOOKUP(AF47,Análisis!$B:$AN,21,0)</f>
        <v/>
      </c>
      <c r="AV47" s="362">
        <f>VLOOKUP(AF47,Análisis!$B:$AN,28,0)</f>
        <v/>
      </c>
      <c r="AW47" s="363">
        <f>IF(VLOOKUP(AF47,Análisis!$B:$AN,39,0)=0,"Sin cambios",VLOOKUP(AF47,Análisis!$B:$AN,39,0))</f>
        <v/>
      </c>
      <c r="AX47" s="364">
        <f>VLOOKUP(AF47,Análisis!$B:$AN,29,0)</f>
        <v/>
      </c>
      <c r="AY47" s="363">
        <f>VLOOKUP(AF47,Análisis!$B:$AN,30,0)</f>
        <v/>
      </c>
      <c r="AZ47" s="364">
        <f>VLOOKUP(AF47,Análisis!$B:$AN,31,0)</f>
        <v/>
      </c>
      <c r="BA47" s="363">
        <f>VLOOKUP(AF47,Análisis!$B:$AN,32,0)</f>
        <v/>
      </c>
      <c r="BB47" s="365">
        <f>VLOOKUP(AF47,Análisis!$B:$AN,33,0)</f>
        <v/>
      </c>
    </row>
    <row r="48" spans="1:77">
      <c r="B48" s="72" t="n">
        <v>87</v>
      </c>
      <c r="C48" s="72" t="s">
        <v>83</v>
      </c>
      <c r="D48" s="126">
        <f>IF(VLOOKUP(Resumen!C48,Análisis!B:AN,15,0)=0,"Sin cambios",VLOOKUP(Resumen!C48,Análisis!B:AN,15,0))</f>
        <v/>
      </c>
      <c r="E48" s="126">
        <f>IF(VLOOKUP(Resumen!C48,Análisis!B:AN,27,0)=0,"Sin cambios",VLOOKUP(Resumen!C48,Análisis!B:AN,27,0))</f>
        <v/>
      </c>
      <c r="F48" s="126">
        <f>IF(VLOOKUP(Resumen!C48,Análisis!B:AN,39,0)=0,"Sin cambios",VLOOKUP(Resumen!C48,Análisis!B:AN,39,0))</f>
        <v/>
      </c>
      <c r="G48" s="126">
        <f>IF(AND(D48="Sin cambios",E48="Sin cambios",F48="Sin cambios")=TRUE,"No","Sí")</f>
        <v/>
      </c>
      <c r="AF48" s="127" t="s">
        <v>121</v>
      </c>
      <c r="AG48" s="129" t="s">
        <v>260</v>
      </c>
      <c r="AH48" s="362">
        <f>VLOOKUP(AF48,Análisis!$B:$AN,4,0)</f>
        <v/>
      </c>
      <c r="AI48" s="363">
        <f>IF(VLOOKUP(AF48,Análisis!$B:$AN,15,0)=0,"Sin cambios",VLOOKUP(AF48,Análisis!$B:$AN,15,0))</f>
        <v/>
      </c>
      <c r="AJ48" s="364">
        <f>VLOOKUP(AF48,Análisis!$B:$AN,5,0)</f>
        <v/>
      </c>
      <c r="AK48" s="363">
        <f>VLOOKUP(AF48,Análisis!$B:$AN,6,0)</f>
        <v/>
      </c>
      <c r="AL48" s="364">
        <f>VLOOKUP(AF48,Análisis!$B:$AN,7,0)</f>
        <v/>
      </c>
      <c r="AM48" s="363">
        <f>VLOOKUP(AF48,Análisis!$B:$AN,8,0)</f>
        <v/>
      </c>
      <c r="AN48" s="365">
        <f>VLOOKUP(AF48,Análisis!$B:$AN,9,0)</f>
        <v/>
      </c>
      <c r="AO48" s="362">
        <f>VLOOKUP(AF48,Análisis!$B:$AN,16,0)</f>
        <v/>
      </c>
      <c r="AP48" s="363">
        <f>IF(VLOOKUP(AF48,Análisis!$B:$AN,27,0)=0,"Sin cambios",VLOOKUP(AF48,Análisis!$B:$AN,27,0))</f>
        <v/>
      </c>
      <c r="AQ48" s="364">
        <f>VLOOKUP(AF48,Análisis!$B:$AN,17,0)</f>
        <v/>
      </c>
      <c r="AR48" s="363">
        <f>VLOOKUP(AF48,Análisis!$B:$AN,18,0)</f>
        <v/>
      </c>
      <c r="AS48" s="364">
        <f>VLOOKUP(AF48,Análisis!$B:$AN,19,0)</f>
        <v/>
      </c>
      <c r="AT48" s="363">
        <f>VLOOKUP(AF48,Análisis!$B:$AN,20,0)</f>
        <v/>
      </c>
      <c r="AU48" s="365">
        <f>VLOOKUP(AF48,Análisis!$B:$AN,21,0)</f>
        <v/>
      </c>
      <c r="AV48" s="362">
        <f>VLOOKUP(AF48,Análisis!$B:$AN,28,0)</f>
        <v/>
      </c>
      <c r="AW48" s="363">
        <f>IF(VLOOKUP(AF48,Análisis!$B:$AN,39,0)=0,"Sin cambios",VLOOKUP(AF48,Análisis!$B:$AN,39,0))</f>
        <v/>
      </c>
      <c r="AX48" s="364">
        <f>VLOOKUP(AF48,Análisis!$B:$AN,29,0)</f>
        <v/>
      </c>
      <c r="AY48" s="363">
        <f>VLOOKUP(AF48,Análisis!$B:$AN,30,0)</f>
        <v/>
      </c>
      <c r="AZ48" s="364">
        <f>VLOOKUP(AF48,Análisis!$B:$AN,31,0)</f>
        <v/>
      </c>
      <c r="BA48" s="363">
        <f>VLOOKUP(AF48,Análisis!$B:$AN,32,0)</f>
        <v/>
      </c>
      <c r="BB48" s="365">
        <f>VLOOKUP(AF48,Análisis!$B:$AN,33,0)</f>
        <v/>
      </c>
    </row>
    <row r="49" spans="1:77">
      <c r="B49" s="72" t="n">
        <v>121</v>
      </c>
      <c r="C49" s="72" t="s">
        <v>98</v>
      </c>
      <c r="D49" s="126">
        <f>IF(VLOOKUP(Resumen!C49,Análisis!B:AN,15,0)=0,"Sin cambios",VLOOKUP(Resumen!C49,Análisis!B:AN,15,0))</f>
        <v/>
      </c>
      <c r="E49" s="126">
        <f>IF(VLOOKUP(Resumen!C49,Análisis!B:AN,27,0)=0,"Sin cambios",VLOOKUP(Resumen!C49,Análisis!B:AN,27,0))</f>
        <v/>
      </c>
      <c r="F49" s="126">
        <f>IF(VLOOKUP(Resumen!C49,Análisis!B:AN,39,0)=0,"Sin cambios",VLOOKUP(Resumen!C49,Análisis!B:AN,39,0))</f>
        <v/>
      </c>
      <c r="G49" s="126">
        <f>IF(AND(D49="Sin cambios",E49="Sin cambios",F49="Sin cambios")=TRUE,"No","Sí")</f>
        <v/>
      </c>
      <c r="AF49" s="127" t="s">
        <v>122</v>
      </c>
      <c r="AG49" s="129" t="s">
        <v>260</v>
      </c>
      <c r="AH49" s="362">
        <f>VLOOKUP(AF49,Análisis!$B:$AN,4,0)</f>
        <v/>
      </c>
      <c r="AI49" s="363">
        <f>IF(VLOOKUP(AF49,Análisis!$B:$AN,15,0)=0,"Sin cambios",VLOOKUP(AF49,Análisis!$B:$AN,15,0))</f>
        <v/>
      </c>
      <c r="AJ49" s="364">
        <f>VLOOKUP(AF49,Análisis!$B:$AN,5,0)</f>
        <v/>
      </c>
      <c r="AK49" s="363">
        <f>VLOOKUP(AF49,Análisis!$B:$AN,6,0)</f>
        <v/>
      </c>
      <c r="AL49" s="364">
        <f>VLOOKUP(AF49,Análisis!$B:$AN,7,0)</f>
        <v/>
      </c>
      <c r="AM49" s="363">
        <f>VLOOKUP(AF49,Análisis!$B:$AN,8,0)</f>
        <v/>
      </c>
      <c r="AN49" s="365">
        <f>VLOOKUP(AF49,Análisis!$B:$AN,9,0)</f>
        <v/>
      </c>
      <c r="AO49" s="362">
        <f>VLOOKUP(AF49,Análisis!$B:$AN,16,0)</f>
        <v/>
      </c>
      <c r="AP49" s="363">
        <f>IF(VLOOKUP(AF49,Análisis!$B:$AN,27,0)=0,"Sin cambios",VLOOKUP(AF49,Análisis!$B:$AN,27,0))</f>
        <v/>
      </c>
      <c r="AQ49" s="364">
        <f>VLOOKUP(AF49,Análisis!$B:$AN,17,0)</f>
        <v/>
      </c>
      <c r="AR49" s="363">
        <f>VLOOKUP(AF49,Análisis!$B:$AN,18,0)</f>
        <v/>
      </c>
      <c r="AS49" s="364">
        <f>VLOOKUP(AF49,Análisis!$B:$AN,19,0)</f>
        <v/>
      </c>
      <c r="AT49" s="363">
        <f>VLOOKUP(AF49,Análisis!$B:$AN,20,0)</f>
        <v/>
      </c>
      <c r="AU49" s="365">
        <f>VLOOKUP(AF49,Análisis!$B:$AN,21,0)</f>
        <v/>
      </c>
      <c r="AV49" s="362">
        <f>VLOOKUP(AF49,Análisis!$B:$AN,28,0)</f>
        <v/>
      </c>
      <c r="AW49" s="363">
        <f>IF(VLOOKUP(AF49,Análisis!$B:$AN,39,0)=0,"Sin cambios",VLOOKUP(AF49,Análisis!$B:$AN,39,0))</f>
        <v/>
      </c>
      <c r="AX49" s="364">
        <f>VLOOKUP(AF49,Análisis!$B:$AN,29,0)</f>
        <v/>
      </c>
      <c r="AY49" s="363">
        <f>VLOOKUP(AF49,Análisis!$B:$AN,30,0)</f>
        <v/>
      </c>
      <c r="AZ49" s="364">
        <f>VLOOKUP(AF49,Análisis!$B:$AN,31,0)</f>
        <v/>
      </c>
      <c r="BA49" s="363">
        <f>VLOOKUP(AF49,Análisis!$B:$AN,32,0)</f>
        <v/>
      </c>
      <c r="BB49" s="365">
        <f>VLOOKUP(AF49,Análisis!$B:$AN,33,0)</f>
        <v/>
      </c>
    </row>
    <row r="50" spans="1:77">
      <c r="B50" s="72" t="n">
        <v>153</v>
      </c>
      <c r="C50" s="72" t="s">
        <v>104</v>
      </c>
      <c r="D50" s="126">
        <f>IF(VLOOKUP(Resumen!C50,Análisis!B:AN,15,0)=0,"Sin cambios",VLOOKUP(Resumen!C50,Análisis!B:AN,15,0))</f>
        <v/>
      </c>
      <c r="E50" s="126">
        <f>IF(VLOOKUP(Resumen!C50,Análisis!B:AN,27,0)=0,"Sin cambios",VLOOKUP(Resumen!C50,Análisis!B:AN,27,0))</f>
        <v/>
      </c>
      <c r="F50" s="126">
        <f>IF(VLOOKUP(Resumen!C50,Análisis!B:AN,39,0)=0,"Sin cambios",VLOOKUP(Resumen!C50,Análisis!B:AN,39,0))</f>
        <v/>
      </c>
      <c r="G50" s="126">
        <f>IF(AND(D50="Sin cambios",E50="Sin cambios",F50="Sin cambios")=TRUE,"No","Sí")</f>
        <v/>
      </c>
      <c r="AF50" s="127" t="s">
        <v>124</v>
      </c>
      <c r="AG50" s="129" t="s">
        <v>260</v>
      </c>
      <c r="AH50" s="362">
        <f>VLOOKUP(AF50,Análisis!$B:$AN,4,0)</f>
        <v/>
      </c>
      <c r="AI50" s="363">
        <f>IF(VLOOKUP(AF50,Análisis!$B:$AN,15,0)=0,"Sin cambios",VLOOKUP(AF50,Análisis!$B:$AN,15,0))</f>
        <v/>
      </c>
      <c r="AJ50" s="364">
        <f>VLOOKUP(AF50,Análisis!$B:$AN,5,0)</f>
        <v/>
      </c>
      <c r="AK50" s="363">
        <f>VLOOKUP(AF50,Análisis!$B:$AN,6,0)</f>
        <v/>
      </c>
      <c r="AL50" s="364">
        <f>VLOOKUP(AF50,Análisis!$B:$AN,7,0)</f>
        <v/>
      </c>
      <c r="AM50" s="363">
        <f>VLOOKUP(AF50,Análisis!$B:$AN,8,0)</f>
        <v/>
      </c>
      <c r="AN50" s="365">
        <f>VLOOKUP(AF50,Análisis!$B:$AN,9,0)</f>
        <v/>
      </c>
      <c r="AO50" s="362">
        <f>VLOOKUP(AF50,Análisis!$B:$AN,16,0)</f>
        <v/>
      </c>
      <c r="AP50" s="363">
        <f>IF(VLOOKUP(AF50,Análisis!$B:$AN,27,0)=0,"Sin cambios",VLOOKUP(AF50,Análisis!$B:$AN,27,0))</f>
        <v/>
      </c>
      <c r="AQ50" s="364">
        <f>VLOOKUP(AF50,Análisis!$B:$AN,17,0)</f>
        <v/>
      </c>
      <c r="AR50" s="363">
        <f>VLOOKUP(AF50,Análisis!$B:$AN,18,0)</f>
        <v/>
      </c>
      <c r="AS50" s="364">
        <f>VLOOKUP(AF50,Análisis!$B:$AN,19,0)</f>
        <v/>
      </c>
      <c r="AT50" s="363">
        <f>VLOOKUP(AF50,Análisis!$B:$AN,20,0)</f>
        <v/>
      </c>
      <c r="AU50" s="365">
        <f>VLOOKUP(AF50,Análisis!$B:$AN,21,0)</f>
        <v/>
      </c>
      <c r="AV50" s="362">
        <f>VLOOKUP(AF50,Análisis!$B:$AN,28,0)</f>
        <v/>
      </c>
      <c r="AW50" s="363">
        <f>IF(VLOOKUP(AF50,Análisis!$B:$AN,39,0)=0,"Sin cambios",VLOOKUP(AF50,Análisis!$B:$AN,39,0))</f>
        <v/>
      </c>
      <c r="AX50" s="364">
        <f>VLOOKUP(AF50,Análisis!$B:$AN,29,0)</f>
        <v/>
      </c>
      <c r="AY50" s="363">
        <f>VLOOKUP(AF50,Análisis!$B:$AN,30,0)</f>
        <v/>
      </c>
      <c r="AZ50" s="364">
        <f>VLOOKUP(AF50,Análisis!$B:$AN,31,0)</f>
        <v/>
      </c>
      <c r="BA50" s="363">
        <f>VLOOKUP(AF50,Análisis!$B:$AN,32,0)</f>
        <v/>
      </c>
      <c r="BB50" s="365">
        <f>VLOOKUP(AF50,Análisis!$B:$AN,33,0)</f>
        <v/>
      </c>
    </row>
    <row r="51" spans="1:77">
      <c r="B51" s="72" t="n">
        <v>241</v>
      </c>
      <c r="C51" s="72" t="s">
        <v>61</v>
      </c>
      <c r="D51" s="126">
        <f>IF(VLOOKUP(Resumen!C51,Análisis!B:AN,15,0)=0,"Sin cambios",VLOOKUP(Resumen!C51,Análisis!B:AN,15,0))</f>
        <v/>
      </c>
      <c r="E51" s="126">
        <f>IF(VLOOKUP(Resumen!C51,Análisis!B:AN,27,0)=0,"Sin cambios",VLOOKUP(Resumen!C51,Análisis!B:AN,27,0))</f>
        <v/>
      </c>
      <c r="F51" s="126">
        <f>IF(VLOOKUP(Resumen!C51,Análisis!B:AN,39,0)=0,"Sin cambios",VLOOKUP(Resumen!C51,Análisis!B:AN,39,0))</f>
        <v/>
      </c>
      <c r="G51" s="126">
        <f>IF(AND(D51="Sin cambios",E51="Sin cambios",F51="Sin cambios")=TRUE,"No","Sí")</f>
        <v/>
      </c>
      <c r="AF51" s="127" t="s">
        <v>125</v>
      </c>
      <c r="AG51" s="129" t="s">
        <v>260</v>
      </c>
      <c r="AH51" s="362">
        <f>VLOOKUP(AF51,Análisis!$B:$AN,4,0)</f>
        <v/>
      </c>
      <c r="AI51" s="363">
        <f>IF(VLOOKUP(AF51,Análisis!$B:$AN,15,0)=0,"Sin cambios",VLOOKUP(AF51,Análisis!$B:$AN,15,0))</f>
        <v/>
      </c>
      <c r="AJ51" s="364">
        <f>VLOOKUP(AF51,Análisis!$B:$AN,5,0)</f>
        <v/>
      </c>
      <c r="AK51" s="363">
        <f>VLOOKUP(AF51,Análisis!$B:$AN,6,0)</f>
        <v/>
      </c>
      <c r="AL51" s="364">
        <f>VLOOKUP(AF51,Análisis!$B:$AN,7,0)</f>
        <v/>
      </c>
      <c r="AM51" s="363">
        <f>VLOOKUP(AF51,Análisis!$B:$AN,8,0)</f>
        <v/>
      </c>
      <c r="AN51" s="365">
        <f>VLOOKUP(AF51,Análisis!$B:$AN,9,0)</f>
        <v/>
      </c>
      <c r="AO51" s="362">
        <f>VLOOKUP(AF51,Análisis!$B:$AN,16,0)</f>
        <v/>
      </c>
      <c r="AP51" s="363">
        <f>IF(VLOOKUP(AF51,Análisis!$B:$AN,27,0)=0,"Sin cambios",VLOOKUP(AF51,Análisis!$B:$AN,27,0))</f>
        <v/>
      </c>
      <c r="AQ51" s="364">
        <f>VLOOKUP(AF51,Análisis!$B:$AN,17,0)</f>
        <v/>
      </c>
      <c r="AR51" s="363">
        <f>VLOOKUP(AF51,Análisis!$B:$AN,18,0)</f>
        <v/>
      </c>
      <c r="AS51" s="364">
        <f>VLOOKUP(AF51,Análisis!$B:$AN,19,0)</f>
        <v/>
      </c>
      <c r="AT51" s="363">
        <f>VLOOKUP(AF51,Análisis!$B:$AN,20,0)</f>
        <v/>
      </c>
      <c r="AU51" s="365">
        <f>VLOOKUP(AF51,Análisis!$B:$AN,21,0)</f>
        <v/>
      </c>
      <c r="AV51" s="362">
        <f>VLOOKUP(AF51,Análisis!$B:$AN,28,0)</f>
        <v/>
      </c>
      <c r="AW51" s="363">
        <f>IF(VLOOKUP(AF51,Análisis!$B:$AN,39,0)=0,"Sin cambios",VLOOKUP(AF51,Análisis!$B:$AN,39,0))</f>
        <v/>
      </c>
      <c r="AX51" s="364">
        <f>VLOOKUP(AF51,Análisis!$B:$AN,29,0)</f>
        <v/>
      </c>
      <c r="AY51" s="363">
        <f>VLOOKUP(AF51,Análisis!$B:$AN,30,0)</f>
        <v/>
      </c>
      <c r="AZ51" s="364">
        <f>VLOOKUP(AF51,Análisis!$B:$AN,31,0)</f>
        <v/>
      </c>
      <c r="BA51" s="363">
        <f>VLOOKUP(AF51,Análisis!$B:$AN,32,0)</f>
        <v/>
      </c>
      <c r="BB51" s="365">
        <f>VLOOKUP(AF51,Análisis!$B:$AN,33,0)</f>
        <v/>
      </c>
    </row>
    <row r="52" spans="1:77">
      <c r="B52" s="72" t="n">
        <v>167</v>
      </c>
      <c r="C52" s="72" t="s">
        <v>231</v>
      </c>
      <c r="D52" s="126">
        <f>IF(VLOOKUP(Resumen!C52,Análisis!B:AN,15,0)=0,"Sin cambios",VLOOKUP(Resumen!C52,Análisis!B:AN,15,0))</f>
        <v/>
      </c>
      <c r="E52" s="126">
        <f>IF(VLOOKUP(Resumen!C52,Análisis!B:AN,27,0)=0,"Sin cambios",VLOOKUP(Resumen!C52,Análisis!B:AN,27,0))</f>
        <v/>
      </c>
      <c r="F52" s="126">
        <f>IF(VLOOKUP(Resumen!C52,Análisis!B:AN,39,0)=0,"Sin cambios",VLOOKUP(Resumen!C52,Análisis!B:AN,39,0))</f>
        <v/>
      </c>
      <c r="G52" s="126">
        <f>IF(AND(D52="Sin cambios",E52="Sin cambios",F52="Sin cambios")=TRUE,"No","Sí")</f>
        <v/>
      </c>
      <c r="AF52" s="127" t="s">
        <v>126</v>
      </c>
      <c r="AG52" s="129" t="s">
        <v>260</v>
      </c>
      <c r="AH52" s="362">
        <f>VLOOKUP(AF52,Análisis!$B:$AN,4,0)</f>
        <v/>
      </c>
      <c r="AI52" s="363">
        <f>IF(VLOOKUP(AF52,Análisis!$B:$AN,15,0)=0,"Sin cambios",VLOOKUP(AF52,Análisis!$B:$AN,15,0))</f>
        <v/>
      </c>
      <c r="AJ52" s="364">
        <f>VLOOKUP(AF52,Análisis!$B:$AN,5,0)</f>
        <v/>
      </c>
      <c r="AK52" s="363">
        <f>VLOOKUP(AF52,Análisis!$B:$AN,6,0)</f>
        <v/>
      </c>
      <c r="AL52" s="364">
        <f>VLOOKUP(AF52,Análisis!$B:$AN,7,0)</f>
        <v/>
      </c>
      <c r="AM52" s="363">
        <f>VLOOKUP(AF52,Análisis!$B:$AN,8,0)</f>
        <v/>
      </c>
      <c r="AN52" s="365">
        <f>VLOOKUP(AF52,Análisis!$B:$AN,9,0)</f>
        <v/>
      </c>
      <c r="AO52" s="362">
        <f>VLOOKUP(AF52,Análisis!$B:$AN,16,0)</f>
        <v/>
      </c>
      <c r="AP52" s="363">
        <f>IF(VLOOKUP(AF52,Análisis!$B:$AN,27,0)=0,"Sin cambios",VLOOKUP(AF52,Análisis!$B:$AN,27,0))</f>
        <v/>
      </c>
      <c r="AQ52" s="364">
        <f>VLOOKUP(AF52,Análisis!$B:$AN,17,0)</f>
        <v/>
      </c>
      <c r="AR52" s="363">
        <f>VLOOKUP(AF52,Análisis!$B:$AN,18,0)</f>
        <v/>
      </c>
      <c r="AS52" s="364">
        <f>VLOOKUP(AF52,Análisis!$B:$AN,19,0)</f>
        <v/>
      </c>
      <c r="AT52" s="363">
        <f>VLOOKUP(AF52,Análisis!$B:$AN,20,0)</f>
        <v/>
      </c>
      <c r="AU52" s="365">
        <f>VLOOKUP(AF52,Análisis!$B:$AN,21,0)</f>
        <v/>
      </c>
      <c r="AV52" s="362">
        <f>VLOOKUP(AF52,Análisis!$B:$AN,28,0)</f>
        <v/>
      </c>
      <c r="AW52" s="363">
        <f>IF(VLOOKUP(AF52,Análisis!$B:$AN,39,0)=0,"Sin cambios",VLOOKUP(AF52,Análisis!$B:$AN,39,0))</f>
        <v/>
      </c>
      <c r="AX52" s="364">
        <f>VLOOKUP(AF52,Análisis!$B:$AN,29,0)</f>
        <v/>
      </c>
      <c r="AY52" s="363">
        <f>VLOOKUP(AF52,Análisis!$B:$AN,30,0)</f>
        <v/>
      </c>
      <c r="AZ52" s="364">
        <f>VLOOKUP(AF52,Análisis!$B:$AN,31,0)</f>
        <v/>
      </c>
      <c r="BA52" s="363">
        <f>VLOOKUP(AF52,Análisis!$B:$AN,32,0)</f>
        <v/>
      </c>
      <c r="BB52" s="365">
        <f>VLOOKUP(AF52,Análisis!$B:$AN,33,0)</f>
        <v/>
      </c>
    </row>
    <row r="53" spans="1:77">
      <c r="B53" s="72" t="n">
        <v>37</v>
      </c>
      <c r="C53" s="72" t="s">
        <v>54</v>
      </c>
      <c r="D53" s="126">
        <f>IF(VLOOKUP(Resumen!C53,Análisis!B:AN,15,0)=0,"Sin cambios",VLOOKUP(Resumen!C53,Análisis!B:AN,15,0))</f>
        <v/>
      </c>
      <c r="E53" s="126">
        <f>IF(VLOOKUP(Resumen!C53,Análisis!B:AN,27,0)=0,"Sin cambios",VLOOKUP(Resumen!C53,Análisis!B:AN,27,0))</f>
        <v/>
      </c>
      <c r="F53" s="126">
        <f>IF(VLOOKUP(Resumen!C53,Análisis!B:AN,39,0)=0,"Sin cambios",VLOOKUP(Resumen!C53,Análisis!B:AN,39,0))</f>
        <v/>
      </c>
      <c r="G53" s="126">
        <f>IF(AND(D53="Sin cambios",E53="Sin cambios",F53="Sin cambios")=TRUE,"No","Sí")</f>
        <v/>
      </c>
      <c r="AF53" s="127" t="s">
        <v>127</v>
      </c>
      <c r="AG53" s="129" t="s">
        <v>258</v>
      </c>
      <c r="AH53" s="362">
        <f>VLOOKUP(AF53,Análisis!$B:$AN,4,0)</f>
        <v/>
      </c>
      <c r="AI53" s="363">
        <f>IF(VLOOKUP(AF53,Análisis!$B:$AN,15,0)=0,"Sin cambios",VLOOKUP(AF53,Análisis!$B:$AN,15,0))</f>
        <v/>
      </c>
      <c r="AJ53" s="364">
        <f>VLOOKUP(AF53,Análisis!$B:$AN,5,0)</f>
        <v/>
      </c>
      <c r="AK53" s="363">
        <f>VLOOKUP(AF53,Análisis!$B:$AN,6,0)</f>
        <v/>
      </c>
      <c r="AL53" s="364">
        <f>VLOOKUP(AF53,Análisis!$B:$AN,7,0)</f>
        <v/>
      </c>
      <c r="AM53" s="363">
        <f>VLOOKUP(AF53,Análisis!$B:$AN,8,0)</f>
        <v/>
      </c>
      <c r="AN53" s="365">
        <f>VLOOKUP(AF53,Análisis!$B:$AN,9,0)</f>
        <v/>
      </c>
      <c r="AO53" s="362">
        <f>VLOOKUP(AF53,Análisis!$B:$AN,16,0)</f>
        <v/>
      </c>
      <c r="AP53" s="363">
        <f>IF(VLOOKUP(AF53,Análisis!$B:$AN,27,0)=0,"Sin cambios",VLOOKUP(AF53,Análisis!$B:$AN,27,0))</f>
        <v/>
      </c>
      <c r="AQ53" s="364">
        <f>VLOOKUP(AF53,Análisis!$B:$AN,17,0)</f>
        <v/>
      </c>
      <c r="AR53" s="363">
        <f>VLOOKUP(AF53,Análisis!$B:$AN,18,0)</f>
        <v/>
      </c>
      <c r="AS53" s="364">
        <f>VLOOKUP(AF53,Análisis!$B:$AN,19,0)</f>
        <v/>
      </c>
      <c r="AT53" s="363">
        <f>VLOOKUP(AF53,Análisis!$B:$AN,20,0)</f>
        <v/>
      </c>
      <c r="AU53" s="365">
        <f>VLOOKUP(AF53,Análisis!$B:$AN,21,0)</f>
        <v/>
      </c>
      <c r="AV53" s="362">
        <f>VLOOKUP(AF53,Análisis!$B:$AN,28,0)</f>
        <v/>
      </c>
      <c r="AW53" s="363">
        <f>IF(VLOOKUP(AF53,Análisis!$B:$AN,39,0)=0,"Sin cambios",VLOOKUP(AF53,Análisis!$B:$AN,39,0))</f>
        <v/>
      </c>
      <c r="AX53" s="364">
        <f>VLOOKUP(AF53,Análisis!$B:$AN,29,0)</f>
        <v/>
      </c>
      <c r="AY53" s="363">
        <f>VLOOKUP(AF53,Análisis!$B:$AN,30,0)</f>
        <v/>
      </c>
      <c r="AZ53" s="364">
        <f>VLOOKUP(AF53,Análisis!$B:$AN,31,0)</f>
        <v/>
      </c>
      <c r="BA53" s="363">
        <f>VLOOKUP(AF53,Análisis!$B:$AN,32,0)</f>
        <v/>
      </c>
      <c r="BB53" s="365">
        <f>VLOOKUP(AF53,Análisis!$B:$AN,33,0)</f>
        <v/>
      </c>
    </row>
    <row r="54" spans="1:77">
      <c r="B54" s="72" t="n">
        <v>291</v>
      </c>
      <c r="C54" s="72" t="s">
        <v>70</v>
      </c>
      <c r="D54" s="126">
        <f>IF(VLOOKUP(Resumen!C54,Análisis!B:AN,15,0)=0,"Sin cambios",VLOOKUP(Resumen!C54,Análisis!B:AN,15,0))</f>
        <v/>
      </c>
      <c r="E54" s="126">
        <f>IF(VLOOKUP(Resumen!C54,Análisis!B:AN,27,0)=0,"Sin cambios",VLOOKUP(Resumen!C54,Análisis!B:AN,27,0))</f>
        <v/>
      </c>
      <c r="F54" s="126">
        <f>IF(VLOOKUP(Resumen!C54,Análisis!B:AN,39,0)=0,"Sin cambios",VLOOKUP(Resumen!C54,Análisis!B:AN,39,0))</f>
        <v/>
      </c>
      <c r="G54" s="126">
        <f>IF(AND(D54="Sin cambios",E54="Sin cambios",F54="Sin cambios")=TRUE,"No","Sí")</f>
        <v/>
      </c>
      <c r="AF54" s="127" t="s">
        <v>226</v>
      </c>
      <c r="AG54" s="129" t="s">
        <v>260</v>
      </c>
      <c r="AH54" s="362">
        <f>VLOOKUP(AF54,Análisis!$B:$AN,4,0)</f>
        <v/>
      </c>
      <c r="AI54" s="363">
        <f>IF(VLOOKUP(AF54,Análisis!$B:$AN,15,0)=0,"Sin cambios",VLOOKUP(AF54,Análisis!$B:$AN,15,0))</f>
        <v/>
      </c>
      <c r="AJ54" s="364">
        <f>VLOOKUP(AF54,Análisis!$B:$AN,5,0)</f>
        <v/>
      </c>
      <c r="AK54" s="363">
        <f>VLOOKUP(AF54,Análisis!$B:$AN,6,0)</f>
        <v/>
      </c>
      <c r="AL54" s="364">
        <f>VLOOKUP(AF54,Análisis!$B:$AN,7,0)</f>
        <v/>
      </c>
      <c r="AM54" s="363">
        <f>VLOOKUP(AF54,Análisis!$B:$AN,8,0)</f>
        <v/>
      </c>
      <c r="AN54" s="365">
        <f>VLOOKUP(AF54,Análisis!$B:$AN,9,0)</f>
        <v/>
      </c>
      <c r="AO54" s="362">
        <f>VLOOKUP(AF54,Análisis!$B:$AN,16,0)</f>
        <v/>
      </c>
      <c r="AP54" s="363">
        <f>IF(VLOOKUP(AF54,Análisis!$B:$AN,27,0)=0,"Sin cambios",VLOOKUP(AF54,Análisis!$B:$AN,27,0))</f>
        <v/>
      </c>
      <c r="AQ54" s="364">
        <f>VLOOKUP(AF54,Análisis!$B:$AN,17,0)</f>
        <v/>
      </c>
      <c r="AR54" s="363">
        <f>VLOOKUP(AF54,Análisis!$B:$AN,18,0)</f>
        <v/>
      </c>
      <c r="AS54" s="364">
        <f>VLOOKUP(AF54,Análisis!$B:$AN,19,0)</f>
        <v/>
      </c>
      <c r="AT54" s="363">
        <f>VLOOKUP(AF54,Análisis!$B:$AN,20,0)</f>
        <v/>
      </c>
      <c r="AU54" s="365">
        <f>VLOOKUP(AF54,Análisis!$B:$AN,21,0)</f>
        <v/>
      </c>
      <c r="AV54" s="362">
        <f>VLOOKUP(AF54,Análisis!$B:$AN,28,0)</f>
        <v/>
      </c>
      <c r="AW54" s="363">
        <f>IF(VLOOKUP(AF54,Análisis!$B:$AN,39,0)=0,"Sin cambios",VLOOKUP(AF54,Análisis!$B:$AN,39,0))</f>
        <v/>
      </c>
      <c r="AX54" s="364">
        <f>VLOOKUP(AF54,Análisis!$B:$AN,29,0)</f>
        <v/>
      </c>
      <c r="AY54" s="363">
        <f>VLOOKUP(AF54,Análisis!$B:$AN,30,0)</f>
        <v/>
      </c>
      <c r="AZ54" s="364">
        <f>VLOOKUP(AF54,Análisis!$B:$AN,31,0)</f>
        <v/>
      </c>
      <c r="BA54" s="363">
        <f>VLOOKUP(AF54,Análisis!$B:$AN,32,0)</f>
        <v/>
      </c>
      <c r="BB54" s="365">
        <f>VLOOKUP(AF54,Análisis!$B:$AN,33,0)</f>
        <v/>
      </c>
    </row>
    <row r="55" spans="1:77">
      <c r="B55" s="72" t="n">
        <v>183</v>
      </c>
      <c r="C55" s="72" t="s">
        <v>250</v>
      </c>
      <c r="D55" s="126">
        <f>IF(VLOOKUP(Resumen!C55,Análisis!B:AN,15,0)=0,"Sin cambios",VLOOKUP(Resumen!C55,Análisis!B:AN,15,0))</f>
        <v/>
      </c>
      <c r="E55" s="126">
        <f>IF(VLOOKUP(Resumen!C55,Análisis!B:AN,27,0)=0,"Sin cambios",VLOOKUP(Resumen!C55,Análisis!B:AN,27,0))</f>
        <v/>
      </c>
      <c r="F55" s="126">
        <f>IF(VLOOKUP(Resumen!C55,Análisis!B:AN,39,0)=0,"Sin cambios",VLOOKUP(Resumen!C55,Análisis!B:AN,39,0))</f>
        <v/>
      </c>
      <c r="G55" s="126">
        <f>IF(AND(D55="Sin cambios",E55="Sin cambios",F55="Sin cambios")=TRUE,"No","Sí")</f>
        <v/>
      </c>
      <c r="AF55" s="127" t="s">
        <v>131</v>
      </c>
      <c r="AG55" s="129" t="s">
        <v>260</v>
      </c>
      <c r="AH55" s="362">
        <f>VLOOKUP(AF55,Análisis!$B:$AN,4,0)</f>
        <v/>
      </c>
      <c r="AI55" s="363">
        <f>IF(VLOOKUP(AF55,Análisis!$B:$AN,15,0)=0,"Sin cambios",VLOOKUP(AF55,Análisis!$B:$AN,15,0))</f>
        <v/>
      </c>
      <c r="AJ55" s="364">
        <f>VLOOKUP(AF55,Análisis!$B:$AN,5,0)</f>
        <v/>
      </c>
      <c r="AK55" s="363">
        <f>VLOOKUP(AF55,Análisis!$B:$AN,6,0)</f>
        <v/>
      </c>
      <c r="AL55" s="364">
        <f>VLOOKUP(AF55,Análisis!$B:$AN,7,0)</f>
        <v/>
      </c>
      <c r="AM55" s="363">
        <f>VLOOKUP(AF55,Análisis!$B:$AN,8,0)</f>
        <v/>
      </c>
      <c r="AN55" s="365">
        <f>VLOOKUP(AF55,Análisis!$B:$AN,9,0)</f>
        <v/>
      </c>
      <c r="AO55" s="362">
        <f>VLOOKUP(AF55,Análisis!$B:$AN,16,0)</f>
        <v/>
      </c>
      <c r="AP55" s="363">
        <f>IF(VLOOKUP(AF55,Análisis!$B:$AN,27,0)=0,"Sin cambios",VLOOKUP(AF55,Análisis!$B:$AN,27,0))</f>
        <v/>
      </c>
      <c r="AQ55" s="364">
        <f>VLOOKUP(AF55,Análisis!$B:$AN,17,0)</f>
        <v/>
      </c>
      <c r="AR55" s="363">
        <f>VLOOKUP(AF55,Análisis!$B:$AN,18,0)</f>
        <v/>
      </c>
      <c r="AS55" s="364">
        <f>VLOOKUP(AF55,Análisis!$B:$AN,19,0)</f>
        <v/>
      </c>
      <c r="AT55" s="363">
        <f>VLOOKUP(AF55,Análisis!$B:$AN,20,0)</f>
        <v/>
      </c>
      <c r="AU55" s="365">
        <f>VLOOKUP(AF55,Análisis!$B:$AN,21,0)</f>
        <v/>
      </c>
      <c r="AV55" s="362">
        <f>VLOOKUP(AF55,Análisis!$B:$AN,28,0)</f>
        <v/>
      </c>
      <c r="AW55" s="363">
        <f>IF(VLOOKUP(AF55,Análisis!$B:$AN,39,0)=0,"Sin cambios",VLOOKUP(AF55,Análisis!$B:$AN,39,0))</f>
        <v/>
      </c>
      <c r="AX55" s="364">
        <f>VLOOKUP(AF55,Análisis!$B:$AN,29,0)</f>
        <v/>
      </c>
      <c r="AY55" s="363">
        <f>VLOOKUP(AF55,Análisis!$B:$AN,30,0)</f>
        <v/>
      </c>
      <c r="AZ55" s="364">
        <f>VLOOKUP(AF55,Análisis!$B:$AN,31,0)</f>
        <v/>
      </c>
      <c r="BA55" s="363">
        <f>VLOOKUP(AF55,Análisis!$B:$AN,32,0)</f>
        <v/>
      </c>
      <c r="BB55" s="365">
        <f>VLOOKUP(AF55,Análisis!$B:$AN,33,0)</f>
        <v/>
      </c>
    </row>
    <row r="56" spans="1:77">
      <c r="B56" s="72" t="n">
        <v>272</v>
      </c>
      <c r="C56" s="72" t="s">
        <v>65</v>
      </c>
      <c r="D56" s="126">
        <f>IF(VLOOKUP(Resumen!C56,Análisis!B:AN,15,0)=0,"Sin cambios",VLOOKUP(Resumen!C56,Análisis!B:AN,15,0))</f>
        <v/>
      </c>
      <c r="E56" s="126">
        <f>IF(VLOOKUP(Resumen!C56,Análisis!B:AN,27,0)=0,"Sin cambios",VLOOKUP(Resumen!C56,Análisis!B:AN,27,0))</f>
        <v/>
      </c>
      <c r="F56" s="126">
        <f>IF(VLOOKUP(Resumen!C56,Análisis!B:AN,39,0)=0,"Sin cambios",VLOOKUP(Resumen!C56,Análisis!B:AN,39,0))</f>
        <v/>
      </c>
      <c r="G56" s="126">
        <f>IF(AND(D56="Sin cambios",E56="Sin cambios",F56="Sin cambios")=TRUE,"No","Sí")</f>
        <v/>
      </c>
      <c r="AF56" s="127" t="s">
        <v>270</v>
      </c>
      <c r="AG56" s="129" t="s">
        <v>258</v>
      </c>
      <c r="AH56" s="362">
        <f>VLOOKUP(AF56,Análisis!$B:$AN,4,0)</f>
        <v/>
      </c>
      <c r="AI56" s="363">
        <f>IF(VLOOKUP(AF56,Análisis!$B:$AN,15,0)=0,"Sin cambios",VLOOKUP(AF56,Análisis!$B:$AN,15,0))</f>
        <v/>
      </c>
      <c r="AJ56" s="364">
        <f>VLOOKUP(AF56,Análisis!$B:$AN,5,0)</f>
        <v/>
      </c>
      <c r="AK56" s="363">
        <f>VLOOKUP(AF56,Análisis!$B:$AN,6,0)</f>
        <v/>
      </c>
      <c r="AL56" s="364">
        <f>VLOOKUP(AF56,Análisis!$B:$AN,7,0)</f>
        <v/>
      </c>
      <c r="AM56" s="363">
        <f>VLOOKUP(AF56,Análisis!$B:$AN,8,0)</f>
        <v/>
      </c>
      <c r="AN56" s="365">
        <f>VLOOKUP(AF56,Análisis!$B:$AN,9,0)</f>
        <v/>
      </c>
      <c r="AO56" s="362">
        <f>VLOOKUP(AF56,Análisis!$B:$AN,16,0)</f>
        <v/>
      </c>
      <c r="AP56" s="363">
        <f>IF(VLOOKUP(AF56,Análisis!$B:$AN,27,0)=0,"Sin cambios",VLOOKUP(AF56,Análisis!$B:$AN,27,0))</f>
        <v/>
      </c>
      <c r="AQ56" s="364">
        <f>VLOOKUP(AF56,Análisis!$B:$AN,17,0)</f>
        <v/>
      </c>
      <c r="AR56" s="363">
        <f>VLOOKUP(AF56,Análisis!$B:$AN,18,0)</f>
        <v/>
      </c>
      <c r="AS56" s="364">
        <f>VLOOKUP(AF56,Análisis!$B:$AN,19,0)</f>
        <v/>
      </c>
      <c r="AT56" s="363">
        <f>VLOOKUP(AF56,Análisis!$B:$AN,20,0)</f>
        <v/>
      </c>
      <c r="AU56" s="365">
        <f>VLOOKUP(AF56,Análisis!$B:$AN,21,0)</f>
        <v/>
      </c>
      <c r="AV56" s="362">
        <f>VLOOKUP(AF56,Análisis!$B:$AN,28,0)</f>
        <v/>
      </c>
      <c r="AW56" s="363">
        <f>IF(VLOOKUP(AF56,Análisis!$B:$AN,39,0)=0,"Sin cambios",VLOOKUP(AF56,Análisis!$B:$AN,39,0))</f>
        <v/>
      </c>
      <c r="AX56" s="364">
        <f>VLOOKUP(AF56,Análisis!$B:$AN,29,0)</f>
        <v/>
      </c>
      <c r="AY56" s="363">
        <f>VLOOKUP(AF56,Análisis!$B:$AN,30,0)</f>
        <v/>
      </c>
      <c r="AZ56" s="364">
        <f>VLOOKUP(AF56,Análisis!$B:$AN,31,0)</f>
        <v/>
      </c>
      <c r="BA56" s="363">
        <f>VLOOKUP(AF56,Análisis!$B:$AN,32,0)</f>
        <v/>
      </c>
      <c r="BB56" s="365">
        <f>VLOOKUP(AF56,Análisis!$B:$AN,33,0)</f>
        <v/>
      </c>
    </row>
    <row r="57" spans="1:77">
      <c r="B57" s="72" t="n">
        <v>34</v>
      </c>
      <c r="C57" s="72" t="s">
        <v>52</v>
      </c>
      <c r="D57" s="126">
        <f>IF(VLOOKUP(Resumen!C57,Análisis!B:AN,15,0)=0,"Sin cambios",VLOOKUP(Resumen!C57,Análisis!B:AN,15,0))</f>
        <v/>
      </c>
      <c r="E57" s="126">
        <f>IF(VLOOKUP(Resumen!C57,Análisis!B:AN,27,0)=0,"Sin cambios",VLOOKUP(Resumen!C57,Análisis!B:AN,27,0))</f>
        <v/>
      </c>
      <c r="F57" s="126">
        <f>IF(VLOOKUP(Resumen!C57,Análisis!B:AN,39,0)=0,"Sin cambios",VLOOKUP(Resumen!C57,Análisis!B:AN,39,0))</f>
        <v/>
      </c>
      <c r="G57" s="126">
        <f>IF(AND(D57="Sin cambios",E57="Sin cambios",F57="Sin cambios")=TRUE,"No","Sí")</f>
        <v/>
      </c>
      <c r="AF57" s="127" t="s">
        <v>234</v>
      </c>
      <c r="AG57" s="129" t="s">
        <v>260</v>
      </c>
      <c r="AH57" s="362">
        <f>VLOOKUP(AF57,Análisis!$B:$AN,4,0)</f>
        <v/>
      </c>
      <c r="AI57" s="363">
        <f>IF(VLOOKUP(AF57,Análisis!$B:$AN,15,0)=0,"Sin cambios",VLOOKUP(AF57,Análisis!$B:$AN,15,0))</f>
        <v/>
      </c>
      <c r="AJ57" s="364">
        <f>VLOOKUP(AF57,Análisis!$B:$AN,5,0)</f>
        <v/>
      </c>
      <c r="AK57" s="363">
        <f>VLOOKUP(AF57,Análisis!$B:$AN,6,0)</f>
        <v/>
      </c>
      <c r="AL57" s="364">
        <f>VLOOKUP(AF57,Análisis!$B:$AN,7,0)</f>
        <v/>
      </c>
      <c r="AM57" s="363">
        <f>VLOOKUP(AF57,Análisis!$B:$AN,8,0)</f>
        <v/>
      </c>
      <c r="AN57" s="365">
        <f>VLOOKUP(AF57,Análisis!$B:$AN,9,0)</f>
        <v/>
      </c>
      <c r="AO57" s="362">
        <f>VLOOKUP(AF57,Análisis!$B:$AN,16,0)</f>
        <v/>
      </c>
      <c r="AP57" s="363">
        <f>IF(VLOOKUP(AF57,Análisis!$B:$AN,27,0)=0,"Sin cambios",VLOOKUP(AF57,Análisis!$B:$AN,27,0))</f>
        <v/>
      </c>
      <c r="AQ57" s="364">
        <f>VLOOKUP(AF57,Análisis!$B:$AN,17,0)</f>
        <v/>
      </c>
      <c r="AR57" s="363">
        <f>VLOOKUP(AF57,Análisis!$B:$AN,18,0)</f>
        <v/>
      </c>
      <c r="AS57" s="364">
        <f>VLOOKUP(AF57,Análisis!$B:$AN,19,0)</f>
        <v/>
      </c>
      <c r="AT57" s="363">
        <f>VLOOKUP(AF57,Análisis!$B:$AN,20,0)</f>
        <v/>
      </c>
      <c r="AU57" s="365">
        <f>VLOOKUP(AF57,Análisis!$B:$AN,21,0)</f>
        <v/>
      </c>
      <c r="AV57" s="362">
        <f>VLOOKUP(AF57,Análisis!$B:$AN,28,0)</f>
        <v/>
      </c>
      <c r="AW57" s="363">
        <f>IF(VLOOKUP(AF57,Análisis!$B:$AN,39,0)=0,"Sin cambios",VLOOKUP(AF57,Análisis!$B:$AN,39,0))</f>
        <v/>
      </c>
      <c r="AX57" s="364">
        <f>VLOOKUP(AF57,Análisis!$B:$AN,29,0)</f>
        <v/>
      </c>
      <c r="AY57" s="363">
        <f>VLOOKUP(AF57,Análisis!$B:$AN,30,0)</f>
        <v/>
      </c>
      <c r="AZ57" s="364">
        <f>VLOOKUP(AF57,Análisis!$B:$AN,31,0)</f>
        <v/>
      </c>
      <c r="BA57" s="363">
        <f>VLOOKUP(AF57,Análisis!$B:$AN,32,0)</f>
        <v/>
      </c>
      <c r="BB57" s="365">
        <f>VLOOKUP(AF57,Análisis!$B:$AN,33,0)</f>
        <v/>
      </c>
    </row>
    <row r="58" spans="1:77">
      <c r="B58" s="72" t="n">
        <v>276</v>
      </c>
      <c r="C58" s="72" t="s">
        <v>66</v>
      </c>
      <c r="D58" s="126">
        <f>IF(VLOOKUP(Resumen!C58,Análisis!B:AN,15,0)=0,"Sin cambios",VLOOKUP(Resumen!C58,Análisis!B:AN,15,0))</f>
        <v/>
      </c>
      <c r="E58" s="126">
        <f>IF(VLOOKUP(Resumen!C58,Análisis!B:AN,27,0)=0,"Sin cambios",VLOOKUP(Resumen!C58,Análisis!B:AN,27,0))</f>
        <v/>
      </c>
      <c r="F58" s="126">
        <f>IF(VLOOKUP(Resumen!C58,Análisis!B:AN,39,0)=0,"Sin cambios",VLOOKUP(Resumen!C58,Análisis!B:AN,39,0))</f>
        <v/>
      </c>
      <c r="G58" s="126">
        <f>IF(AND(D58="Sin cambios",E58="Sin cambios",F58="Sin cambios")=TRUE,"No","Sí")</f>
        <v/>
      </c>
      <c r="AF58" s="127" t="s">
        <v>134</v>
      </c>
      <c r="AG58" s="129" t="s">
        <v>260</v>
      </c>
      <c r="AH58" s="362">
        <f>VLOOKUP(AF58,Análisis!$B:$AN,4,0)</f>
        <v/>
      </c>
      <c r="AI58" s="363">
        <f>IF(VLOOKUP(AF58,Análisis!$B:$AN,15,0)=0,"Sin cambios",VLOOKUP(AF58,Análisis!$B:$AN,15,0))</f>
        <v/>
      </c>
      <c r="AJ58" s="364">
        <f>VLOOKUP(AF58,Análisis!$B:$AN,5,0)</f>
        <v/>
      </c>
      <c r="AK58" s="363">
        <f>VLOOKUP(AF58,Análisis!$B:$AN,6,0)</f>
        <v/>
      </c>
      <c r="AL58" s="364">
        <f>VLOOKUP(AF58,Análisis!$B:$AN,7,0)</f>
        <v/>
      </c>
      <c r="AM58" s="363">
        <f>VLOOKUP(AF58,Análisis!$B:$AN,8,0)</f>
        <v/>
      </c>
      <c r="AN58" s="365">
        <f>VLOOKUP(AF58,Análisis!$B:$AN,9,0)</f>
        <v/>
      </c>
      <c r="AO58" s="362">
        <f>VLOOKUP(AF58,Análisis!$B:$AN,16,0)</f>
        <v/>
      </c>
      <c r="AP58" s="363">
        <f>IF(VLOOKUP(AF58,Análisis!$B:$AN,27,0)=0,"Sin cambios",VLOOKUP(AF58,Análisis!$B:$AN,27,0))</f>
        <v/>
      </c>
      <c r="AQ58" s="364">
        <f>VLOOKUP(AF58,Análisis!$B:$AN,17,0)</f>
        <v/>
      </c>
      <c r="AR58" s="363">
        <f>VLOOKUP(AF58,Análisis!$B:$AN,18,0)</f>
        <v/>
      </c>
      <c r="AS58" s="364">
        <f>VLOOKUP(AF58,Análisis!$B:$AN,19,0)</f>
        <v/>
      </c>
      <c r="AT58" s="363">
        <f>VLOOKUP(AF58,Análisis!$B:$AN,20,0)</f>
        <v/>
      </c>
      <c r="AU58" s="365">
        <f>VLOOKUP(AF58,Análisis!$B:$AN,21,0)</f>
        <v/>
      </c>
      <c r="AV58" s="362">
        <f>VLOOKUP(AF58,Análisis!$B:$AN,28,0)</f>
        <v/>
      </c>
      <c r="AW58" s="363">
        <f>IF(VLOOKUP(AF58,Análisis!$B:$AN,39,0)=0,"Sin cambios",VLOOKUP(AF58,Análisis!$B:$AN,39,0))</f>
        <v/>
      </c>
      <c r="AX58" s="364">
        <f>VLOOKUP(AF58,Análisis!$B:$AN,29,0)</f>
        <v/>
      </c>
      <c r="AY58" s="363">
        <f>VLOOKUP(AF58,Análisis!$B:$AN,30,0)</f>
        <v/>
      </c>
      <c r="AZ58" s="364">
        <f>VLOOKUP(AF58,Análisis!$B:$AN,31,0)</f>
        <v/>
      </c>
      <c r="BA58" s="363">
        <f>VLOOKUP(AF58,Análisis!$B:$AN,32,0)</f>
        <v/>
      </c>
      <c r="BB58" s="365">
        <f>VLOOKUP(AF58,Análisis!$B:$AN,33,0)</f>
        <v/>
      </c>
    </row>
    <row r="59" spans="1:77">
      <c r="B59" s="72" t="n">
        <v>23</v>
      </c>
      <c r="C59" s="72" t="s">
        <v>224</v>
      </c>
      <c r="D59" s="126">
        <f>IF(VLOOKUP(Resumen!C59,Análisis!B:AN,15,0)=0,"Sin cambios",VLOOKUP(Resumen!C59,Análisis!B:AN,15,0))</f>
        <v/>
      </c>
      <c r="E59" s="126">
        <f>IF(VLOOKUP(Resumen!C59,Análisis!B:AN,27,0)=0,"Sin cambios",VLOOKUP(Resumen!C59,Análisis!B:AN,27,0))</f>
        <v/>
      </c>
      <c r="F59" s="126">
        <f>IF(VLOOKUP(Resumen!C59,Análisis!B:AN,39,0)=0,"Sin cambios",VLOOKUP(Resumen!C59,Análisis!B:AN,39,0))</f>
        <v/>
      </c>
      <c r="G59" s="126">
        <f>IF(AND(D59="Sin cambios",E59="Sin cambios",F59="Sin cambios")=TRUE,"No","Sí")</f>
        <v/>
      </c>
      <c r="AF59" s="127" t="s">
        <v>135</v>
      </c>
      <c r="AG59" s="129" t="s">
        <v>260</v>
      </c>
      <c r="AH59" s="362">
        <f>VLOOKUP(AF59,Análisis!$B:$AN,4,0)</f>
        <v/>
      </c>
      <c r="AI59" s="363">
        <f>IF(VLOOKUP(AF59,Análisis!$B:$AN,15,0)=0,"Sin cambios",VLOOKUP(AF59,Análisis!$B:$AN,15,0))</f>
        <v/>
      </c>
      <c r="AJ59" s="364">
        <f>VLOOKUP(AF59,Análisis!$B:$AN,5,0)</f>
        <v/>
      </c>
      <c r="AK59" s="363">
        <f>VLOOKUP(AF59,Análisis!$B:$AN,6,0)</f>
        <v/>
      </c>
      <c r="AL59" s="364">
        <f>VLOOKUP(AF59,Análisis!$B:$AN,7,0)</f>
        <v/>
      </c>
      <c r="AM59" s="363">
        <f>VLOOKUP(AF59,Análisis!$B:$AN,8,0)</f>
        <v/>
      </c>
      <c r="AN59" s="365">
        <f>VLOOKUP(AF59,Análisis!$B:$AN,9,0)</f>
        <v/>
      </c>
      <c r="AO59" s="362">
        <f>VLOOKUP(AF59,Análisis!$B:$AN,16,0)</f>
        <v/>
      </c>
      <c r="AP59" s="363">
        <f>IF(VLOOKUP(AF59,Análisis!$B:$AN,27,0)=0,"Sin cambios",VLOOKUP(AF59,Análisis!$B:$AN,27,0))</f>
        <v/>
      </c>
      <c r="AQ59" s="364">
        <f>VLOOKUP(AF59,Análisis!$B:$AN,17,0)</f>
        <v/>
      </c>
      <c r="AR59" s="363">
        <f>VLOOKUP(AF59,Análisis!$B:$AN,18,0)</f>
        <v/>
      </c>
      <c r="AS59" s="364">
        <f>VLOOKUP(AF59,Análisis!$B:$AN,19,0)</f>
        <v/>
      </c>
      <c r="AT59" s="363">
        <f>VLOOKUP(AF59,Análisis!$B:$AN,20,0)</f>
        <v/>
      </c>
      <c r="AU59" s="365">
        <f>VLOOKUP(AF59,Análisis!$B:$AN,21,0)</f>
        <v/>
      </c>
      <c r="AV59" s="362">
        <f>VLOOKUP(AF59,Análisis!$B:$AN,28,0)</f>
        <v/>
      </c>
      <c r="AW59" s="363">
        <f>IF(VLOOKUP(AF59,Análisis!$B:$AN,39,0)=0,"Sin cambios",VLOOKUP(AF59,Análisis!$B:$AN,39,0))</f>
        <v/>
      </c>
      <c r="AX59" s="364">
        <f>VLOOKUP(AF59,Análisis!$B:$AN,29,0)</f>
        <v/>
      </c>
      <c r="AY59" s="363">
        <f>VLOOKUP(AF59,Análisis!$B:$AN,30,0)</f>
        <v/>
      </c>
      <c r="AZ59" s="364">
        <f>VLOOKUP(AF59,Análisis!$B:$AN,31,0)</f>
        <v/>
      </c>
      <c r="BA59" s="363">
        <f>VLOOKUP(AF59,Análisis!$B:$AN,32,0)</f>
        <v/>
      </c>
      <c r="BB59" s="365">
        <f>VLOOKUP(AF59,Análisis!$B:$AN,33,0)</f>
        <v/>
      </c>
    </row>
    <row r="60" spans="1:77">
      <c r="B60" s="72" t="n">
        <v>1</v>
      </c>
      <c r="C60" s="72" t="s">
        <v>45</v>
      </c>
      <c r="D60" s="126">
        <f>IF(VLOOKUP(Resumen!C60,Análisis!B:AN,15,0)=0,"Sin cambios",VLOOKUP(Resumen!C60,Análisis!B:AN,15,0))</f>
        <v/>
      </c>
      <c r="E60" s="126">
        <f>IF(VLOOKUP(Resumen!C60,Análisis!B:AN,27,0)=0,"Sin cambios",VLOOKUP(Resumen!C60,Análisis!B:AN,27,0))</f>
        <v/>
      </c>
      <c r="F60" s="126">
        <f>IF(VLOOKUP(Resumen!C60,Análisis!B:AN,39,0)=0,"Sin cambios",VLOOKUP(Resumen!C60,Análisis!B:AN,39,0))</f>
        <v/>
      </c>
      <c r="G60" s="126">
        <f>IF(AND(D60="Sin cambios",E60="Sin cambios",F60="Sin cambios")=TRUE,"No","Sí")</f>
        <v/>
      </c>
      <c r="AF60" s="127" t="s">
        <v>136</v>
      </c>
      <c r="AG60" s="129" t="s">
        <v>260</v>
      </c>
      <c r="AH60" s="362">
        <f>VLOOKUP(AF60,Análisis!$B:$AN,4,0)</f>
        <v/>
      </c>
      <c r="AI60" s="363">
        <f>IF(VLOOKUP(AF60,Análisis!$B:$AN,15,0)=0,"Sin cambios",VLOOKUP(AF60,Análisis!$B:$AN,15,0))</f>
        <v/>
      </c>
      <c r="AJ60" s="364">
        <f>VLOOKUP(AF60,Análisis!$B:$AN,5,0)</f>
        <v/>
      </c>
      <c r="AK60" s="363">
        <f>VLOOKUP(AF60,Análisis!$B:$AN,6,0)</f>
        <v/>
      </c>
      <c r="AL60" s="364">
        <f>VLOOKUP(AF60,Análisis!$B:$AN,7,0)</f>
        <v/>
      </c>
      <c r="AM60" s="363">
        <f>VLOOKUP(AF60,Análisis!$B:$AN,8,0)</f>
        <v/>
      </c>
      <c r="AN60" s="365">
        <f>VLOOKUP(AF60,Análisis!$B:$AN,9,0)</f>
        <v/>
      </c>
      <c r="AO60" s="362">
        <f>VLOOKUP(AF60,Análisis!$B:$AN,16,0)</f>
        <v/>
      </c>
      <c r="AP60" s="363">
        <f>IF(VLOOKUP(AF60,Análisis!$B:$AN,27,0)=0,"Sin cambios",VLOOKUP(AF60,Análisis!$B:$AN,27,0))</f>
        <v/>
      </c>
      <c r="AQ60" s="364">
        <f>VLOOKUP(AF60,Análisis!$B:$AN,17,0)</f>
        <v/>
      </c>
      <c r="AR60" s="363">
        <f>VLOOKUP(AF60,Análisis!$B:$AN,18,0)</f>
        <v/>
      </c>
      <c r="AS60" s="364">
        <f>VLOOKUP(AF60,Análisis!$B:$AN,19,0)</f>
        <v/>
      </c>
      <c r="AT60" s="363">
        <f>VLOOKUP(AF60,Análisis!$B:$AN,20,0)</f>
        <v/>
      </c>
      <c r="AU60" s="365">
        <f>VLOOKUP(AF60,Análisis!$B:$AN,21,0)</f>
        <v/>
      </c>
      <c r="AV60" s="362">
        <f>VLOOKUP(AF60,Análisis!$B:$AN,28,0)</f>
        <v/>
      </c>
      <c r="AW60" s="363">
        <f>IF(VLOOKUP(AF60,Análisis!$B:$AN,39,0)=0,"Sin cambios",VLOOKUP(AF60,Análisis!$B:$AN,39,0))</f>
        <v/>
      </c>
      <c r="AX60" s="364">
        <f>VLOOKUP(AF60,Análisis!$B:$AN,29,0)</f>
        <v/>
      </c>
      <c r="AY60" s="363">
        <f>VLOOKUP(AF60,Análisis!$B:$AN,30,0)</f>
        <v/>
      </c>
      <c r="AZ60" s="364">
        <f>VLOOKUP(AF60,Análisis!$B:$AN,31,0)</f>
        <v/>
      </c>
      <c r="BA60" s="363">
        <f>VLOOKUP(AF60,Análisis!$B:$AN,32,0)</f>
        <v/>
      </c>
      <c r="BB60" s="365">
        <f>VLOOKUP(AF60,Análisis!$B:$AN,33,0)</f>
        <v/>
      </c>
    </row>
    <row r="61" spans="1:77">
      <c r="B61" s="72" t="n">
        <v>77</v>
      </c>
      <c r="C61" s="72" t="s">
        <v>80</v>
      </c>
      <c r="D61" s="126">
        <f>IF(VLOOKUP(Resumen!C61,Análisis!B:AN,15,0)=0,"Sin cambios",VLOOKUP(Resumen!C61,Análisis!B:AN,15,0))</f>
        <v/>
      </c>
      <c r="E61" s="126">
        <f>IF(VLOOKUP(Resumen!C61,Análisis!B:AN,27,0)=0,"Sin cambios",VLOOKUP(Resumen!C61,Análisis!B:AN,27,0))</f>
        <v/>
      </c>
      <c r="F61" s="126">
        <f>IF(VLOOKUP(Resumen!C61,Análisis!B:AN,39,0)=0,"Sin cambios",VLOOKUP(Resumen!C61,Análisis!B:AN,39,0))</f>
        <v/>
      </c>
      <c r="G61" s="126">
        <f>IF(AND(D61="Sin cambios",E61="Sin cambios",F61="Sin cambios")=TRUE,"No","Sí")</f>
        <v/>
      </c>
      <c r="AF61" s="127" t="s">
        <v>137</v>
      </c>
      <c r="AG61" s="129" t="s">
        <v>260</v>
      </c>
      <c r="AH61" s="362">
        <f>VLOOKUP(AF61,Análisis!$B:$AN,4,0)</f>
        <v/>
      </c>
      <c r="AI61" s="363">
        <f>IF(VLOOKUP(AF61,Análisis!$B:$AN,15,0)=0,"Sin cambios",VLOOKUP(AF61,Análisis!$B:$AN,15,0))</f>
        <v/>
      </c>
      <c r="AJ61" s="364">
        <f>VLOOKUP(AF61,Análisis!$B:$AN,5,0)</f>
        <v/>
      </c>
      <c r="AK61" s="363">
        <f>VLOOKUP(AF61,Análisis!$B:$AN,6,0)</f>
        <v/>
      </c>
      <c r="AL61" s="364">
        <f>VLOOKUP(AF61,Análisis!$B:$AN,7,0)</f>
        <v/>
      </c>
      <c r="AM61" s="363">
        <f>VLOOKUP(AF61,Análisis!$B:$AN,8,0)</f>
        <v/>
      </c>
      <c r="AN61" s="365">
        <f>VLOOKUP(AF61,Análisis!$B:$AN,9,0)</f>
        <v/>
      </c>
      <c r="AO61" s="362">
        <f>VLOOKUP(AF61,Análisis!$B:$AN,16,0)</f>
        <v/>
      </c>
      <c r="AP61" s="363">
        <f>IF(VLOOKUP(AF61,Análisis!$B:$AN,27,0)=0,"Sin cambios",VLOOKUP(AF61,Análisis!$B:$AN,27,0))</f>
        <v/>
      </c>
      <c r="AQ61" s="364">
        <f>VLOOKUP(AF61,Análisis!$B:$AN,17,0)</f>
        <v/>
      </c>
      <c r="AR61" s="363">
        <f>VLOOKUP(AF61,Análisis!$B:$AN,18,0)</f>
        <v/>
      </c>
      <c r="AS61" s="364">
        <f>VLOOKUP(AF61,Análisis!$B:$AN,19,0)</f>
        <v/>
      </c>
      <c r="AT61" s="363">
        <f>VLOOKUP(AF61,Análisis!$B:$AN,20,0)</f>
        <v/>
      </c>
      <c r="AU61" s="365">
        <f>VLOOKUP(AF61,Análisis!$B:$AN,21,0)</f>
        <v/>
      </c>
      <c r="AV61" s="362">
        <f>VLOOKUP(AF61,Análisis!$B:$AN,28,0)</f>
        <v/>
      </c>
      <c r="AW61" s="363">
        <f>IF(VLOOKUP(AF61,Análisis!$B:$AN,39,0)=0,"Sin cambios",VLOOKUP(AF61,Análisis!$B:$AN,39,0))</f>
        <v/>
      </c>
      <c r="AX61" s="364">
        <f>VLOOKUP(AF61,Análisis!$B:$AN,29,0)</f>
        <v/>
      </c>
      <c r="AY61" s="363">
        <f>VLOOKUP(AF61,Análisis!$B:$AN,30,0)</f>
        <v/>
      </c>
      <c r="AZ61" s="364">
        <f>VLOOKUP(AF61,Análisis!$B:$AN,31,0)</f>
        <v/>
      </c>
      <c r="BA61" s="363">
        <f>VLOOKUP(AF61,Análisis!$B:$AN,32,0)</f>
        <v/>
      </c>
      <c r="BB61" s="365">
        <f>VLOOKUP(AF61,Análisis!$B:$AN,33,0)</f>
        <v/>
      </c>
    </row>
    <row r="62" spans="1:77">
      <c r="B62" s="72" t="n">
        <v>135</v>
      </c>
      <c r="C62" s="72" t="s">
        <v>256</v>
      </c>
      <c r="D62" s="126">
        <f>IF(VLOOKUP(Resumen!C62,Análisis!B:AN,15,0)=0,"Sin cambios",VLOOKUP(Resumen!C62,Análisis!B:AN,15,0))</f>
        <v/>
      </c>
      <c r="E62" s="126">
        <f>IF(VLOOKUP(Resumen!C62,Análisis!B:AN,27,0)=0,"Sin cambios",VLOOKUP(Resumen!C62,Análisis!B:AN,27,0))</f>
        <v/>
      </c>
      <c r="F62" s="126">
        <f>IF(VLOOKUP(Resumen!C62,Análisis!B:AN,39,0)=0,"Sin cambios",VLOOKUP(Resumen!C62,Análisis!B:AN,39,0))</f>
        <v/>
      </c>
      <c r="G62" s="126">
        <f>IF(AND(D62="Sin cambios",E62="Sin cambios",F62="Sin cambios")=TRUE,"No","Sí")</f>
        <v/>
      </c>
      <c r="AF62" s="127" t="s">
        <v>138</v>
      </c>
      <c r="AG62" s="129" t="s">
        <v>260</v>
      </c>
      <c r="AH62" s="362">
        <f>VLOOKUP(AF62,Análisis!$B:$AN,4,0)</f>
        <v/>
      </c>
      <c r="AI62" s="363">
        <f>IF(VLOOKUP(AF62,Análisis!$B:$AN,15,0)=0,"Sin cambios",VLOOKUP(AF62,Análisis!$B:$AN,15,0))</f>
        <v/>
      </c>
      <c r="AJ62" s="364">
        <f>VLOOKUP(AF62,Análisis!$B:$AN,5,0)</f>
        <v/>
      </c>
      <c r="AK62" s="363">
        <f>VLOOKUP(AF62,Análisis!$B:$AN,6,0)</f>
        <v/>
      </c>
      <c r="AL62" s="364">
        <f>VLOOKUP(AF62,Análisis!$B:$AN,7,0)</f>
        <v/>
      </c>
      <c r="AM62" s="363">
        <f>VLOOKUP(AF62,Análisis!$B:$AN,8,0)</f>
        <v/>
      </c>
      <c r="AN62" s="365">
        <f>VLOOKUP(AF62,Análisis!$B:$AN,9,0)</f>
        <v/>
      </c>
      <c r="AO62" s="362">
        <f>VLOOKUP(AF62,Análisis!$B:$AN,16,0)</f>
        <v/>
      </c>
      <c r="AP62" s="363">
        <f>IF(VLOOKUP(AF62,Análisis!$B:$AN,27,0)=0,"Sin cambios",VLOOKUP(AF62,Análisis!$B:$AN,27,0))</f>
        <v/>
      </c>
      <c r="AQ62" s="364">
        <f>VLOOKUP(AF62,Análisis!$B:$AN,17,0)</f>
        <v/>
      </c>
      <c r="AR62" s="363">
        <f>VLOOKUP(AF62,Análisis!$B:$AN,18,0)</f>
        <v/>
      </c>
      <c r="AS62" s="364">
        <f>VLOOKUP(AF62,Análisis!$B:$AN,19,0)</f>
        <v/>
      </c>
      <c r="AT62" s="363">
        <f>VLOOKUP(AF62,Análisis!$B:$AN,20,0)</f>
        <v/>
      </c>
      <c r="AU62" s="365">
        <f>VLOOKUP(AF62,Análisis!$B:$AN,21,0)</f>
        <v/>
      </c>
      <c r="AV62" s="362">
        <f>VLOOKUP(AF62,Análisis!$B:$AN,28,0)</f>
        <v/>
      </c>
      <c r="AW62" s="363">
        <f>IF(VLOOKUP(AF62,Análisis!$B:$AN,39,0)=0,"Sin cambios",VLOOKUP(AF62,Análisis!$B:$AN,39,0))</f>
        <v/>
      </c>
      <c r="AX62" s="364">
        <f>VLOOKUP(AF62,Análisis!$B:$AN,29,0)</f>
        <v/>
      </c>
      <c r="AY62" s="363">
        <f>VLOOKUP(AF62,Análisis!$B:$AN,30,0)</f>
        <v/>
      </c>
      <c r="AZ62" s="364">
        <f>VLOOKUP(AF62,Análisis!$B:$AN,31,0)</f>
        <v/>
      </c>
      <c r="BA62" s="363">
        <f>VLOOKUP(AF62,Análisis!$B:$AN,32,0)</f>
        <v/>
      </c>
      <c r="BB62" s="365">
        <f>VLOOKUP(AF62,Análisis!$B:$AN,33,0)</f>
        <v/>
      </c>
    </row>
    <row r="63" spans="1:77">
      <c r="B63" s="72" t="n">
        <v>11</v>
      </c>
      <c r="C63" s="72" t="s">
        <v>42</v>
      </c>
      <c r="D63" s="126">
        <f>IF(VLOOKUP(Resumen!C63,Análisis!B:AN,15,0)=0,"Sin cambios",VLOOKUP(Resumen!C63,Análisis!B:AN,15,0))</f>
        <v/>
      </c>
      <c r="E63" s="126">
        <f>IF(VLOOKUP(Resumen!C63,Análisis!B:AN,27,0)=0,"Sin cambios",VLOOKUP(Resumen!C63,Análisis!B:AN,27,0))</f>
        <v/>
      </c>
      <c r="F63" s="126">
        <f>IF(VLOOKUP(Resumen!C63,Análisis!B:AN,39,0)=0,"Sin cambios",VLOOKUP(Resumen!C63,Análisis!B:AN,39,0))</f>
        <v/>
      </c>
      <c r="G63" s="126">
        <f>IF(AND(D63="Sin cambios",E63="Sin cambios",F63="Sin cambios")=TRUE,"No","Sí")</f>
        <v/>
      </c>
      <c r="AF63" s="127" t="s">
        <v>139</v>
      </c>
      <c r="AG63" s="129" t="s">
        <v>260</v>
      </c>
      <c r="AH63" s="362">
        <f>VLOOKUP(AF63,Análisis!$B:$AN,4,0)</f>
        <v/>
      </c>
      <c r="AI63" s="363">
        <f>IF(VLOOKUP(AF63,Análisis!$B:$AN,15,0)=0,"Sin cambios",VLOOKUP(AF63,Análisis!$B:$AN,15,0))</f>
        <v/>
      </c>
      <c r="AJ63" s="364">
        <f>VLOOKUP(AF63,Análisis!$B:$AN,5,0)</f>
        <v/>
      </c>
      <c r="AK63" s="363">
        <f>VLOOKUP(AF63,Análisis!$B:$AN,6,0)</f>
        <v/>
      </c>
      <c r="AL63" s="364">
        <f>VLOOKUP(AF63,Análisis!$B:$AN,7,0)</f>
        <v/>
      </c>
      <c r="AM63" s="363">
        <f>VLOOKUP(AF63,Análisis!$B:$AN,8,0)</f>
        <v/>
      </c>
      <c r="AN63" s="365">
        <f>VLOOKUP(AF63,Análisis!$B:$AN,9,0)</f>
        <v/>
      </c>
      <c r="AO63" s="362">
        <f>VLOOKUP(AF63,Análisis!$B:$AN,16,0)</f>
        <v/>
      </c>
      <c r="AP63" s="363">
        <f>IF(VLOOKUP(AF63,Análisis!$B:$AN,27,0)=0,"Sin cambios",VLOOKUP(AF63,Análisis!$B:$AN,27,0))</f>
        <v/>
      </c>
      <c r="AQ63" s="364">
        <f>VLOOKUP(AF63,Análisis!$B:$AN,17,0)</f>
        <v/>
      </c>
      <c r="AR63" s="363">
        <f>VLOOKUP(AF63,Análisis!$B:$AN,18,0)</f>
        <v/>
      </c>
      <c r="AS63" s="364">
        <f>VLOOKUP(AF63,Análisis!$B:$AN,19,0)</f>
        <v/>
      </c>
      <c r="AT63" s="363">
        <f>VLOOKUP(AF63,Análisis!$B:$AN,20,0)</f>
        <v/>
      </c>
      <c r="AU63" s="365">
        <f>VLOOKUP(AF63,Análisis!$B:$AN,21,0)</f>
        <v/>
      </c>
      <c r="AV63" s="362">
        <f>VLOOKUP(AF63,Análisis!$B:$AN,28,0)</f>
        <v/>
      </c>
      <c r="AW63" s="363">
        <f>IF(VLOOKUP(AF63,Análisis!$B:$AN,39,0)=0,"Sin cambios",VLOOKUP(AF63,Análisis!$B:$AN,39,0))</f>
        <v/>
      </c>
      <c r="AX63" s="364">
        <f>VLOOKUP(AF63,Análisis!$B:$AN,29,0)</f>
        <v/>
      </c>
      <c r="AY63" s="363">
        <f>VLOOKUP(AF63,Análisis!$B:$AN,30,0)</f>
        <v/>
      </c>
      <c r="AZ63" s="364">
        <f>VLOOKUP(AF63,Análisis!$B:$AN,31,0)</f>
        <v/>
      </c>
      <c r="BA63" s="363">
        <f>VLOOKUP(AF63,Análisis!$B:$AN,32,0)</f>
        <v/>
      </c>
      <c r="BB63" s="365">
        <f>VLOOKUP(AF63,Análisis!$B:$AN,33,0)</f>
        <v/>
      </c>
    </row>
    <row r="64" spans="1:77">
      <c r="B64" s="72" t="n">
        <v>393</v>
      </c>
      <c r="C64" s="72" t="s">
        <v>94</v>
      </c>
      <c r="D64" s="126">
        <f>IF(VLOOKUP(Resumen!C64,Análisis!B:AN,15,0)=0,"Sin cambios",VLOOKUP(Resumen!C64,Análisis!B:AN,15,0))</f>
        <v/>
      </c>
      <c r="E64" s="126">
        <f>IF(VLOOKUP(Resumen!C64,Análisis!B:AN,27,0)=0,"Sin cambios",VLOOKUP(Resumen!C64,Análisis!B:AN,27,0))</f>
        <v/>
      </c>
      <c r="F64" s="126">
        <f>IF(VLOOKUP(Resumen!C64,Análisis!B:AN,39,0)=0,"Sin cambios",VLOOKUP(Resumen!C64,Análisis!B:AN,39,0))</f>
        <v/>
      </c>
      <c r="G64" s="126">
        <f>IF(AND(D64="Sin cambios",E64="Sin cambios",F64="Sin cambios")=TRUE,"No","Sí")</f>
        <v/>
      </c>
      <c r="AF64" s="127" t="s">
        <v>140</v>
      </c>
      <c r="AG64" s="129" t="s">
        <v>260</v>
      </c>
      <c r="AH64" s="362">
        <f>VLOOKUP(AF64,Análisis!$B:$AN,4,0)</f>
        <v/>
      </c>
      <c r="AI64" s="363">
        <f>IF(VLOOKUP(AF64,Análisis!$B:$AN,15,0)=0,"Sin cambios",VLOOKUP(AF64,Análisis!$B:$AN,15,0))</f>
        <v/>
      </c>
      <c r="AJ64" s="364">
        <f>VLOOKUP(AF64,Análisis!$B:$AN,5,0)</f>
        <v/>
      </c>
      <c r="AK64" s="363">
        <f>VLOOKUP(AF64,Análisis!$B:$AN,6,0)</f>
        <v/>
      </c>
      <c r="AL64" s="364">
        <f>VLOOKUP(AF64,Análisis!$B:$AN,7,0)</f>
        <v/>
      </c>
      <c r="AM64" s="363">
        <f>VLOOKUP(AF64,Análisis!$B:$AN,8,0)</f>
        <v/>
      </c>
      <c r="AN64" s="365">
        <f>VLOOKUP(AF64,Análisis!$B:$AN,9,0)</f>
        <v/>
      </c>
      <c r="AO64" s="362">
        <f>VLOOKUP(AF64,Análisis!$B:$AN,16,0)</f>
        <v/>
      </c>
      <c r="AP64" s="363">
        <f>IF(VLOOKUP(AF64,Análisis!$B:$AN,27,0)=0,"Sin cambios",VLOOKUP(AF64,Análisis!$B:$AN,27,0))</f>
        <v/>
      </c>
      <c r="AQ64" s="364">
        <f>VLOOKUP(AF64,Análisis!$B:$AN,17,0)</f>
        <v/>
      </c>
      <c r="AR64" s="363">
        <f>VLOOKUP(AF64,Análisis!$B:$AN,18,0)</f>
        <v/>
      </c>
      <c r="AS64" s="364">
        <f>VLOOKUP(AF64,Análisis!$B:$AN,19,0)</f>
        <v/>
      </c>
      <c r="AT64" s="363">
        <f>VLOOKUP(AF64,Análisis!$B:$AN,20,0)</f>
        <v/>
      </c>
      <c r="AU64" s="365">
        <f>VLOOKUP(AF64,Análisis!$B:$AN,21,0)</f>
        <v/>
      </c>
      <c r="AV64" s="362">
        <f>VLOOKUP(AF64,Análisis!$B:$AN,28,0)</f>
        <v/>
      </c>
      <c r="AW64" s="363">
        <f>IF(VLOOKUP(AF64,Análisis!$B:$AN,39,0)=0,"Sin cambios",VLOOKUP(AF64,Análisis!$B:$AN,39,0))</f>
        <v/>
      </c>
      <c r="AX64" s="364">
        <f>VLOOKUP(AF64,Análisis!$B:$AN,29,0)</f>
        <v/>
      </c>
      <c r="AY64" s="363">
        <f>VLOOKUP(AF64,Análisis!$B:$AN,30,0)</f>
        <v/>
      </c>
      <c r="AZ64" s="364">
        <f>VLOOKUP(AF64,Análisis!$B:$AN,31,0)</f>
        <v/>
      </c>
      <c r="BA64" s="363">
        <f>VLOOKUP(AF64,Análisis!$B:$AN,32,0)</f>
        <v/>
      </c>
      <c r="BB64" s="365">
        <f>VLOOKUP(AF64,Análisis!$B:$AN,33,0)</f>
        <v/>
      </c>
    </row>
    <row r="65" spans="1:77">
      <c r="B65" s="72" t="n">
        <v>89</v>
      </c>
      <c r="C65" s="72" t="s">
        <v>84</v>
      </c>
      <c r="D65" s="126">
        <f>IF(VLOOKUP(Resumen!C65,Análisis!B:AN,15,0)=0,"Sin cambios",VLOOKUP(Resumen!C65,Análisis!B:AN,15,0))</f>
        <v/>
      </c>
      <c r="E65" s="126">
        <f>IF(VLOOKUP(Resumen!C65,Análisis!B:AN,27,0)=0,"Sin cambios",VLOOKUP(Resumen!C65,Análisis!B:AN,27,0))</f>
        <v/>
      </c>
      <c r="F65" s="126">
        <f>IF(VLOOKUP(Resumen!C65,Análisis!B:AN,39,0)=0,"Sin cambios",VLOOKUP(Resumen!C65,Análisis!B:AN,39,0))</f>
        <v/>
      </c>
      <c r="G65" s="126">
        <f>IF(AND(D65="Sin cambios",E65="Sin cambios",F65="Sin cambios")=TRUE,"No","Sí")</f>
        <v/>
      </c>
      <c r="AF65" s="127" t="s">
        <v>141</v>
      </c>
      <c r="AG65" s="129" t="s">
        <v>260</v>
      </c>
      <c r="AH65" s="362">
        <f>VLOOKUP(AF65,Análisis!$B:$AN,4,0)</f>
        <v/>
      </c>
      <c r="AI65" s="363">
        <f>IF(VLOOKUP(AF65,Análisis!$B:$AN,15,0)=0,"Sin cambios",VLOOKUP(AF65,Análisis!$B:$AN,15,0))</f>
        <v/>
      </c>
      <c r="AJ65" s="364">
        <f>VLOOKUP(AF65,Análisis!$B:$AN,5,0)</f>
        <v/>
      </c>
      <c r="AK65" s="363">
        <f>VLOOKUP(AF65,Análisis!$B:$AN,6,0)</f>
        <v/>
      </c>
      <c r="AL65" s="364">
        <f>VLOOKUP(AF65,Análisis!$B:$AN,7,0)</f>
        <v/>
      </c>
      <c r="AM65" s="363">
        <f>VLOOKUP(AF65,Análisis!$B:$AN,8,0)</f>
        <v/>
      </c>
      <c r="AN65" s="365">
        <f>VLOOKUP(AF65,Análisis!$B:$AN,9,0)</f>
        <v/>
      </c>
      <c r="AO65" s="362">
        <f>VLOOKUP(AF65,Análisis!$B:$AN,16,0)</f>
        <v/>
      </c>
      <c r="AP65" s="363">
        <f>IF(VLOOKUP(AF65,Análisis!$B:$AN,27,0)=0,"Sin cambios",VLOOKUP(AF65,Análisis!$B:$AN,27,0))</f>
        <v/>
      </c>
      <c r="AQ65" s="364">
        <f>VLOOKUP(AF65,Análisis!$B:$AN,17,0)</f>
        <v/>
      </c>
      <c r="AR65" s="363">
        <f>VLOOKUP(AF65,Análisis!$B:$AN,18,0)</f>
        <v/>
      </c>
      <c r="AS65" s="364">
        <f>VLOOKUP(AF65,Análisis!$B:$AN,19,0)</f>
        <v/>
      </c>
      <c r="AT65" s="363">
        <f>VLOOKUP(AF65,Análisis!$B:$AN,20,0)</f>
        <v/>
      </c>
      <c r="AU65" s="365">
        <f>VLOOKUP(AF65,Análisis!$B:$AN,21,0)</f>
        <v/>
      </c>
      <c r="AV65" s="362">
        <f>VLOOKUP(AF65,Análisis!$B:$AN,28,0)</f>
        <v/>
      </c>
      <c r="AW65" s="363">
        <f>IF(VLOOKUP(AF65,Análisis!$B:$AN,39,0)=0,"Sin cambios",VLOOKUP(AF65,Análisis!$B:$AN,39,0))</f>
        <v/>
      </c>
      <c r="AX65" s="364">
        <f>VLOOKUP(AF65,Análisis!$B:$AN,29,0)</f>
        <v/>
      </c>
      <c r="AY65" s="363">
        <f>VLOOKUP(AF65,Análisis!$B:$AN,30,0)</f>
        <v/>
      </c>
      <c r="AZ65" s="364">
        <f>VLOOKUP(AF65,Análisis!$B:$AN,31,0)</f>
        <v/>
      </c>
      <c r="BA65" s="363">
        <f>VLOOKUP(AF65,Análisis!$B:$AN,32,0)</f>
        <v/>
      </c>
      <c r="BB65" s="365">
        <f>VLOOKUP(AF65,Análisis!$B:$AN,33,0)</f>
        <v/>
      </c>
    </row>
    <row r="66" spans="1:77">
      <c r="B66" s="72" t="n">
        <v>209</v>
      </c>
      <c r="C66" s="72" t="s">
        <v>95</v>
      </c>
      <c r="D66" s="126">
        <f>IF(VLOOKUP(Resumen!C66,Análisis!B:AN,15,0)=0,"Sin cambios",VLOOKUP(Resumen!C66,Análisis!B:AN,15,0))</f>
        <v/>
      </c>
      <c r="E66" s="126">
        <f>IF(VLOOKUP(Resumen!C66,Análisis!B:AN,27,0)=0,"Sin cambios",VLOOKUP(Resumen!C66,Análisis!B:AN,27,0))</f>
        <v/>
      </c>
      <c r="F66" s="126">
        <f>IF(VLOOKUP(Resumen!C66,Análisis!B:AN,39,0)=0,"Sin cambios",VLOOKUP(Resumen!C66,Análisis!B:AN,39,0))</f>
        <v/>
      </c>
      <c r="G66" s="126">
        <f>IF(AND(D66="Sin cambios",E66="Sin cambios",F66="Sin cambios")=TRUE,"No","Sí")</f>
        <v/>
      </c>
      <c r="AF66" s="127" t="s">
        <v>142</v>
      </c>
      <c r="AG66" s="129" t="s">
        <v>260</v>
      </c>
      <c r="AH66" s="362">
        <f>VLOOKUP(AF66,Análisis!$B:$AN,4,0)</f>
        <v/>
      </c>
      <c r="AI66" s="363">
        <f>IF(VLOOKUP(AF66,Análisis!$B:$AN,15,0)=0,"Sin cambios",VLOOKUP(AF66,Análisis!$B:$AN,15,0))</f>
        <v/>
      </c>
      <c r="AJ66" s="364">
        <f>VLOOKUP(AF66,Análisis!$B:$AN,5,0)</f>
        <v/>
      </c>
      <c r="AK66" s="363">
        <f>VLOOKUP(AF66,Análisis!$B:$AN,6,0)</f>
        <v/>
      </c>
      <c r="AL66" s="364">
        <f>VLOOKUP(AF66,Análisis!$B:$AN,7,0)</f>
        <v/>
      </c>
      <c r="AM66" s="363">
        <f>VLOOKUP(AF66,Análisis!$B:$AN,8,0)</f>
        <v/>
      </c>
      <c r="AN66" s="365">
        <f>VLOOKUP(AF66,Análisis!$B:$AN,9,0)</f>
        <v/>
      </c>
      <c r="AO66" s="362">
        <f>VLOOKUP(AF66,Análisis!$B:$AN,16,0)</f>
        <v/>
      </c>
      <c r="AP66" s="363">
        <f>IF(VLOOKUP(AF66,Análisis!$B:$AN,27,0)=0,"Sin cambios",VLOOKUP(AF66,Análisis!$B:$AN,27,0))</f>
        <v/>
      </c>
      <c r="AQ66" s="364">
        <f>VLOOKUP(AF66,Análisis!$B:$AN,17,0)</f>
        <v/>
      </c>
      <c r="AR66" s="363">
        <f>VLOOKUP(AF66,Análisis!$B:$AN,18,0)</f>
        <v/>
      </c>
      <c r="AS66" s="364">
        <f>VLOOKUP(AF66,Análisis!$B:$AN,19,0)</f>
        <v/>
      </c>
      <c r="AT66" s="363">
        <f>VLOOKUP(AF66,Análisis!$B:$AN,20,0)</f>
        <v/>
      </c>
      <c r="AU66" s="365">
        <f>VLOOKUP(AF66,Análisis!$B:$AN,21,0)</f>
        <v/>
      </c>
      <c r="AV66" s="362">
        <f>VLOOKUP(AF66,Análisis!$B:$AN,28,0)</f>
        <v/>
      </c>
      <c r="AW66" s="363">
        <f>IF(VLOOKUP(AF66,Análisis!$B:$AN,39,0)=0,"Sin cambios",VLOOKUP(AF66,Análisis!$B:$AN,39,0))</f>
        <v/>
      </c>
      <c r="AX66" s="364">
        <f>VLOOKUP(AF66,Análisis!$B:$AN,29,0)</f>
        <v/>
      </c>
      <c r="AY66" s="363">
        <f>VLOOKUP(AF66,Análisis!$B:$AN,30,0)</f>
        <v/>
      </c>
      <c r="AZ66" s="364">
        <f>VLOOKUP(AF66,Análisis!$B:$AN,31,0)</f>
        <v/>
      </c>
      <c r="BA66" s="363">
        <f>VLOOKUP(AF66,Análisis!$B:$AN,32,0)</f>
        <v/>
      </c>
      <c r="BB66" s="365">
        <f>VLOOKUP(AF66,Análisis!$B:$AN,33,0)</f>
        <v/>
      </c>
    </row>
    <row r="67" spans="1:77">
      <c r="B67" s="72" t="n">
        <v>295</v>
      </c>
      <c r="C67" s="72" t="s">
        <v>50</v>
      </c>
      <c r="D67" s="126">
        <f>IF(VLOOKUP(Resumen!C67,Análisis!B:AN,15,0)=0,"Sin cambios",VLOOKUP(Resumen!C67,Análisis!B:AN,15,0))</f>
        <v/>
      </c>
      <c r="E67" s="126">
        <f>IF(VLOOKUP(Resumen!C67,Análisis!B:AN,27,0)=0,"Sin cambios",VLOOKUP(Resumen!C67,Análisis!B:AN,27,0))</f>
        <v/>
      </c>
      <c r="F67" s="126">
        <f>IF(VLOOKUP(Resumen!C67,Análisis!B:AN,39,0)=0,"Sin cambios",VLOOKUP(Resumen!C67,Análisis!B:AN,39,0))</f>
        <v/>
      </c>
      <c r="G67" s="126">
        <f>IF(AND(D67="Sin cambios",E67="Sin cambios",F67="Sin cambios")=TRUE,"No","Sí")</f>
        <v/>
      </c>
      <c r="AF67" s="127" t="s">
        <v>143</v>
      </c>
      <c r="AG67" s="129" t="s">
        <v>260</v>
      </c>
      <c r="AH67" s="362">
        <f>VLOOKUP(AF67,Análisis!$B:$AN,4,0)</f>
        <v/>
      </c>
      <c r="AI67" s="363">
        <f>IF(VLOOKUP(AF67,Análisis!$B:$AN,15,0)=0,"Sin cambios",VLOOKUP(AF67,Análisis!$B:$AN,15,0))</f>
        <v/>
      </c>
      <c r="AJ67" s="364">
        <f>VLOOKUP(AF67,Análisis!$B:$AN,5,0)</f>
        <v/>
      </c>
      <c r="AK67" s="363">
        <f>VLOOKUP(AF67,Análisis!$B:$AN,6,0)</f>
        <v/>
      </c>
      <c r="AL67" s="364">
        <f>VLOOKUP(AF67,Análisis!$B:$AN,7,0)</f>
        <v/>
      </c>
      <c r="AM67" s="363">
        <f>VLOOKUP(AF67,Análisis!$B:$AN,8,0)</f>
        <v/>
      </c>
      <c r="AN67" s="365">
        <f>VLOOKUP(AF67,Análisis!$B:$AN,9,0)</f>
        <v/>
      </c>
      <c r="AO67" s="362">
        <f>VLOOKUP(AF67,Análisis!$B:$AN,16,0)</f>
        <v/>
      </c>
      <c r="AP67" s="363">
        <f>IF(VLOOKUP(AF67,Análisis!$B:$AN,27,0)=0,"Sin cambios",VLOOKUP(AF67,Análisis!$B:$AN,27,0))</f>
        <v/>
      </c>
      <c r="AQ67" s="364">
        <f>VLOOKUP(AF67,Análisis!$B:$AN,17,0)</f>
        <v/>
      </c>
      <c r="AR67" s="363">
        <f>VLOOKUP(AF67,Análisis!$B:$AN,18,0)</f>
        <v/>
      </c>
      <c r="AS67" s="364">
        <f>VLOOKUP(AF67,Análisis!$B:$AN,19,0)</f>
        <v/>
      </c>
      <c r="AT67" s="363">
        <f>VLOOKUP(AF67,Análisis!$B:$AN,20,0)</f>
        <v/>
      </c>
      <c r="AU67" s="365">
        <f>VLOOKUP(AF67,Análisis!$B:$AN,21,0)</f>
        <v/>
      </c>
      <c r="AV67" s="362">
        <f>VLOOKUP(AF67,Análisis!$B:$AN,28,0)</f>
        <v/>
      </c>
      <c r="AW67" s="363">
        <f>IF(VLOOKUP(AF67,Análisis!$B:$AN,39,0)=0,"Sin cambios",VLOOKUP(AF67,Análisis!$B:$AN,39,0))</f>
        <v/>
      </c>
      <c r="AX67" s="364">
        <f>VLOOKUP(AF67,Análisis!$B:$AN,29,0)</f>
        <v/>
      </c>
      <c r="AY67" s="363">
        <f>VLOOKUP(AF67,Análisis!$B:$AN,30,0)</f>
        <v/>
      </c>
      <c r="AZ67" s="364">
        <f>VLOOKUP(AF67,Análisis!$B:$AN,31,0)</f>
        <v/>
      </c>
      <c r="BA67" s="363">
        <f>VLOOKUP(AF67,Análisis!$B:$AN,32,0)</f>
        <v/>
      </c>
      <c r="BB67" s="365">
        <f>VLOOKUP(AF67,Análisis!$B:$AN,33,0)</f>
        <v/>
      </c>
    </row>
    <row r="68" spans="1:77">
      <c r="B68" s="72" t="n">
        <v>126</v>
      </c>
      <c r="C68" s="72" t="s">
        <v>100</v>
      </c>
      <c r="D68" s="126">
        <f>IF(VLOOKUP(Resumen!C68,Análisis!B:AN,15,0)=0,"Sin cambios",VLOOKUP(Resumen!C68,Análisis!B:AN,15,0))</f>
        <v/>
      </c>
      <c r="E68" s="126">
        <f>IF(VLOOKUP(Resumen!C68,Análisis!B:AN,27,0)=0,"Sin cambios",VLOOKUP(Resumen!C68,Análisis!B:AN,27,0))</f>
        <v/>
      </c>
      <c r="F68" s="126">
        <f>IF(VLOOKUP(Resumen!C68,Análisis!B:AN,39,0)=0,"Sin cambios",VLOOKUP(Resumen!C68,Análisis!B:AN,39,0))</f>
        <v/>
      </c>
      <c r="G68" s="126">
        <f>IF(AND(D68="Sin cambios",E68="Sin cambios",F68="Sin cambios")=TRUE,"No","Sí")</f>
        <v/>
      </c>
      <c r="AF68" s="127" t="s">
        <v>144</v>
      </c>
      <c r="AG68" s="129" t="s">
        <v>260</v>
      </c>
      <c r="AH68" s="362">
        <f>VLOOKUP(AF68,Análisis!$B:$AN,4,0)</f>
        <v/>
      </c>
      <c r="AI68" s="363">
        <f>IF(VLOOKUP(AF68,Análisis!$B:$AN,15,0)=0,"Sin cambios",VLOOKUP(AF68,Análisis!$B:$AN,15,0))</f>
        <v/>
      </c>
      <c r="AJ68" s="364">
        <f>VLOOKUP(AF68,Análisis!$B:$AN,5,0)</f>
        <v/>
      </c>
      <c r="AK68" s="363">
        <f>VLOOKUP(AF68,Análisis!$B:$AN,6,0)</f>
        <v/>
      </c>
      <c r="AL68" s="364">
        <f>VLOOKUP(AF68,Análisis!$B:$AN,7,0)</f>
        <v/>
      </c>
      <c r="AM68" s="363">
        <f>VLOOKUP(AF68,Análisis!$B:$AN,8,0)</f>
        <v/>
      </c>
      <c r="AN68" s="365">
        <f>VLOOKUP(AF68,Análisis!$B:$AN,9,0)</f>
        <v/>
      </c>
      <c r="AO68" s="362">
        <f>VLOOKUP(AF68,Análisis!$B:$AN,16,0)</f>
        <v/>
      </c>
      <c r="AP68" s="363">
        <f>IF(VLOOKUP(AF68,Análisis!$B:$AN,27,0)=0,"Sin cambios",VLOOKUP(AF68,Análisis!$B:$AN,27,0))</f>
        <v/>
      </c>
      <c r="AQ68" s="364">
        <f>VLOOKUP(AF68,Análisis!$B:$AN,17,0)</f>
        <v/>
      </c>
      <c r="AR68" s="363">
        <f>VLOOKUP(AF68,Análisis!$B:$AN,18,0)</f>
        <v/>
      </c>
      <c r="AS68" s="364">
        <f>VLOOKUP(AF68,Análisis!$B:$AN,19,0)</f>
        <v/>
      </c>
      <c r="AT68" s="363">
        <f>VLOOKUP(AF68,Análisis!$B:$AN,20,0)</f>
        <v/>
      </c>
      <c r="AU68" s="365">
        <f>VLOOKUP(AF68,Análisis!$B:$AN,21,0)</f>
        <v/>
      </c>
      <c r="AV68" s="362">
        <f>VLOOKUP(AF68,Análisis!$B:$AN,28,0)</f>
        <v/>
      </c>
      <c r="AW68" s="363">
        <f>IF(VLOOKUP(AF68,Análisis!$B:$AN,39,0)=0,"Sin cambios",VLOOKUP(AF68,Análisis!$B:$AN,39,0))</f>
        <v/>
      </c>
      <c r="AX68" s="364">
        <f>VLOOKUP(AF68,Análisis!$B:$AN,29,0)</f>
        <v/>
      </c>
      <c r="AY68" s="363">
        <f>VLOOKUP(AF68,Análisis!$B:$AN,30,0)</f>
        <v/>
      </c>
      <c r="AZ68" s="364">
        <f>VLOOKUP(AF68,Análisis!$B:$AN,31,0)</f>
        <v/>
      </c>
      <c r="BA68" s="363">
        <f>VLOOKUP(AF68,Análisis!$B:$AN,32,0)</f>
        <v/>
      </c>
      <c r="BB68" s="365">
        <f>VLOOKUP(AF68,Análisis!$B:$AN,33,0)</f>
        <v/>
      </c>
    </row>
    <row r="69" spans="1:77">
      <c r="B69" s="72" t="n">
        <v>6</v>
      </c>
      <c r="C69" s="72" t="s">
        <v>74</v>
      </c>
      <c r="D69" s="126">
        <f>IF(VLOOKUP(Resumen!C69,Análisis!B:AN,15,0)=0,"Sin cambios",VLOOKUP(Resumen!C69,Análisis!B:AN,15,0))</f>
        <v/>
      </c>
      <c r="E69" s="126">
        <f>IF(VLOOKUP(Resumen!C69,Análisis!B:AN,27,0)=0,"Sin cambios",VLOOKUP(Resumen!C69,Análisis!B:AN,27,0))</f>
        <v/>
      </c>
      <c r="F69" s="126">
        <f>IF(VLOOKUP(Resumen!C69,Análisis!B:AN,39,0)=0,"Sin cambios",VLOOKUP(Resumen!C69,Análisis!B:AN,39,0))</f>
        <v/>
      </c>
      <c r="G69" s="126">
        <f>IF(AND(D69="Sin cambios",E69="Sin cambios",F69="Sin cambios")=TRUE,"No","Sí")</f>
        <v/>
      </c>
      <c r="AF69" s="127" t="s">
        <v>145</v>
      </c>
      <c r="AG69" s="129" t="s">
        <v>260</v>
      </c>
      <c r="AH69" s="362">
        <f>VLOOKUP(AF69,Análisis!$B:$AN,4,0)</f>
        <v/>
      </c>
      <c r="AI69" s="363">
        <f>IF(VLOOKUP(AF69,Análisis!$B:$AN,15,0)=0,"Sin cambios",VLOOKUP(AF69,Análisis!$B:$AN,15,0))</f>
        <v/>
      </c>
      <c r="AJ69" s="364">
        <f>VLOOKUP(AF69,Análisis!$B:$AN,5,0)</f>
        <v/>
      </c>
      <c r="AK69" s="363">
        <f>VLOOKUP(AF69,Análisis!$B:$AN,6,0)</f>
        <v/>
      </c>
      <c r="AL69" s="364">
        <f>VLOOKUP(AF69,Análisis!$B:$AN,7,0)</f>
        <v/>
      </c>
      <c r="AM69" s="363">
        <f>VLOOKUP(AF69,Análisis!$B:$AN,8,0)</f>
        <v/>
      </c>
      <c r="AN69" s="365">
        <f>VLOOKUP(AF69,Análisis!$B:$AN,9,0)</f>
        <v/>
      </c>
      <c r="AO69" s="362">
        <f>VLOOKUP(AF69,Análisis!$B:$AN,16,0)</f>
        <v/>
      </c>
      <c r="AP69" s="363">
        <f>IF(VLOOKUP(AF69,Análisis!$B:$AN,27,0)=0,"Sin cambios",VLOOKUP(AF69,Análisis!$B:$AN,27,0))</f>
        <v/>
      </c>
      <c r="AQ69" s="364">
        <f>VLOOKUP(AF69,Análisis!$B:$AN,17,0)</f>
        <v/>
      </c>
      <c r="AR69" s="363">
        <f>VLOOKUP(AF69,Análisis!$B:$AN,18,0)</f>
        <v/>
      </c>
      <c r="AS69" s="364">
        <f>VLOOKUP(AF69,Análisis!$B:$AN,19,0)</f>
        <v/>
      </c>
      <c r="AT69" s="363">
        <f>VLOOKUP(AF69,Análisis!$B:$AN,20,0)</f>
        <v/>
      </c>
      <c r="AU69" s="365">
        <f>VLOOKUP(AF69,Análisis!$B:$AN,21,0)</f>
        <v/>
      </c>
      <c r="AV69" s="362">
        <f>VLOOKUP(AF69,Análisis!$B:$AN,28,0)</f>
        <v/>
      </c>
      <c r="AW69" s="363">
        <f>IF(VLOOKUP(AF69,Análisis!$B:$AN,39,0)=0,"Sin cambios",VLOOKUP(AF69,Análisis!$B:$AN,39,0))</f>
        <v/>
      </c>
      <c r="AX69" s="364">
        <f>VLOOKUP(AF69,Análisis!$B:$AN,29,0)</f>
        <v/>
      </c>
      <c r="AY69" s="363">
        <f>VLOOKUP(AF69,Análisis!$B:$AN,30,0)</f>
        <v/>
      </c>
      <c r="AZ69" s="364">
        <f>VLOOKUP(AF69,Análisis!$B:$AN,31,0)</f>
        <v/>
      </c>
      <c r="BA69" s="363">
        <f>VLOOKUP(AF69,Análisis!$B:$AN,32,0)</f>
        <v/>
      </c>
      <c r="BB69" s="365">
        <f>VLOOKUP(AF69,Análisis!$B:$AN,33,0)</f>
        <v/>
      </c>
    </row>
    <row r="70" spans="1:77">
      <c r="B70" s="72" t="n">
        <v>83</v>
      </c>
      <c r="C70" s="72" t="s">
        <v>82</v>
      </c>
      <c r="D70" s="126">
        <f>IF(VLOOKUP(Resumen!C70,Análisis!B:AN,15,0)=0,"Sin cambios",VLOOKUP(Resumen!C70,Análisis!B:AN,15,0))</f>
        <v/>
      </c>
      <c r="E70" s="126">
        <f>IF(VLOOKUP(Resumen!C70,Análisis!B:AN,27,0)=0,"Sin cambios",VLOOKUP(Resumen!C70,Análisis!B:AN,27,0))</f>
        <v/>
      </c>
      <c r="F70" s="126">
        <f>IF(VLOOKUP(Resumen!C70,Análisis!B:AN,39,0)=0,"Sin cambios",VLOOKUP(Resumen!C70,Análisis!B:AN,39,0))</f>
        <v/>
      </c>
      <c r="G70" s="126">
        <f>IF(AND(D70="Sin cambios",E70="Sin cambios",F70="Sin cambios")=TRUE,"No","Sí")</f>
        <v/>
      </c>
      <c r="AF70" s="127" t="s">
        <v>146</v>
      </c>
      <c r="AG70" s="129" t="s">
        <v>258</v>
      </c>
      <c r="AH70" s="362">
        <f>VLOOKUP(AF70,Análisis!$B:$AN,4,0)</f>
        <v/>
      </c>
      <c r="AI70" s="363">
        <f>IF(VLOOKUP(AF70,Análisis!$B:$AN,15,0)=0,"Sin cambios",VLOOKUP(AF70,Análisis!$B:$AN,15,0))</f>
        <v/>
      </c>
      <c r="AJ70" s="364">
        <f>VLOOKUP(AF70,Análisis!$B:$AN,5,0)</f>
        <v/>
      </c>
      <c r="AK70" s="363">
        <f>VLOOKUP(AF70,Análisis!$B:$AN,6,0)</f>
        <v/>
      </c>
      <c r="AL70" s="364">
        <f>VLOOKUP(AF70,Análisis!$B:$AN,7,0)</f>
        <v/>
      </c>
      <c r="AM70" s="363">
        <f>VLOOKUP(AF70,Análisis!$B:$AN,8,0)</f>
        <v/>
      </c>
      <c r="AN70" s="365">
        <f>VLOOKUP(AF70,Análisis!$B:$AN,9,0)</f>
        <v/>
      </c>
      <c r="AO70" s="362">
        <f>VLOOKUP(AF70,Análisis!$B:$AN,16,0)</f>
        <v/>
      </c>
      <c r="AP70" s="363">
        <f>IF(VLOOKUP(AF70,Análisis!$B:$AN,27,0)=0,"Sin cambios",VLOOKUP(AF70,Análisis!$B:$AN,27,0))</f>
        <v/>
      </c>
      <c r="AQ70" s="364">
        <f>VLOOKUP(AF70,Análisis!$B:$AN,17,0)</f>
        <v/>
      </c>
      <c r="AR70" s="363">
        <f>VLOOKUP(AF70,Análisis!$B:$AN,18,0)</f>
        <v/>
      </c>
      <c r="AS70" s="364">
        <f>VLOOKUP(AF70,Análisis!$B:$AN,19,0)</f>
        <v/>
      </c>
      <c r="AT70" s="363">
        <f>VLOOKUP(AF70,Análisis!$B:$AN,20,0)</f>
        <v/>
      </c>
      <c r="AU70" s="365">
        <f>VLOOKUP(AF70,Análisis!$B:$AN,21,0)</f>
        <v/>
      </c>
      <c r="AV70" s="362">
        <f>VLOOKUP(AF70,Análisis!$B:$AN,28,0)</f>
        <v/>
      </c>
      <c r="AW70" s="363">
        <f>IF(VLOOKUP(AF70,Análisis!$B:$AN,39,0)=0,"Sin cambios",VLOOKUP(AF70,Análisis!$B:$AN,39,0))</f>
        <v/>
      </c>
      <c r="AX70" s="364">
        <f>VLOOKUP(AF70,Análisis!$B:$AN,29,0)</f>
        <v/>
      </c>
      <c r="AY70" s="363">
        <f>VLOOKUP(AF70,Análisis!$B:$AN,30,0)</f>
        <v/>
      </c>
      <c r="AZ70" s="364">
        <f>VLOOKUP(AF70,Análisis!$B:$AN,31,0)</f>
        <v/>
      </c>
      <c r="BA70" s="363">
        <f>VLOOKUP(AF70,Análisis!$B:$AN,32,0)</f>
        <v/>
      </c>
      <c r="BB70" s="365">
        <f>VLOOKUP(AF70,Análisis!$B:$AN,33,0)</f>
        <v/>
      </c>
    </row>
    <row r="71" spans="1:77">
      <c r="B71" s="72" t="n">
        <v>310</v>
      </c>
      <c r="C71" s="72" t="s">
        <v>72</v>
      </c>
      <c r="D71" s="126">
        <f>IF(VLOOKUP(Resumen!C71,Análisis!B:AN,15,0)=0,"Sin cambios",VLOOKUP(Resumen!C71,Análisis!B:AN,15,0))</f>
        <v/>
      </c>
      <c r="E71" s="126">
        <f>IF(VLOOKUP(Resumen!C71,Análisis!B:AN,27,0)=0,"Sin cambios",VLOOKUP(Resumen!C71,Análisis!B:AN,27,0))</f>
        <v/>
      </c>
      <c r="F71" s="126">
        <f>IF(VLOOKUP(Resumen!C71,Análisis!B:AN,39,0)=0,"Sin cambios",VLOOKUP(Resumen!C71,Análisis!B:AN,39,0))</f>
        <v/>
      </c>
      <c r="G71" s="126">
        <f>IF(AND(D71="Sin cambios",E71="Sin cambios",F71="Sin cambios")=TRUE,"No","Sí")</f>
        <v/>
      </c>
      <c r="AF71" s="127" t="s">
        <v>147</v>
      </c>
      <c r="AG71" s="129" t="s">
        <v>260</v>
      </c>
      <c r="AH71" s="362">
        <f>VLOOKUP(AF71,Análisis!$B:$AN,4,0)</f>
        <v/>
      </c>
      <c r="AI71" s="363">
        <f>IF(VLOOKUP(AF71,Análisis!$B:$AN,15,0)=0,"Sin cambios",VLOOKUP(AF71,Análisis!$B:$AN,15,0))</f>
        <v/>
      </c>
      <c r="AJ71" s="364">
        <f>VLOOKUP(AF71,Análisis!$B:$AN,5,0)</f>
        <v/>
      </c>
      <c r="AK71" s="363">
        <f>VLOOKUP(AF71,Análisis!$B:$AN,6,0)</f>
        <v/>
      </c>
      <c r="AL71" s="364">
        <f>VLOOKUP(AF71,Análisis!$B:$AN,7,0)</f>
        <v/>
      </c>
      <c r="AM71" s="363">
        <f>VLOOKUP(AF71,Análisis!$B:$AN,8,0)</f>
        <v/>
      </c>
      <c r="AN71" s="365">
        <f>VLOOKUP(AF71,Análisis!$B:$AN,9,0)</f>
        <v/>
      </c>
      <c r="AO71" s="362">
        <f>VLOOKUP(AF71,Análisis!$B:$AN,16,0)</f>
        <v/>
      </c>
      <c r="AP71" s="363">
        <f>IF(VLOOKUP(AF71,Análisis!$B:$AN,27,0)=0,"Sin cambios",VLOOKUP(AF71,Análisis!$B:$AN,27,0))</f>
        <v/>
      </c>
      <c r="AQ71" s="364">
        <f>VLOOKUP(AF71,Análisis!$B:$AN,17,0)</f>
        <v/>
      </c>
      <c r="AR71" s="363">
        <f>VLOOKUP(AF71,Análisis!$B:$AN,18,0)</f>
        <v/>
      </c>
      <c r="AS71" s="364">
        <f>VLOOKUP(AF71,Análisis!$B:$AN,19,0)</f>
        <v/>
      </c>
      <c r="AT71" s="363">
        <f>VLOOKUP(AF71,Análisis!$B:$AN,20,0)</f>
        <v/>
      </c>
      <c r="AU71" s="365">
        <f>VLOOKUP(AF71,Análisis!$B:$AN,21,0)</f>
        <v/>
      </c>
      <c r="AV71" s="362">
        <f>VLOOKUP(AF71,Análisis!$B:$AN,28,0)</f>
        <v/>
      </c>
      <c r="AW71" s="363">
        <f>IF(VLOOKUP(AF71,Análisis!$B:$AN,39,0)=0,"Sin cambios",VLOOKUP(AF71,Análisis!$B:$AN,39,0))</f>
        <v/>
      </c>
      <c r="AX71" s="364">
        <f>VLOOKUP(AF71,Análisis!$B:$AN,29,0)</f>
        <v/>
      </c>
      <c r="AY71" s="363">
        <f>VLOOKUP(AF71,Análisis!$B:$AN,30,0)</f>
        <v/>
      </c>
      <c r="AZ71" s="364">
        <f>VLOOKUP(AF71,Análisis!$B:$AN,31,0)</f>
        <v/>
      </c>
      <c r="BA71" s="363">
        <f>VLOOKUP(AF71,Análisis!$B:$AN,32,0)</f>
        <v/>
      </c>
      <c r="BB71" s="365">
        <f>VLOOKUP(AF71,Análisis!$B:$AN,33,0)</f>
        <v/>
      </c>
    </row>
    <row r="72" spans="1:77">
      <c r="B72" s="72" t="n">
        <v>173</v>
      </c>
      <c r="C72" s="72" t="s">
        <v>91</v>
      </c>
      <c r="D72" s="126">
        <f>IF(VLOOKUP(Resumen!C72,Análisis!B:AN,15,0)=0,"Sin cambios",VLOOKUP(Resumen!C72,Análisis!B:AN,15,0))</f>
        <v/>
      </c>
      <c r="E72" s="126">
        <f>IF(VLOOKUP(Resumen!C72,Análisis!B:AN,27,0)=0,"Sin cambios",VLOOKUP(Resumen!C72,Análisis!B:AN,27,0))</f>
        <v/>
      </c>
      <c r="F72" s="126">
        <f>IF(VLOOKUP(Resumen!C72,Análisis!B:AN,39,0)=0,"Sin cambios",VLOOKUP(Resumen!C72,Análisis!B:AN,39,0))</f>
        <v/>
      </c>
      <c r="G72" s="126">
        <f>IF(AND(D72="Sin cambios",E72="Sin cambios",F72="Sin cambios")=TRUE,"No","Sí")</f>
        <v/>
      </c>
      <c r="AF72" s="127" t="s">
        <v>224</v>
      </c>
      <c r="AG72" s="129" t="s">
        <v>219</v>
      </c>
      <c r="AH72" s="362">
        <f>VLOOKUP(AF72,Análisis!$B:$AN,4,0)</f>
        <v/>
      </c>
      <c r="AI72" s="363">
        <f>IF(VLOOKUP(AF72,Análisis!$B:$AN,15,0)=0,"Sin cambios",VLOOKUP(AF72,Análisis!$B:$AN,15,0))</f>
        <v/>
      </c>
      <c r="AJ72" s="364">
        <f>VLOOKUP(AF72,Análisis!$B:$AN,5,0)</f>
        <v/>
      </c>
      <c r="AK72" s="363">
        <f>VLOOKUP(AF72,Análisis!$B:$AN,6,0)</f>
        <v/>
      </c>
      <c r="AL72" s="364">
        <f>VLOOKUP(AF72,Análisis!$B:$AN,7,0)</f>
        <v/>
      </c>
      <c r="AM72" s="363">
        <f>VLOOKUP(AF72,Análisis!$B:$AN,8,0)</f>
        <v/>
      </c>
      <c r="AN72" s="365">
        <f>VLOOKUP(AF72,Análisis!$B:$AN,9,0)</f>
        <v/>
      </c>
      <c r="AO72" s="362">
        <f>VLOOKUP(AF72,Análisis!$B:$AN,16,0)</f>
        <v/>
      </c>
      <c r="AP72" s="363">
        <f>IF(VLOOKUP(AF72,Análisis!$B:$AN,27,0)=0,"Sin cambios",VLOOKUP(AF72,Análisis!$B:$AN,27,0))</f>
        <v/>
      </c>
      <c r="AQ72" s="364">
        <f>VLOOKUP(AF72,Análisis!$B:$AN,17,0)</f>
        <v/>
      </c>
      <c r="AR72" s="363">
        <f>VLOOKUP(AF72,Análisis!$B:$AN,18,0)</f>
        <v/>
      </c>
      <c r="AS72" s="364">
        <f>VLOOKUP(AF72,Análisis!$B:$AN,19,0)</f>
        <v/>
      </c>
      <c r="AT72" s="363">
        <f>VLOOKUP(AF72,Análisis!$B:$AN,20,0)</f>
        <v/>
      </c>
      <c r="AU72" s="365">
        <f>VLOOKUP(AF72,Análisis!$B:$AN,21,0)</f>
        <v/>
      </c>
      <c r="AV72" s="362">
        <f>VLOOKUP(AF72,Análisis!$B:$AN,28,0)</f>
        <v/>
      </c>
      <c r="AW72" s="363">
        <f>IF(VLOOKUP(AF72,Análisis!$B:$AN,39,0)=0,"Sin cambios",VLOOKUP(AF72,Análisis!$B:$AN,39,0))</f>
        <v/>
      </c>
      <c r="AX72" s="364">
        <f>VLOOKUP(AF72,Análisis!$B:$AN,29,0)</f>
        <v/>
      </c>
      <c r="AY72" s="363">
        <f>VLOOKUP(AF72,Análisis!$B:$AN,30,0)</f>
        <v/>
      </c>
      <c r="AZ72" s="364">
        <f>VLOOKUP(AF72,Análisis!$B:$AN,31,0)</f>
        <v/>
      </c>
      <c r="BA72" s="363">
        <f>VLOOKUP(AF72,Análisis!$B:$AN,32,0)</f>
        <v/>
      </c>
      <c r="BB72" s="365">
        <f>VLOOKUP(AF72,Análisis!$B:$AN,33,0)</f>
        <v/>
      </c>
    </row>
    <row r="73" spans="1:77">
      <c r="B73" s="72" t="n">
        <v>249</v>
      </c>
      <c r="C73" s="72" t="s">
        <v>64</v>
      </c>
      <c r="D73" s="126">
        <f>IF(VLOOKUP(Resumen!C73,Análisis!B:AN,15,0)=0,"Sin cambios",VLOOKUP(Resumen!C73,Análisis!B:AN,15,0))</f>
        <v/>
      </c>
      <c r="E73" s="126">
        <f>IF(VLOOKUP(Resumen!C73,Análisis!B:AN,27,0)=0,"Sin cambios",VLOOKUP(Resumen!C73,Análisis!B:AN,27,0))</f>
        <v/>
      </c>
      <c r="F73" s="126">
        <f>IF(VLOOKUP(Resumen!C73,Análisis!B:AN,39,0)=0,"Sin cambios",VLOOKUP(Resumen!C73,Análisis!B:AN,39,0))</f>
        <v/>
      </c>
      <c r="G73" s="126">
        <f>IF(AND(D73="Sin cambios",E73="Sin cambios",F73="Sin cambios")=TRUE,"No","Sí")</f>
        <v/>
      </c>
      <c r="AF73" s="127" t="s">
        <v>231</v>
      </c>
      <c r="AG73" s="129" t="s">
        <v>227</v>
      </c>
      <c r="AH73" s="362">
        <f>VLOOKUP(AF73,Análisis!$B:$AN,4,0)</f>
        <v/>
      </c>
      <c r="AI73" s="363">
        <f>IF(VLOOKUP(AF73,Análisis!$B:$AN,15,0)=0,"Sin cambios",VLOOKUP(AF73,Análisis!$B:$AN,15,0))</f>
        <v/>
      </c>
      <c r="AJ73" s="364">
        <f>VLOOKUP(AF73,Análisis!$B:$AN,5,0)</f>
        <v/>
      </c>
      <c r="AK73" s="363">
        <f>VLOOKUP(AF73,Análisis!$B:$AN,6,0)</f>
        <v/>
      </c>
      <c r="AL73" s="364">
        <f>VLOOKUP(AF73,Análisis!$B:$AN,7,0)</f>
        <v/>
      </c>
      <c r="AM73" s="363">
        <f>VLOOKUP(AF73,Análisis!$B:$AN,8,0)</f>
        <v/>
      </c>
      <c r="AN73" s="365">
        <f>VLOOKUP(AF73,Análisis!$B:$AN,9,0)</f>
        <v/>
      </c>
      <c r="AO73" s="362">
        <f>VLOOKUP(AF73,Análisis!$B:$AN,16,0)</f>
        <v/>
      </c>
      <c r="AP73" s="363">
        <f>IF(VLOOKUP(AF73,Análisis!$B:$AN,27,0)=0,"Sin cambios",VLOOKUP(AF73,Análisis!$B:$AN,27,0))</f>
        <v/>
      </c>
      <c r="AQ73" s="364">
        <f>VLOOKUP(AF73,Análisis!$B:$AN,17,0)</f>
        <v/>
      </c>
      <c r="AR73" s="363">
        <f>VLOOKUP(AF73,Análisis!$B:$AN,18,0)</f>
        <v/>
      </c>
      <c r="AS73" s="364">
        <f>VLOOKUP(AF73,Análisis!$B:$AN,19,0)</f>
        <v/>
      </c>
      <c r="AT73" s="363">
        <f>VLOOKUP(AF73,Análisis!$B:$AN,20,0)</f>
        <v/>
      </c>
      <c r="AU73" s="365">
        <f>VLOOKUP(AF73,Análisis!$B:$AN,21,0)</f>
        <v/>
      </c>
      <c r="AV73" s="362">
        <f>VLOOKUP(AF73,Análisis!$B:$AN,28,0)</f>
        <v/>
      </c>
      <c r="AW73" s="363">
        <f>IF(VLOOKUP(AF73,Análisis!$B:$AN,39,0)=0,"Sin cambios",VLOOKUP(AF73,Análisis!$B:$AN,39,0))</f>
        <v/>
      </c>
      <c r="AX73" s="364">
        <f>VLOOKUP(AF73,Análisis!$B:$AN,29,0)</f>
        <v/>
      </c>
      <c r="AY73" s="363">
        <f>VLOOKUP(AF73,Análisis!$B:$AN,30,0)</f>
        <v/>
      </c>
      <c r="AZ73" s="364">
        <f>VLOOKUP(AF73,Análisis!$B:$AN,31,0)</f>
        <v/>
      </c>
      <c r="BA73" s="363">
        <f>VLOOKUP(AF73,Análisis!$B:$AN,32,0)</f>
        <v/>
      </c>
      <c r="BB73" s="365">
        <f>VLOOKUP(AF73,Análisis!$B:$AN,33,0)</f>
        <v/>
      </c>
    </row>
    <row r="74" spans="1:77">
      <c r="B74" s="72" t="n">
        <v>76</v>
      </c>
      <c r="C74" s="72" t="s">
        <v>79</v>
      </c>
      <c r="D74" s="126">
        <f>IF(VLOOKUP(Resumen!C74,Análisis!B:AN,15,0)=0,"Sin cambios",VLOOKUP(Resumen!C74,Análisis!B:AN,15,0))</f>
        <v/>
      </c>
      <c r="E74" s="126">
        <f>IF(VLOOKUP(Resumen!C74,Análisis!B:AN,27,0)=0,"Sin cambios",VLOOKUP(Resumen!C74,Análisis!B:AN,27,0))</f>
        <v/>
      </c>
      <c r="F74" s="126">
        <f>IF(VLOOKUP(Resumen!C74,Análisis!B:AN,39,0)=0,"Sin cambios",VLOOKUP(Resumen!C74,Análisis!B:AN,39,0))</f>
        <v/>
      </c>
      <c r="G74" s="126">
        <f>IF(AND(D74="Sin cambios",E74="Sin cambios",F74="Sin cambios")=TRUE,"No","Sí")</f>
        <v/>
      </c>
      <c r="AF74" s="127" t="s">
        <v>222</v>
      </c>
      <c r="AG74" s="129" t="s">
        <v>227</v>
      </c>
      <c r="AH74" s="362">
        <f>VLOOKUP(AF74,Análisis!$B:$AN,4,0)</f>
        <v/>
      </c>
      <c r="AI74" s="363">
        <f>IF(VLOOKUP(AF74,Análisis!$B:$AN,15,0)=0,"Sin cambios",VLOOKUP(AF74,Análisis!$B:$AN,15,0))</f>
        <v/>
      </c>
      <c r="AJ74" s="364">
        <f>VLOOKUP(AF74,Análisis!$B:$AN,5,0)</f>
        <v/>
      </c>
      <c r="AK74" s="363">
        <f>VLOOKUP(AF74,Análisis!$B:$AN,6,0)</f>
        <v/>
      </c>
      <c r="AL74" s="364">
        <f>VLOOKUP(AF74,Análisis!$B:$AN,7,0)</f>
        <v/>
      </c>
      <c r="AM74" s="363">
        <f>VLOOKUP(AF74,Análisis!$B:$AN,8,0)</f>
        <v/>
      </c>
      <c r="AN74" s="365">
        <f>VLOOKUP(AF74,Análisis!$B:$AN,9,0)</f>
        <v/>
      </c>
      <c r="AO74" s="362">
        <f>VLOOKUP(AF74,Análisis!$B:$AN,16,0)</f>
        <v/>
      </c>
      <c r="AP74" s="363">
        <f>IF(VLOOKUP(AF74,Análisis!$B:$AN,27,0)=0,"Sin cambios",VLOOKUP(AF74,Análisis!$B:$AN,27,0))</f>
        <v/>
      </c>
      <c r="AQ74" s="364">
        <f>VLOOKUP(AF74,Análisis!$B:$AN,17,0)</f>
        <v/>
      </c>
      <c r="AR74" s="363">
        <f>VLOOKUP(AF74,Análisis!$B:$AN,18,0)</f>
        <v/>
      </c>
      <c r="AS74" s="364">
        <f>VLOOKUP(AF74,Análisis!$B:$AN,19,0)</f>
        <v/>
      </c>
      <c r="AT74" s="363">
        <f>VLOOKUP(AF74,Análisis!$B:$AN,20,0)</f>
        <v/>
      </c>
      <c r="AU74" s="365">
        <f>VLOOKUP(AF74,Análisis!$B:$AN,21,0)</f>
        <v/>
      </c>
      <c r="AV74" s="362">
        <f>VLOOKUP(AF74,Análisis!$B:$AN,28,0)</f>
        <v/>
      </c>
      <c r="AW74" s="363">
        <f>IF(VLOOKUP(AF74,Análisis!$B:$AN,39,0)=0,"Sin cambios",VLOOKUP(AF74,Análisis!$B:$AN,39,0))</f>
        <v/>
      </c>
      <c r="AX74" s="364">
        <f>VLOOKUP(AF74,Análisis!$B:$AN,29,0)</f>
        <v/>
      </c>
      <c r="AY74" s="363">
        <f>VLOOKUP(AF74,Análisis!$B:$AN,30,0)</f>
        <v/>
      </c>
      <c r="AZ74" s="364">
        <f>VLOOKUP(AF74,Análisis!$B:$AN,31,0)</f>
        <v/>
      </c>
      <c r="BA74" s="363">
        <f>VLOOKUP(AF74,Análisis!$B:$AN,32,0)</f>
        <v/>
      </c>
      <c r="BB74" s="365">
        <f>VLOOKUP(AF74,Análisis!$B:$AN,33,0)</f>
        <v/>
      </c>
    </row>
    <row r="75" spans="1:77">
      <c r="B75" s="72" t="n">
        <v>278</v>
      </c>
      <c r="C75" s="72" t="s">
        <v>67</v>
      </c>
      <c r="D75" s="126">
        <f>IF(VLOOKUP(Resumen!C75,Análisis!B:AN,15,0)=0,"Sin cambios",VLOOKUP(Resumen!C75,Análisis!B:AN,15,0))</f>
        <v/>
      </c>
      <c r="E75" s="126">
        <f>IF(VLOOKUP(Resumen!C75,Análisis!B:AN,27,0)=0,"Sin cambios",VLOOKUP(Resumen!C75,Análisis!B:AN,27,0))</f>
        <v/>
      </c>
      <c r="F75" s="126">
        <f>IF(VLOOKUP(Resumen!C75,Análisis!B:AN,39,0)=0,"Sin cambios",VLOOKUP(Resumen!C75,Análisis!B:AN,39,0))</f>
        <v/>
      </c>
      <c r="G75" s="126">
        <f>IF(AND(D75="Sin cambios",E75="Sin cambios",F75="Sin cambios")=TRUE,"No","Sí")</f>
        <v/>
      </c>
      <c r="AF75" s="127" t="s">
        <v>250</v>
      </c>
      <c r="AG75" s="129" t="s">
        <v>227</v>
      </c>
      <c r="AH75" s="362">
        <f>VLOOKUP(AF75,Análisis!$B:$AN,4,0)</f>
        <v/>
      </c>
      <c r="AI75" s="363">
        <f>IF(VLOOKUP(AF75,Análisis!$B:$AN,15,0)=0,"Sin cambios",VLOOKUP(AF75,Análisis!$B:$AN,15,0))</f>
        <v/>
      </c>
      <c r="AJ75" s="364">
        <f>VLOOKUP(AF75,Análisis!$B:$AN,5,0)</f>
        <v/>
      </c>
      <c r="AK75" s="363">
        <f>VLOOKUP(AF75,Análisis!$B:$AN,6,0)</f>
        <v/>
      </c>
      <c r="AL75" s="364">
        <f>VLOOKUP(AF75,Análisis!$B:$AN,7,0)</f>
        <v/>
      </c>
      <c r="AM75" s="363">
        <f>VLOOKUP(AF75,Análisis!$B:$AN,8,0)</f>
        <v/>
      </c>
      <c r="AN75" s="365">
        <f>VLOOKUP(AF75,Análisis!$B:$AN,9,0)</f>
        <v/>
      </c>
      <c r="AO75" s="362">
        <f>VLOOKUP(AF75,Análisis!$B:$AN,16,0)</f>
        <v/>
      </c>
      <c r="AP75" s="363">
        <f>IF(VLOOKUP(AF75,Análisis!$B:$AN,27,0)=0,"Sin cambios",VLOOKUP(AF75,Análisis!$B:$AN,27,0))</f>
        <v/>
      </c>
      <c r="AQ75" s="364">
        <f>VLOOKUP(AF75,Análisis!$B:$AN,17,0)</f>
        <v/>
      </c>
      <c r="AR75" s="363">
        <f>VLOOKUP(AF75,Análisis!$B:$AN,18,0)</f>
        <v/>
      </c>
      <c r="AS75" s="364">
        <f>VLOOKUP(AF75,Análisis!$B:$AN,19,0)</f>
        <v/>
      </c>
      <c r="AT75" s="363">
        <f>VLOOKUP(AF75,Análisis!$B:$AN,20,0)</f>
        <v/>
      </c>
      <c r="AU75" s="365">
        <f>VLOOKUP(AF75,Análisis!$B:$AN,21,0)</f>
        <v/>
      </c>
      <c r="AV75" s="362">
        <f>VLOOKUP(AF75,Análisis!$B:$AN,28,0)</f>
        <v/>
      </c>
      <c r="AW75" s="363">
        <f>IF(VLOOKUP(AF75,Análisis!$B:$AN,39,0)=0,"Sin cambios",VLOOKUP(AF75,Análisis!$B:$AN,39,0))</f>
        <v/>
      </c>
      <c r="AX75" s="364">
        <f>VLOOKUP(AF75,Análisis!$B:$AN,29,0)</f>
        <v/>
      </c>
      <c r="AY75" s="363">
        <f>VLOOKUP(AF75,Análisis!$B:$AN,30,0)</f>
        <v/>
      </c>
      <c r="AZ75" s="364">
        <f>VLOOKUP(AF75,Análisis!$B:$AN,31,0)</f>
        <v/>
      </c>
      <c r="BA75" s="363">
        <f>VLOOKUP(AF75,Análisis!$B:$AN,32,0)</f>
        <v/>
      </c>
      <c r="BB75" s="365">
        <f>VLOOKUP(AF75,Análisis!$B:$AN,33,0)</f>
        <v/>
      </c>
    </row>
    <row r="76" spans="1:77">
      <c r="B76" s="72" t="n">
        <v>81</v>
      </c>
      <c r="C76" s="72" t="s">
        <v>81</v>
      </c>
      <c r="D76" s="126">
        <f>IF(VLOOKUP(Resumen!C76,Análisis!B:AN,15,0)=0,"Sin cambios",VLOOKUP(Resumen!C76,Análisis!B:AN,15,0))</f>
        <v/>
      </c>
      <c r="E76" s="126">
        <f>IF(VLOOKUP(Resumen!C76,Análisis!B:AN,27,0)=0,"Sin cambios",VLOOKUP(Resumen!C76,Análisis!B:AN,27,0))</f>
        <v/>
      </c>
      <c r="F76" s="126">
        <f>IF(VLOOKUP(Resumen!C76,Análisis!B:AN,39,0)=0,"Sin cambios",VLOOKUP(Resumen!C76,Análisis!B:AN,39,0))</f>
        <v/>
      </c>
      <c r="G76" s="126">
        <f>IF(AND(D76="Sin cambios",E76="Sin cambios",F76="Sin cambios")=TRUE,"No","Sí")</f>
        <v/>
      </c>
      <c r="AF76" s="127" t="s">
        <v>48</v>
      </c>
      <c r="AG76" s="129" t="s">
        <v>219</v>
      </c>
      <c r="AH76" s="362">
        <f>VLOOKUP(AF76,Análisis!$B:$AN,4,0)</f>
        <v/>
      </c>
      <c r="AI76" s="363">
        <f>IF(VLOOKUP(AF76,Análisis!$B:$AN,15,0)=0,"Sin cambios",VLOOKUP(AF76,Análisis!$B:$AN,15,0))</f>
        <v/>
      </c>
      <c r="AJ76" s="364">
        <f>VLOOKUP(AF76,Análisis!$B:$AN,5,0)</f>
        <v/>
      </c>
      <c r="AK76" s="363">
        <f>VLOOKUP(AF76,Análisis!$B:$AN,6,0)</f>
        <v/>
      </c>
      <c r="AL76" s="364">
        <f>VLOOKUP(AF76,Análisis!$B:$AN,7,0)</f>
        <v/>
      </c>
      <c r="AM76" s="363">
        <f>VLOOKUP(AF76,Análisis!$B:$AN,8,0)</f>
        <v/>
      </c>
      <c r="AN76" s="365">
        <f>VLOOKUP(AF76,Análisis!$B:$AN,9,0)</f>
        <v/>
      </c>
      <c r="AO76" s="362">
        <f>VLOOKUP(AF76,Análisis!$B:$AN,16,0)</f>
        <v/>
      </c>
      <c r="AP76" s="363">
        <f>IF(VLOOKUP(AF76,Análisis!$B:$AN,27,0)=0,"Sin cambios",VLOOKUP(AF76,Análisis!$B:$AN,27,0))</f>
        <v/>
      </c>
      <c r="AQ76" s="364">
        <f>VLOOKUP(AF76,Análisis!$B:$AN,17,0)</f>
        <v/>
      </c>
      <c r="AR76" s="363">
        <f>VLOOKUP(AF76,Análisis!$B:$AN,18,0)</f>
        <v/>
      </c>
      <c r="AS76" s="364">
        <f>VLOOKUP(AF76,Análisis!$B:$AN,19,0)</f>
        <v/>
      </c>
      <c r="AT76" s="363">
        <f>VLOOKUP(AF76,Análisis!$B:$AN,20,0)</f>
        <v/>
      </c>
      <c r="AU76" s="365">
        <f>VLOOKUP(AF76,Análisis!$B:$AN,21,0)</f>
        <v/>
      </c>
      <c r="AV76" s="362">
        <f>VLOOKUP(AF76,Análisis!$B:$AN,28,0)</f>
        <v/>
      </c>
      <c r="AW76" s="363">
        <f>IF(VLOOKUP(AF76,Análisis!$B:$AN,39,0)=0,"Sin cambios",VLOOKUP(AF76,Análisis!$B:$AN,39,0))</f>
        <v/>
      </c>
      <c r="AX76" s="364">
        <f>VLOOKUP(AF76,Análisis!$B:$AN,29,0)</f>
        <v/>
      </c>
      <c r="AY76" s="363">
        <f>VLOOKUP(AF76,Análisis!$B:$AN,30,0)</f>
        <v/>
      </c>
      <c r="AZ76" s="364">
        <f>VLOOKUP(AF76,Análisis!$B:$AN,31,0)</f>
        <v/>
      </c>
      <c r="BA76" s="363">
        <f>VLOOKUP(AF76,Análisis!$B:$AN,32,0)</f>
        <v/>
      </c>
      <c r="BB76" s="365">
        <f>VLOOKUP(AF76,Análisis!$B:$AN,33,0)</f>
        <v/>
      </c>
    </row>
    <row r="77" spans="1:77">
      <c r="B77" s="72" t="n">
        <v>30</v>
      </c>
      <c r="C77" s="72" t="s">
        <v>48</v>
      </c>
      <c r="D77" s="126">
        <f>IF(VLOOKUP(Resumen!C77,Análisis!B:AN,15,0)=0,"Sin cambios",VLOOKUP(Resumen!C77,Análisis!B:AN,15,0))</f>
        <v/>
      </c>
      <c r="E77" s="126">
        <f>IF(VLOOKUP(Resumen!C77,Análisis!B:AN,27,0)=0,"Sin cambios",VLOOKUP(Resumen!C77,Análisis!B:AN,27,0))</f>
        <v/>
      </c>
      <c r="F77" s="126">
        <f>IF(VLOOKUP(Resumen!C77,Análisis!B:AN,39,0)=0,"Sin cambios",VLOOKUP(Resumen!C77,Análisis!B:AN,39,0))</f>
        <v/>
      </c>
      <c r="G77" s="126">
        <f>IF(AND(D77="Sin cambios",E77="Sin cambios",F77="Sin cambios")=TRUE,"No","Sí")</f>
        <v/>
      </c>
      <c r="AF77" s="127" t="s">
        <v>53</v>
      </c>
      <c r="AG77" s="129" t="s">
        <v>219</v>
      </c>
      <c r="AH77" s="362">
        <f>VLOOKUP(AF77,Análisis!$B:$AN,4,0)</f>
        <v/>
      </c>
      <c r="AI77" s="363">
        <f>IF(VLOOKUP(AF77,Análisis!$B:$AN,15,0)=0,"Sin cambios",VLOOKUP(AF77,Análisis!$B:$AN,15,0))</f>
        <v/>
      </c>
      <c r="AJ77" s="364">
        <f>VLOOKUP(AF77,Análisis!$B:$AN,5,0)</f>
        <v/>
      </c>
      <c r="AK77" s="363">
        <f>VLOOKUP(AF77,Análisis!$B:$AN,6,0)</f>
        <v/>
      </c>
      <c r="AL77" s="364">
        <f>VLOOKUP(AF77,Análisis!$B:$AN,7,0)</f>
        <v/>
      </c>
      <c r="AM77" s="363">
        <f>VLOOKUP(AF77,Análisis!$B:$AN,8,0)</f>
        <v/>
      </c>
      <c r="AN77" s="365">
        <f>VLOOKUP(AF77,Análisis!$B:$AN,9,0)</f>
        <v/>
      </c>
      <c r="AO77" s="362">
        <f>VLOOKUP(AF77,Análisis!$B:$AN,16,0)</f>
        <v/>
      </c>
      <c r="AP77" s="363">
        <f>IF(VLOOKUP(AF77,Análisis!$B:$AN,27,0)=0,"Sin cambios",VLOOKUP(AF77,Análisis!$B:$AN,27,0))</f>
        <v/>
      </c>
      <c r="AQ77" s="364">
        <f>VLOOKUP(AF77,Análisis!$B:$AN,17,0)</f>
        <v/>
      </c>
      <c r="AR77" s="363">
        <f>VLOOKUP(AF77,Análisis!$B:$AN,18,0)</f>
        <v/>
      </c>
      <c r="AS77" s="364">
        <f>VLOOKUP(AF77,Análisis!$B:$AN,19,0)</f>
        <v/>
      </c>
      <c r="AT77" s="363">
        <f>VLOOKUP(AF77,Análisis!$B:$AN,20,0)</f>
        <v/>
      </c>
      <c r="AU77" s="365">
        <f>VLOOKUP(AF77,Análisis!$B:$AN,21,0)</f>
        <v/>
      </c>
      <c r="AV77" s="362">
        <f>VLOOKUP(AF77,Análisis!$B:$AN,28,0)</f>
        <v/>
      </c>
      <c r="AW77" s="363">
        <f>IF(VLOOKUP(AF77,Análisis!$B:$AN,39,0)=0,"Sin cambios",VLOOKUP(AF77,Análisis!$B:$AN,39,0))</f>
        <v/>
      </c>
      <c r="AX77" s="364">
        <f>VLOOKUP(AF77,Análisis!$B:$AN,29,0)</f>
        <v/>
      </c>
      <c r="AY77" s="363">
        <f>VLOOKUP(AF77,Análisis!$B:$AN,30,0)</f>
        <v/>
      </c>
      <c r="AZ77" s="364">
        <f>VLOOKUP(AF77,Análisis!$B:$AN,31,0)</f>
        <v/>
      </c>
      <c r="BA77" s="363">
        <f>VLOOKUP(AF77,Análisis!$B:$AN,32,0)</f>
        <v/>
      </c>
      <c r="BB77" s="365">
        <f>VLOOKUP(AF77,Análisis!$B:$AN,33,0)</f>
        <v/>
      </c>
    </row>
    <row r="78" spans="1:77">
      <c r="B78" s="72" t="n">
        <v>349</v>
      </c>
      <c r="C78" s="72" t="s">
        <v>130</v>
      </c>
      <c r="D78" s="126">
        <f>IF(VLOOKUP(Resumen!C78,Análisis!B:AN,15,0)=0,"Sin cambios",VLOOKUP(Resumen!C78,Análisis!B:AN,15,0))</f>
        <v/>
      </c>
      <c r="E78" s="126">
        <f>IF(VLOOKUP(Resumen!C78,Análisis!B:AN,27,0)=0,"Sin cambios",VLOOKUP(Resumen!C78,Análisis!B:AN,27,0))</f>
        <v/>
      </c>
      <c r="F78" s="126">
        <f>IF(VLOOKUP(Resumen!C78,Análisis!B:AN,39,0)=0,"Sin cambios",VLOOKUP(Resumen!C78,Análisis!B:AN,39,0))</f>
        <v/>
      </c>
      <c r="G78" s="126">
        <f>IF(AND(D78="Sin cambios",E78="Sin cambios",F78="Sin cambios")=TRUE,"No","Sí")</f>
        <v/>
      </c>
      <c r="AF78" s="127" t="s">
        <v>55</v>
      </c>
      <c r="AG78" s="129" t="s">
        <v>219</v>
      </c>
      <c r="AH78" s="362">
        <f>VLOOKUP(AF78,Análisis!$B:$AN,4,0)</f>
        <v/>
      </c>
      <c r="AI78" s="363">
        <f>IF(VLOOKUP(AF78,Análisis!$B:$AN,15,0)=0,"Sin cambios",VLOOKUP(AF78,Análisis!$B:$AN,15,0))</f>
        <v/>
      </c>
      <c r="AJ78" s="364">
        <f>VLOOKUP(AF78,Análisis!$B:$AN,5,0)</f>
        <v/>
      </c>
      <c r="AK78" s="363">
        <f>VLOOKUP(AF78,Análisis!$B:$AN,6,0)</f>
        <v/>
      </c>
      <c r="AL78" s="364">
        <f>VLOOKUP(AF78,Análisis!$B:$AN,7,0)</f>
        <v/>
      </c>
      <c r="AM78" s="363">
        <f>VLOOKUP(AF78,Análisis!$B:$AN,8,0)</f>
        <v/>
      </c>
      <c r="AN78" s="365">
        <f>VLOOKUP(AF78,Análisis!$B:$AN,9,0)</f>
        <v/>
      </c>
      <c r="AO78" s="362">
        <f>VLOOKUP(AF78,Análisis!$B:$AN,16,0)</f>
        <v/>
      </c>
      <c r="AP78" s="363">
        <f>IF(VLOOKUP(AF78,Análisis!$B:$AN,27,0)=0,"Sin cambios",VLOOKUP(AF78,Análisis!$B:$AN,27,0))</f>
        <v/>
      </c>
      <c r="AQ78" s="364">
        <f>VLOOKUP(AF78,Análisis!$B:$AN,17,0)</f>
        <v/>
      </c>
      <c r="AR78" s="363">
        <f>VLOOKUP(AF78,Análisis!$B:$AN,18,0)</f>
        <v/>
      </c>
      <c r="AS78" s="364">
        <f>VLOOKUP(AF78,Análisis!$B:$AN,19,0)</f>
        <v/>
      </c>
      <c r="AT78" s="363">
        <f>VLOOKUP(AF78,Análisis!$B:$AN,20,0)</f>
        <v/>
      </c>
      <c r="AU78" s="365">
        <f>VLOOKUP(AF78,Análisis!$B:$AN,21,0)</f>
        <v/>
      </c>
      <c r="AV78" s="362">
        <f>VLOOKUP(AF78,Análisis!$B:$AN,28,0)</f>
        <v/>
      </c>
      <c r="AW78" s="363">
        <f>IF(VLOOKUP(AF78,Análisis!$B:$AN,39,0)=0,"Sin cambios",VLOOKUP(AF78,Análisis!$B:$AN,39,0))</f>
        <v/>
      </c>
      <c r="AX78" s="364">
        <f>VLOOKUP(AF78,Análisis!$B:$AN,29,0)</f>
        <v/>
      </c>
      <c r="AY78" s="363">
        <f>VLOOKUP(AF78,Análisis!$B:$AN,30,0)</f>
        <v/>
      </c>
      <c r="AZ78" s="364">
        <f>VLOOKUP(AF78,Análisis!$B:$AN,31,0)</f>
        <v/>
      </c>
      <c r="BA78" s="363">
        <f>VLOOKUP(AF78,Análisis!$B:$AN,32,0)</f>
        <v/>
      </c>
      <c r="BB78" s="365">
        <f>VLOOKUP(AF78,Análisis!$B:$AN,33,0)</f>
        <v/>
      </c>
    </row>
    <row r="79" spans="1:77">
      <c r="B79" s="72" t="n">
        <v>54</v>
      </c>
      <c r="C79" s="72" t="s">
        <v>76</v>
      </c>
      <c r="D79" s="126">
        <f>IF(VLOOKUP(Resumen!C79,Análisis!B:AN,15,0)=0,"Sin cambios",VLOOKUP(Resumen!C79,Análisis!B:AN,15,0))</f>
        <v/>
      </c>
      <c r="E79" s="126">
        <f>IF(VLOOKUP(Resumen!C79,Análisis!B:AN,27,0)=0,"Sin cambios",VLOOKUP(Resumen!C79,Análisis!B:AN,27,0))</f>
        <v/>
      </c>
      <c r="F79" s="126">
        <f>IF(VLOOKUP(Resumen!C79,Análisis!B:AN,39,0)=0,"Sin cambios",VLOOKUP(Resumen!C79,Análisis!B:AN,39,0))</f>
        <v/>
      </c>
      <c r="G79" s="126">
        <f>IF(AND(D79="Sin cambios",E79="Sin cambios",F79="Sin cambios")=TRUE,"No","Sí")</f>
        <v/>
      </c>
      <c r="AF79" s="127" t="s">
        <v>56</v>
      </c>
      <c r="AG79" s="129" t="s">
        <v>219</v>
      </c>
      <c r="AH79" s="362">
        <f>VLOOKUP(AF79,Análisis!$B:$AN,4,0)</f>
        <v/>
      </c>
      <c r="AI79" s="363">
        <f>IF(VLOOKUP(AF79,Análisis!$B:$AN,15,0)=0,"Sin cambios",VLOOKUP(AF79,Análisis!$B:$AN,15,0))</f>
        <v/>
      </c>
      <c r="AJ79" s="364">
        <f>VLOOKUP(AF79,Análisis!$B:$AN,5,0)</f>
        <v/>
      </c>
      <c r="AK79" s="363">
        <f>VLOOKUP(AF79,Análisis!$B:$AN,6,0)</f>
        <v/>
      </c>
      <c r="AL79" s="364">
        <f>VLOOKUP(AF79,Análisis!$B:$AN,7,0)</f>
        <v/>
      </c>
      <c r="AM79" s="363">
        <f>VLOOKUP(AF79,Análisis!$B:$AN,8,0)</f>
        <v/>
      </c>
      <c r="AN79" s="365">
        <f>VLOOKUP(AF79,Análisis!$B:$AN,9,0)</f>
        <v/>
      </c>
      <c r="AO79" s="362">
        <f>VLOOKUP(AF79,Análisis!$B:$AN,16,0)</f>
        <v/>
      </c>
      <c r="AP79" s="363">
        <f>IF(VLOOKUP(AF79,Análisis!$B:$AN,27,0)=0,"Sin cambios",VLOOKUP(AF79,Análisis!$B:$AN,27,0))</f>
        <v/>
      </c>
      <c r="AQ79" s="364">
        <f>VLOOKUP(AF79,Análisis!$B:$AN,17,0)</f>
        <v/>
      </c>
      <c r="AR79" s="363">
        <f>VLOOKUP(AF79,Análisis!$B:$AN,18,0)</f>
        <v/>
      </c>
      <c r="AS79" s="364">
        <f>VLOOKUP(AF79,Análisis!$B:$AN,19,0)</f>
        <v/>
      </c>
      <c r="AT79" s="363">
        <f>VLOOKUP(AF79,Análisis!$B:$AN,20,0)</f>
        <v/>
      </c>
      <c r="AU79" s="365">
        <f>VLOOKUP(AF79,Análisis!$B:$AN,21,0)</f>
        <v/>
      </c>
      <c r="AV79" s="362">
        <f>VLOOKUP(AF79,Análisis!$B:$AN,28,0)</f>
        <v/>
      </c>
      <c r="AW79" s="363">
        <f>IF(VLOOKUP(AF79,Análisis!$B:$AN,39,0)=0,"Sin cambios",VLOOKUP(AF79,Análisis!$B:$AN,39,0))</f>
        <v/>
      </c>
      <c r="AX79" s="364">
        <f>VLOOKUP(AF79,Análisis!$B:$AN,29,0)</f>
        <v/>
      </c>
      <c r="AY79" s="363">
        <f>VLOOKUP(AF79,Análisis!$B:$AN,30,0)</f>
        <v/>
      </c>
      <c r="AZ79" s="364">
        <f>VLOOKUP(AF79,Análisis!$B:$AN,31,0)</f>
        <v/>
      </c>
      <c r="BA79" s="363">
        <f>VLOOKUP(AF79,Análisis!$B:$AN,32,0)</f>
        <v/>
      </c>
      <c r="BB79" s="365">
        <f>VLOOKUP(AF79,Análisis!$B:$AN,33,0)</f>
        <v/>
      </c>
    </row>
    <row r="80" spans="1:77">
      <c r="B80" s="72" t="n">
        <v>371</v>
      </c>
      <c r="C80" s="72" t="s">
        <v>88</v>
      </c>
      <c r="D80" s="126">
        <f>IF(VLOOKUP(Resumen!C80,Análisis!B:AN,15,0)=0,"Sin cambios",VLOOKUP(Resumen!C80,Análisis!B:AN,15,0))</f>
        <v/>
      </c>
      <c r="E80" s="126">
        <f>IF(VLOOKUP(Resumen!C80,Análisis!B:AN,27,0)=0,"Sin cambios",VLOOKUP(Resumen!C80,Análisis!B:AN,27,0))</f>
        <v/>
      </c>
      <c r="F80" s="126">
        <f>IF(VLOOKUP(Resumen!C80,Análisis!B:AN,39,0)=0,"Sin cambios",VLOOKUP(Resumen!C80,Análisis!B:AN,39,0))</f>
        <v/>
      </c>
      <c r="G80" s="126">
        <f>IF(AND(D80="Sin cambios",E80="Sin cambios",F80="Sin cambios")=TRUE,"No","Sí")</f>
        <v/>
      </c>
      <c r="AF80" s="127" t="s">
        <v>57</v>
      </c>
      <c r="AG80" s="129" t="s">
        <v>219</v>
      </c>
      <c r="AH80" s="362">
        <f>VLOOKUP(AF80,Análisis!$B:$AN,4,0)</f>
        <v/>
      </c>
      <c r="AI80" s="363">
        <f>IF(VLOOKUP(AF80,Análisis!$B:$AN,15,0)=0,"Sin cambios",VLOOKUP(AF80,Análisis!$B:$AN,15,0))</f>
        <v/>
      </c>
      <c r="AJ80" s="364">
        <f>VLOOKUP(AF80,Análisis!$B:$AN,5,0)</f>
        <v/>
      </c>
      <c r="AK80" s="363">
        <f>VLOOKUP(AF80,Análisis!$B:$AN,6,0)</f>
        <v/>
      </c>
      <c r="AL80" s="364">
        <f>VLOOKUP(AF80,Análisis!$B:$AN,7,0)</f>
        <v/>
      </c>
      <c r="AM80" s="363">
        <f>VLOOKUP(AF80,Análisis!$B:$AN,8,0)</f>
        <v/>
      </c>
      <c r="AN80" s="365">
        <f>VLOOKUP(AF80,Análisis!$B:$AN,9,0)</f>
        <v/>
      </c>
      <c r="AO80" s="362">
        <f>VLOOKUP(AF80,Análisis!$B:$AN,16,0)</f>
        <v/>
      </c>
      <c r="AP80" s="363">
        <f>IF(VLOOKUP(AF80,Análisis!$B:$AN,27,0)=0,"Sin cambios",VLOOKUP(AF80,Análisis!$B:$AN,27,0))</f>
        <v/>
      </c>
      <c r="AQ80" s="364">
        <f>VLOOKUP(AF80,Análisis!$B:$AN,17,0)</f>
        <v/>
      </c>
      <c r="AR80" s="363">
        <f>VLOOKUP(AF80,Análisis!$B:$AN,18,0)</f>
        <v/>
      </c>
      <c r="AS80" s="364">
        <f>VLOOKUP(AF80,Análisis!$B:$AN,19,0)</f>
        <v/>
      </c>
      <c r="AT80" s="363">
        <f>VLOOKUP(AF80,Análisis!$B:$AN,20,0)</f>
        <v/>
      </c>
      <c r="AU80" s="365">
        <f>VLOOKUP(AF80,Análisis!$B:$AN,21,0)</f>
        <v/>
      </c>
      <c r="AV80" s="362">
        <f>VLOOKUP(AF80,Análisis!$B:$AN,28,0)</f>
        <v/>
      </c>
      <c r="AW80" s="363">
        <f>IF(VLOOKUP(AF80,Análisis!$B:$AN,39,0)=0,"Sin cambios",VLOOKUP(AF80,Análisis!$B:$AN,39,0))</f>
        <v/>
      </c>
      <c r="AX80" s="364">
        <f>VLOOKUP(AF80,Análisis!$B:$AN,29,0)</f>
        <v/>
      </c>
      <c r="AY80" s="363">
        <f>VLOOKUP(AF80,Análisis!$B:$AN,30,0)</f>
        <v/>
      </c>
      <c r="AZ80" s="364">
        <f>VLOOKUP(AF80,Análisis!$B:$AN,31,0)</f>
        <v/>
      </c>
      <c r="BA80" s="363">
        <f>VLOOKUP(AF80,Análisis!$B:$AN,32,0)</f>
        <v/>
      </c>
      <c r="BB80" s="365">
        <f>VLOOKUP(AF80,Análisis!$B:$AN,33,0)</f>
        <v/>
      </c>
    </row>
    <row r="81" spans="1:77">
      <c r="B81" s="72" t="n">
        <v>106</v>
      </c>
      <c r="C81" s="72" t="s">
        <v>97</v>
      </c>
      <c r="D81" s="126">
        <f>IF(VLOOKUP(Resumen!C81,Análisis!B:AN,15,0)=0,"Sin cambios",VLOOKUP(Resumen!C81,Análisis!B:AN,15,0))</f>
        <v/>
      </c>
      <c r="E81" s="126">
        <f>IF(VLOOKUP(Resumen!C81,Análisis!B:AN,27,0)=0,"Sin cambios",VLOOKUP(Resumen!C81,Análisis!B:AN,27,0))</f>
        <v/>
      </c>
      <c r="F81" s="126">
        <f>IF(VLOOKUP(Resumen!C81,Análisis!B:AN,39,0)=0,"Sin cambios",VLOOKUP(Resumen!C81,Análisis!B:AN,39,0))</f>
        <v/>
      </c>
      <c r="G81" s="126">
        <f>IF(AND(D81="Sin cambios",E81="Sin cambios",F81="Sin cambios")=TRUE,"No","Sí")</f>
        <v/>
      </c>
      <c r="AF81" s="127" t="s">
        <v>59</v>
      </c>
      <c r="AG81" s="129" t="s">
        <v>227</v>
      </c>
      <c r="AH81" s="362">
        <f>VLOOKUP(AF81,Análisis!$B:$AN,4,0)</f>
        <v/>
      </c>
      <c r="AI81" s="363">
        <f>IF(VLOOKUP(AF81,Análisis!$B:$AN,15,0)=0,"Sin cambios",VLOOKUP(AF81,Análisis!$B:$AN,15,0))</f>
        <v/>
      </c>
      <c r="AJ81" s="364">
        <f>VLOOKUP(AF81,Análisis!$B:$AN,5,0)</f>
        <v/>
      </c>
      <c r="AK81" s="363">
        <f>VLOOKUP(AF81,Análisis!$B:$AN,6,0)</f>
        <v/>
      </c>
      <c r="AL81" s="364">
        <f>VLOOKUP(AF81,Análisis!$B:$AN,7,0)</f>
        <v/>
      </c>
      <c r="AM81" s="363">
        <f>VLOOKUP(AF81,Análisis!$B:$AN,8,0)</f>
        <v/>
      </c>
      <c r="AN81" s="365">
        <f>VLOOKUP(AF81,Análisis!$B:$AN,9,0)</f>
        <v/>
      </c>
      <c r="AO81" s="362">
        <f>VLOOKUP(AF81,Análisis!$B:$AN,16,0)</f>
        <v/>
      </c>
      <c r="AP81" s="363">
        <f>IF(VLOOKUP(AF81,Análisis!$B:$AN,27,0)=0,"Sin cambios",VLOOKUP(AF81,Análisis!$B:$AN,27,0))</f>
        <v/>
      </c>
      <c r="AQ81" s="364">
        <f>VLOOKUP(AF81,Análisis!$B:$AN,17,0)</f>
        <v/>
      </c>
      <c r="AR81" s="363">
        <f>VLOOKUP(AF81,Análisis!$B:$AN,18,0)</f>
        <v/>
      </c>
      <c r="AS81" s="364">
        <f>VLOOKUP(AF81,Análisis!$B:$AN,19,0)</f>
        <v/>
      </c>
      <c r="AT81" s="363">
        <f>VLOOKUP(AF81,Análisis!$B:$AN,20,0)</f>
        <v/>
      </c>
      <c r="AU81" s="365">
        <f>VLOOKUP(AF81,Análisis!$B:$AN,21,0)</f>
        <v/>
      </c>
      <c r="AV81" s="362">
        <f>VLOOKUP(AF81,Análisis!$B:$AN,28,0)</f>
        <v/>
      </c>
      <c r="AW81" s="363">
        <f>IF(VLOOKUP(AF81,Análisis!$B:$AN,39,0)=0,"Sin cambios",VLOOKUP(AF81,Análisis!$B:$AN,39,0))</f>
        <v/>
      </c>
      <c r="AX81" s="364">
        <f>VLOOKUP(AF81,Análisis!$B:$AN,29,0)</f>
        <v/>
      </c>
      <c r="AY81" s="363">
        <f>VLOOKUP(AF81,Análisis!$B:$AN,30,0)</f>
        <v/>
      </c>
      <c r="AZ81" s="364">
        <f>VLOOKUP(AF81,Análisis!$B:$AN,31,0)</f>
        <v/>
      </c>
      <c r="BA81" s="363">
        <f>VLOOKUP(AF81,Análisis!$B:$AN,32,0)</f>
        <v/>
      </c>
      <c r="BB81" s="365">
        <f>VLOOKUP(AF81,Análisis!$B:$AN,33,0)</f>
        <v/>
      </c>
    </row>
    <row r="82" spans="1:77">
      <c r="B82" s="72" t="n">
        <v>35</v>
      </c>
      <c r="C82" s="72" t="s">
        <v>53</v>
      </c>
      <c r="D82" s="126">
        <f>IF(VLOOKUP(Resumen!C82,Análisis!B:AN,15,0)=0,"Sin cambios",VLOOKUP(Resumen!C82,Análisis!B:AN,15,0))</f>
        <v/>
      </c>
      <c r="E82" s="126">
        <f>IF(VLOOKUP(Resumen!C82,Análisis!B:AN,27,0)=0,"Sin cambios",VLOOKUP(Resumen!C82,Análisis!B:AN,27,0))</f>
        <v/>
      </c>
      <c r="F82" s="126">
        <f>IF(VLOOKUP(Resumen!C82,Análisis!B:AN,39,0)=0,"Sin cambios",VLOOKUP(Resumen!C82,Análisis!B:AN,39,0))</f>
        <v/>
      </c>
      <c r="G82" s="126">
        <f>IF(AND(D82="Sin cambios",E82="Sin cambios",F82="Sin cambios")=TRUE,"No","Sí")</f>
        <v/>
      </c>
      <c r="AF82" s="127" t="s">
        <v>60</v>
      </c>
      <c r="AG82" s="129" t="s">
        <v>227</v>
      </c>
      <c r="AH82" s="362">
        <f>VLOOKUP(AF82,Análisis!$B:$AN,4,0)</f>
        <v/>
      </c>
      <c r="AI82" s="363">
        <f>IF(VLOOKUP(AF82,Análisis!$B:$AN,15,0)=0,"Sin cambios",VLOOKUP(AF82,Análisis!$B:$AN,15,0))</f>
        <v/>
      </c>
      <c r="AJ82" s="364">
        <f>VLOOKUP(AF82,Análisis!$B:$AN,5,0)</f>
        <v/>
      </c>
      <c r="AK82" s="363">
        <f>VLOOKUP(AF82,Análisis!$B:$AN,6,0)</f>
        <v/>
      </c>
      <c r="AL82" s="364">
        <f>VLOOKUP(AF82,Análisis!$B:$AN,7,0)</f>
        <v/>
      </c>
      <c r="AM82" s="363">
        <f>VLOOKUP(AF82,Análisis!$B:$AN,8,0)</f>
        <v/>
      </c>
      <c r="AN82" s="365">
        <f>VLOOKUP(AF82,Análisis!$B:$AN,9,0)</f>
        <v/>
      </c>
      <c r="AO82" s="362">
        <f>VLOOKUP(AF82,Análisis!$B:$AN,16,0)</f>
        <v/>
      </c>
      <c r="AP82" s="363">
        <f>IF(VLOOKUP(AF82,Análisis!$B:$AN,27,0)=0,"Sin cambios",VLOOKUP(AF82,Análisis!$B:$AN,27,0))</f>
        <v/>
      </c>
      <c r="AQ82" s="364">
        <f>VLOOKUP(AF82,Análisis!$B:$AN,17,0)</f>
        <v/>
      </c>
      <c r="AR82" s="363">
        <f>VLOOKUP(AF82,Análisis!$B:$AN,18,0)</f>
        <v/>
      </c>
      <c r="AS82" s="364">
        <f>VLOOKUP(AF82,Análisis!$B:$AN,19,0)</f>
        <v/>
      </c>
      <c r="AT82" s="363">
        <f>VLOOKUP(AF82,Análisis!$B:$AN,20,0)</f>
        <v/>
      </c>
      <c r="AU82" s="365">
        <f>VLOOKUP(AF82,Análisis!$B:$AN,21,0)</f>
        <v/>
      </c>
      <c r="AV82" s="362">
        <f>VLOOKUP(AF82,Análisis!$B:$AN,28,0)</f>
        <v/>
      </c>
      <c r="AW82" s="363">
        <f>IF(VLOOKUP(AF82,Análisis!$B:$AN,39,0)=0,"Sin cambios",VLOOKUP(AF82,Análisis!$B:$AN,39,0))</f>
        <v/>
      </c>
      <c r="AX82" s="364">
        <f>VLOOKUP(AF82,Análisis!$B:$AN,29,0)</f>
        <v/>
      </c>
      <c r="AY82" s="363">
        <f>VLOOKUP(AF82,Análisis!$B:$AN,30,0)</f>
        <v/>
      </c>
      <c r="AZ82" s="364">
        <f>VLOOKUP(AF82,Análisis!$B:$AN,31,0)</f>
        <v/>
      </c>
      <c r="BA82" s="363">
        <f>VLOOKUP(AF82,Análisis!$B:$AN,32,0)</f>
        <v/>
      </c>
      <c r="BB82" s="365">
        <f>VLOOKUP(AF82,Análisis!$B:$AN,33,0)</f>
        <v/>
      </c>
    </row>
    <row r="83" spans="1:77">
      <c r="B83" s="72" t="n">
        <v>44</v>
      </c>
      <c r="C83" s="72" t="s">
        <v>57</v>
      </c>
      <c r="D83" s="126">
        <f>IF(VLOOKUP(Resumen!C83,Análisis!B:AN,15,0)=0,"Sin cambios",VLOOKUP(Resumen!C83,Análisis!B:AN,15,0))</f>
        <v/>
      </c>
      <c r="E83" s="126">
        <f>IF(VLOOKUP(Resumen!C83,Análisis!B:AN,27,0)=0,"Sin cambios",VLOOKUP(Resumen!C83,Análisis!B:AN,27,0))</f>
        <v/>
      </c>
      <c r="F83" s="126">
        <f>IF(VLOOKUP(Resumen!C83,Análisis!B:AN,39,0)=0,"Sin cambios",VLOOKUP(Resumen!C83,Análisis!B:AN,39,0))</f>
        <v/>
      </c>
      <c r="G83" s="126">
        <f>IF(AND(D83="Sin cambios",E83="Sin cambios",F83="Sin cambios")=TRUE,"No","Sí")</f>
        <v/>
      </c>
      <c r="AF83" s="127" t="s">
        <v>62</v>
      </c>
      <c r="AG83" s="129" t="s">
        <v>227</v>
      </c>
      <c r="AH83" s="362">
        <f>VLOOKUP(AF83,Análisis!$B:$AN,4,0)</f>
        <v/>
      </c>
      <c r="AI83" s="363">
        <f>IF(VLOOKUP(AF83,Análisis!$B:$AN,15,0)=0,"Sin cambios",VLOOKUP(AF83,Análisis!$B:$AN,15,0))</f>
        <v/>
      </c>
      <c r="AJ83" s="364">
        <f>VLOOKUP(AF83,Análisis!$B:$AN,5,0)</f>
        <v/>
      </c>
      <c r="AK83" s="363">
        <f>VLOOKUP(AF83,Análisis!$B:$AN,6,0)</f>
        <v/>
      </c>
      <c r="AL83" s="364">
        <f>VLOOKUP(AF83,Análisis!$B:$AN,7,0)</f>
        <v/>
      </c>
      <c r="AM83" s="363">
        <f>VLOOKUP(AF83,Análisis!$B:$AN,8,0)</f>
        <v/>
      </c>
      <c r="AN83" s="365">
        <f>VLOOKUP(AF83,Análisis!$B:$AN,9,0)</f>
        <v/>
      </c>
      <c r="AO83" s="362">
        <f>VLOOKUP(AF83,Análisis!$B:$AN,16,0)</f>
        <v/>
      </c>
      <c r="AP83" s="363">
        <f>IF(VLOOKUP(AF83,Análisis!$B:$AN,27,0)=0,"Sin cambios",VLOOKUP(AF83,Análisis!$B:$AN,27,0))</f>
        <v/>
      </c>
      <c r="AQ83" s="364">
        <f>VLOOKUP(AF83,Análisis!$B:$AN,17,0)</f>
        <v/>
      </c>
      <c r="AR83" s="363">
        <f>VLOOKUP(AF83,Análisis!$B:$AN,18,0)</f>
        <v/>
      </c>
      <c r="AS83" s="364">
        <f>VLOOKUP(AF83,Análisis!$B:$AN,19,0)</f>
        <v/>
      </c>
      <c r="AT83" s="363">
        <f>VLOOKUP(AF83,Análisis!$B:$AN,20,0)</f>
        <v/>
      </c>
      <c r="AU83" s="365">
        <f>VLOOKUP(AF83,Análisis!$B:$AN,21,0)</f>
        <v/>
      </c>
      <c r="AV83" s="362">
        <f>VLOOKUP(AF83,Análisis!$B:$AN,28,0)</f>
        <v/>
      </c>
      <c r="AW83" s="363">
        <f>IF(VLOOKUP(AF83,Análisis!$B:$AN,39,0)=0,"Sin cambios",VLOOKUP(AF83,Análisis!$B:$AN,39,0))</f>
        <v/>
      </c>
      <c r="AX83" s="364">
        <f>VLOOKUP(AF83,Análisis!$B:$AN,29,0)</f>
        <v/>
      </c>
      <c r="AY83" s="363">
        <f>VLOOKUP(AF83,Análisis!$B:$AN,30,0)</f>
        <v/>
      </c>
      <c r="AZ83" s="364">
        <f>VLOOKUP(AF83,Análisis!$B:$AN,31,0)</f>
        <v/>
      </c>
      <c r="BA83" s="363">
        <f>VLOOKUP(AF83,Análisis!$B:$AN,32,0)</f>
        <v/>
      </c>
      <c r="BB83" s="365">
        <f>VLOOKUP(AF83,Análisis!$B:$AN,33,0)</f>
        <v/>
      </c>
    </row>
    <row r="84" spans="1:77">
      <c r="B84" s="72" t="n">
        <v>38</v>
      </c>
      <c r="C84" s="72" t="s">
        <v>55</v>
      </c>
      <c r="D84" s="126">
        <f>IF(VLOOKUP(Resumen!C84,Análisis!B:AN,15,0)=0,"Sin cambios",VLOOKUP(Resumen!C84,Análisis!B:AN,15,0))</f>
        <v/>
      </c>
      <c r="E84" s="126">
        <f>IF(VLOOKUP(Resumen!C84,Análisis!B:AN,27,0)=0,"Sin cambios",VLOOKUP(Resumen!C84,Análisis!B:AN,27,0))</f>
        <v/>
      </c>
      <c r="F84" s="126">
        <f>IF(VLOOKUP(Resumen!C84,Análisis!B:AN,39,0)=0,"Sin cambios",VLOOKUP(Resumen!C84,Análisis!B:AN,39,0))</f>
        <v/>
      </c>
      <c r="G84" s="126">
        <f>IF(AND(D84="Sin cambios",E84="Sin cambios",F84="Sin cambios")=TRUE,"No","Sí")</f>
        <v/>
      </c>
      <c r="AF84" s="127" t="s">
        <v>64</v>
      </c>
      <c r="AG84" s="129" t="s">
        <v>227</v>
      </c>
      <c r="AH84" s="362">
        <f>VLOOKUP(AF84,Análisis!$B:$AN,4,0)</f>
        <v/>
      </c>
      <c r="AI84" s="363">
        <f>IF(VLOOKUP(AF84,Análisis!$B:$AN,15,0)=0,"Sin cambios",VLOOKUP(AF84,Análisis!$B:$AN,15,0))</f>
        <v/>
      </c>
      <c r="AJ84" s="364">
        <f>VLOOKUP(AF84,Análisis!$B:$AN,5,0)</f>
        <v/>
      </c>
      <c r="AK84" s="363">
        <f>VLOOKUP(AF84,Análisis!$B:$AN,6,0)</f>
        <v/>
      </c>
      <c r="AL84" s="364">
        <f>VLOOKUP(AF84,Análisis!$B:$AN,7,0)</f>
        <v/>
      </c>
      <c r="AM84" s="363">
        <f>VLOOKUP(AF84,Análisis!$B:$AN,8,0)</f>
        <v/>
      </c>
      <c r="AN84" s="365">
        <f>VLOOKUP(AF84,Análisis!$B:$AN,9,0)</f>
        <v/>
      </c>
      <c r="AO84" s="362">
        <f>VLOOKUP(AF84,Análisis!$B:$AN,16,0)</f>
        <v/>
      </c>
      <c r="AP84" s="363">
        <f>IF(VLOOKUP(AF84,Análisis!$B:$AN,27,0)=0,"Sin cambios",VLOOKUP(AF84,Análisis!$B:$AN,27,0))</f>
        <v/>
      </c>
      <c r="AQ84" s="364">
        <f>VLOOKUP(AF84,Análisis!$B:$AN,17,0)</f>
        <v/>
      </c>
      <c r="AR84" s="363">
        <f>VLOOKUP(AF84,Análisis!$B:$AN,18,0)</f>
        <v/>
      </c>
      <c r="AS84" s="364">
        <f>VLOOKUP(AF84,Análisis!$B:$AN,19,0)</f>
        <v/>
      </c>
      <c r="AT84" s="363">
        <f>VLOOKUP(AF84,Análisis!$B:$AN,20,0)</f>
        <v/>
      </c>
      <c r="AU84" s="365">
        <f>VLOOKUP(AF84,Análisis!$B:$AN,21,0)</f>
        <v/>
      </c>
      <c r="AV84" s="362">
        <f>VLOOKUP(AF84,Análisis!$B:$AN,28,0)</f>
        <v/>
      </c>
      <c r="AW84" s="363">
        <f>IF(VLOOKUP(AF84,Análisis!$B:$AN,39,0)=0,"Sin cambios",VLOOKUP(AF84,Análisis!$B:$AN,39,0))</f>
        <v/>
      </c>
      <c r="AX84" s="364">
        <f>VLOOKUP(AF84,Análisis!$B:$AN,29,0)</f>
        <v/>
      </c>
      <c r="AY84" s="363">
        <f>VLOOKUP(AF84,Análisis!$B:$AN,30,0)</f>
        <v/>
      </c>
      <c r="AZ84" s="364">
        <f>VLOOKUP(AF84,Análisis!$B:$AN,31,0)</f>
        <v/>
      </c>
      <c r="BA84" s="363">
        <f>VLOOKUP(AF84,Análisis!$B:$AN,32,0)</f>
        <v/>
      </c>
      <c r="BB84" s="365">
        <f>VLOOKUP(AF84,Análisis!$B:$AN,33,0)</f>
        <v/>
      </c>
    </row>
    <row r="85" spans="1:77">
      <c r="B85" s="72" t="n">
        <v>139</v>
      </c>
      <c r="C85" s="72" t="s">
        <v>103</v>
      </c>
      <c r="D85" s="126">
        <f>IF(VLOOKUP(Resumen!C85,Análisis!B:AN,15,0)=0,"Sin cambios",VLOOKUP(Resumen!C85,Análisis!B:AN,15,0))</f>
        <v/>
      </c>
      <c r="E85" s="126">
        <f>IF(VLOOKUP(Resumen!C85,Análisis!B:AN,27,0)=0,"Sin cambios",VLOOKUP(Resumen!C85,Análisis!B:AN,27,0))</f>
        <v/>
      </c>
      <c r="F85" s="126">
        <f>IF(VLOOKUP(Resumen!C85,Análisis!B:AN,39,0)=0,"Sin cambios",VLOOKUP(Resumen!C85,Análisis!B:AN,39,0))</f>
        <v/>
      </c>
      <c r="G85" s="126">
        <f>IF(AND(D85="Sin cambios",E85="Sin cambios",F85="Sin cambios")=TRUE,"No","Sí")</f>
        <v/>
      </c>
      <c r="AF85" s="127" t="s">
        <v>67</v>
      </c>
      <c r="AG85" s="129" t="s">
        <v>227</v>
      </c>
      <c r="AH85" s="362">
        <f>VLOOKUP(AF85,Análisis!$B:$AN,4,0)</f>
        <v/>
      </c>
      <c r="AI85" s="363">
        <f>IF(VLOOKUP(AF85,Análisis!$B:$AN,15,0)=0,"Sin cambios",VLOOKUP(AF85,Análisis!$B:$AN,15,0))</f>
        <v/>
      </c>
      <c r="AJ85" s="364">
        <f>VLOOKUP(AF85,Análisis!$B:$AN,5,0)</f>
        <v/>
      </c>
      <c r="AK85" s="363">
        <f>VLOOKUP(AF85,Análisis!$B:$AN,6,0)</f>
        <v/>
      </c>
      <c r="AL85" s="364">
        <f>VLOOKUP(AF85,Análisis!$B:$AN,7,0)</f>
        <v/>
      </c>
      <c r="AM85" s="363">
        <f>VLOOKUP(AF85,Análisis!$B:$AN,8,0)</f>
        <v/>
      </c>
      <c r="AN85" s="365">
        <f>VLOOKUP(AF85,Análisis!$B:$AN,9,0)</f>
        <v/>
      </c>
      <c r="AO85" s="362">
        <f>VLOOKUP(AF85,Análisis!$B:$AN,16,0)</f>
        <v/>
      </c>
      <c r="AP85" s="363">
        <f>IF(VLOOKUP(AF85,Análisis!$B:$AN,27,0)=0,"Sin cambios",VLOOKUP(AF85,Análisis!$B:$AN,27,0))</f>
        <v/>
      </c>
      <c r="AQ85" s="364">
        <f>VLOOKUP(AF85,Análisis!$B:$AN,17,0)</f>
        <v/>
      </c>
      <c r="AR85" s="363">
        <f>VLOOKUP(AF85,Análisis!$B:$AN,18,0)</f>
        <v/>
      </c>
      <c r="AS85" s="364">
        <f>VLOOKUP(AF85,Análisis!$B:$AN,19,0)</f>
        <v/>
      </c>
      <c r="AT85" s="363">
        <f>VLOOKUP(AF85,Análisis!$B:$AN,20,0)</f>
        <v/>
      </c>
      <c r="AU85" s="365">
        <f>VLOOKUP(AF85,Análisis!$B:$AN,21,0)</f>
        <v/>
      </c>
      <c r="AV85" s="362">
        <f>VLOOKUP(AF85,Análisis!$B:$AN,28,0)</f>
        <v/>
      </c>
      <c r="AW85" s="363">
        <f>IF(VLOOKUP(AF85,Análisis!$B:$AN,39,0)=0,"Sin cambios",VLOOKUP(AF85,Análisis!$B:$AN,39,0))</f>
        <v/>
      </c>
      <c r="AX85" s="364">
        <f>VLOOKUP(AF85,Análisis!$B:$AN,29,0)</f>
        <v/>
      </c>
      <c r="AY85" s="363">
        <f>VLOOKUP(AF85,Análisis!$B:$AN,30,0)</f>
        <v/>
      </c>
      <c r="AZ85" s="364">
        <f>VLOOKUP(AF85,Análisis!$B:$AN,31,0)</f>
        <v/>
      </c>
      <c r="BA85" s="363">
        <f>VLOOKUP(AF85,Análisis!$B:$AN,32,0)</f>
        <v/>
      </c>
      <c r="BB85" s="365">
        <f>VLOOKUP(AF85,Análisis!$B:$AN,33,0)</f>
        <v/>
      </c>
    </row>
    <row r="86" spans="1:77">
      <c r="B86" s="72" t="n">
        <v>237</v>
      </c>
      <c r="C86" s="72" t="s">
        <v>60</v>
      </c>
      <c r="D86" s="126">
        <f>IF(VLOOKUP(Resumen!C86,Análisis!B:AN,15,0)=0,"Sin cambios",VLOOKUP(Resumen!C86,Análisis!B:AN,15,0))</f>
        <v/>
      </c>
      <c r="E86" s="126">
        <f>IF(VLOOKUP(Resumen!C86,Análisis!B:AN,27,0)=0,"Sin cambios",VLOOKUP(Resumen!C86,Análisis!B:AN,27,0))</f>
        <v/>
      </c>
      <c r="F86" s="126">
        <f>IF(VLOOKUP(Resumen!C86,Análisis!B:AN,39,0)=0,"Sin cambios",VLOOKUP(Resumen!C86,Análisis!B:AN,39,0))</f>
        <v/>
      </c>
      <c r="G86" s="126">
        <f>IF(AND(D86="Sin cambios",E86="Sin cambios",F86="Sin cambios")=TRUE,"No","Sí")</f>
        <v/>
      </c>
      <c r="AF86" s="127" t="s">
        <v>69</v>
      </c>
      <c r="AG86" s="129" t="s">
        <v>227</v>
      </c>
      <c r="AH86" s="362">
        <f>VLOOKUP(AF86,Análisis!$B:$AN,4,0)</f>
        <v/>
      </c>
      <c r="AI86" s="363">
        <f>IF(VLOOKUP(AF86,Análisis!$B:$AN,15,0)=0,"Sin cambios",VLOOKUP(AF86,Análisis!$B:$AN,15,0))</f>
        <v/>
      </c>
      <c r="AJ86" s="364">
        <f>VLOOKUP(AF86,Análisis!$B:$AN,5,0)</f>
        <v/>
      </c>
      <c r="AK86" s="363">
        <f>VLOOKUP(AF86,Análisis!$B:$AN,6,0)</f>
        <v/>
      </c>
      <c r="AL86" s="364">
        <f>VLOOKUP(AF86,Análisis!$B:$AN,7,0)</f>
        <v/>
      </c>
      <c r="AM86" s="363">
        <f>VLOOKUP(AF86,Análisis!$B:$AN,8,0)</f>
        <v/>
      </c>
      <c r="AN86" s="365">
        <f>VLOOKUP(AF86,Análisis!$B:$AN,9,0)</f>
        <v/>
      </c>
      <c r="AO86" s="362">
        <f>VLOOKUP(AF86,Análisis!$B:$AN,16,0)</f>
        <v/>
      </c>
      <c r="AP86" s="363">
        <f>IF(VLOOKUP(AF86,Análisis!$B:$AN,27,0)=0,"Sin cambios",VLOOKUP(AF86,Análisis!$B:$AN,27,0))</f>
        <v/>
      </c>
      <c r="AQ86" s="364">
        <f>VLOOKUP(AF86,Análisis!$B:$AN,17,0)</f>
        <v/>
      </c>
      <c r="AR86" s="363">
        <f>VLOOKUP(AF86,Análisis!$B:$AN,18,0)</f>
        <v/>
      </c>
      <c r="AS86" s="364">
        <f>VLOOKUP(AF86,Análisis!$B:$AN,19,0)</f>
        <v/>
      </c>
      <c r="AT86" s="363">
        <f>VLOOKUP(AF86,Análisis!$B:$AN,20,0)</f>
        <v/>
      </c>
      <c r="AU86" s="365">
        <f>VLOOKUP(AF86,Análisis!$B:$AN,21,0)</f>
        <v/>
      </c>
      <c r="AV86" s="362">
        <f>VLOOKUP(AF86,Análisis!$B:$AN,28,0)</f>
        <v/>
      </c>
      <c r="AW86" s="363">
        <f>IF(VLOOKUP(AF86,Análisis!$B:$AN,39,0)=0,"Sin cambios",VLOOKUP(AF86,Análisis!$B:$AN,39,0))</f>
        <v/>
      </c>
      <c r="AX86" s="364">
        <f>VLOOKUP(AF86,Análisis!$B:$AN,29,0)</f>
        <v/>
      </c>
      <c r="AY86" s="363">
        <f>VLOOKUP(AF86,Análisis!$B:$AN,30,0)</f>
        <v/>
      </c>
      <c r="AZ86" s="364">
        <f>VLOOKUP(AF86,Análisis!$B:$AN,31,0)</f>
        <v/>
      </c>
      <c r="BA86" s="363">
        <f>VLOOKUP(AF86,Análisis!$B:$AN,32,0)</f>
        <v/>
      </c>
      <c r="BB86" s="365">
        <f>VLOOKUP(AF86,Análisis!$B:$AN,33,0)</f>
        <v/>
      </c>
    </row>
    <row r="87" spans="1:77">
      <c r="B87" s="72" t="n">
        <v>216</v>
      </c>
      <c r="C87" s="72" t="s">
        <v>59</v>
      </c>
      <c r="D87" s="126">
        <f>IF(VLOOKUP(Resumen!C87,Análisis!B:AN,15,0)=0,"Sin cambios",VLOOKUP(Resumen!C87,Análisis!B:AN,15,0))</f>
        <v/>
      </c>
      <c r="E87" s="126">
        <f>IF(VLOOKUP(Resumen!C87,Análisis!B:AN,27,0)=0,"Sin cambios",VLOOKUP(Resumen!C87,Análisis!B:AN,27,0))</f>
        <v/>
      </c>
      <c r="F87" s="126">
        <f>IF(VLOOKUP(Resumen!C87,Análisis!B:AN,39,0)=0,"Sin cambios",VLOOKUP(Resumen!C87,Análisis!B:AN,39,0))</f>
        <v/>
      </c>
      <c r="G87" s="126">
        <f>IF(AND(D87="Sin cambios",E87="Sin cambios",F87="Sin cambios")=TRUE,"No","Sí")</f>
        <v/>
      </c>
      <c r="AF87" s="127" t="s">
        <v>76</v>
      </c>
      <c r="AG87" s="129" t="s">
        <v>239</v>
      </c>
      <c r="AH87" s="362">
        <f>VLOOKUP(AF87,Análisis!$B:$AN,4,0)</f>
        <v/>
      </c>
      <c r="AI87" s="363">
        <f>IF(VLOOKUP(AF87,Análisis!$B:$AN,15,0)=0,"Sin cambios",VLOOKUP(AF87,Análisis!$B:$AN,15,0))</f>
        <v/>
      </c>
      <c r="AJ87" s="364">
        <f>VLOOKUP(AF87,Análisis!$B:$AN,5,0)</f>
        <v/>
      </c>
      <c r="AK87" s="363">
        <f>VLOOKUP(AF87,Análisis!$B:$AN,6,0)</f>
        <v/>
      </c>
      <c r="AL87" s="364">
        <f>VLOOKUP(AF87,Análisis!$B:$AN,7,0)</f>
        <v/>
      </c>
      <c r="AM87" s="363">
        <f>VLOOKUP(AF87,Análisis!$B:$AN,8,0)</f>
        <v/>
      </c>
      <c r="AN87" s="365">
        <f>VLOOKUP(AF87,Análisis!$B:$AN,9,0)</f>
        <v/>
      </c>
      <c r="AO87" s="362">
        <f>VLOOKUP(AF87,Análisis!$B:$AN,16,0)</f>
        <v/>
      </c>
      <c r="AP87" s="363">
        <f>IF(VLOOKUP(AF87,Análisis!$B:$AN,27,0)=0,"Sin cambios",VLOOKUP(AF87,Análisis!$B:$AN,27,0))</f>
        <v/>
      </c>
      <c r="AQ87" s="364">
        <f>VLOOKUP(AF87,Análisis!$B:$AN,17,0)</f>
        <v/>
      </c>
      <c r="AR87" s="363">
        <f>VLOOKUP(AF87,Análisis!$B:$AN,18,0)</f>
        <v/>
      </c>
      <c r="AS87" s="364">
        <f>VLOOKUP(AF87,Análisis!$B:$AN,19,0)</f>
        <v/>
      </c>
      <c r="AT87" s="363">
        <f>VLOOKUP(AF87,Análisis!$B:$AN,20,0)</f>
        <v/>
      </c>
      <c r="AU87" s="365">
        <f>VLOOKUP(AF87,Análisis!$B:$AN,21,0)</f>
        <v/>
      </c>
      <c r="AV87" s="362">
        <f>VLOOKUP(AF87,Análisis!$B:$AN,28,0)</f>
        <v/>
      </c>
      <c r="AW87" s="363">
        <f>IF(VLOOKUP(AF87,Análisis!$B:$AN,39,0)=0,"Sin cambios",VLOOKUP(AF87,Análisis!$B:$AN,39,0))</f>
        <v/>
      </c>
      <c r="AX87" s="364">
        <f>VLOOKUP(AF87,Análisis!$B:$AN,29,0)</f>
        <v/>
      </c>
      <c r="AY87" s="363">
        <f>VLOOKUP(AF87,Análisis!$B:$AN,30,0)</f>
        <v/>
      </c>
      <c r="AZ87" s="364">
        <f>VLOOKUP(AF87,Análisis!$B:$AN,31,0)</f>
        <v/>
      </c>
      <c r="BA87" s="363">
        <f>VLOOKUP(AF87,Análisis!$B:$AN,32,0)</f>
        <v/>
      </c>
      <c r="BB87" s="365">
        <f>VLOOKUP(AF87,Análisis!$B:$AN,33,0)</f>
        <v/>
      </c>
    </row>
    <row r="88" spans="1:77">
      <c r="B88" s="72" t="n">
        <v>67</v>
      </c>
      <c r="C88" s="72" t="s">
        <v>78</v>
      </c>
      <c r="D88" s="126">
        <f>IF(VLOOKUP(Resumen!C88,Análisis!B:AN,15,0)=0,"Sin cambios",VLOOKUP(Resumen!C88,Análisis!B:AN,15,0))</f>
        <v/>
      </c>
      <c r="E88" s="126">
        <f>IF(VLOOKUP(Resumen!C88,Análisis!B:AN,27,0)=0,"Sin cambios",VLOOKUP(Resumen!C88,Análisis!B:AN,27,0))</f>
        <v/>
      </c>
      <c r="F88" s="126">
        <f>IF(VLOOKUP(Resumen!C88,Análisis!B:AN,39,0)=0,"Sin cambios",VLOOKUP(Resumen!C88,Análisis!B:AN,39,0))</f>
        <v/>
      </c>
      <c r="G88" s="126">
        <f>IF(AND(D88="Sin cambios",E88="Sin cambios",F88="Sin cambios")=TRUE,"No","Sí")</f>
        <v/>
      </c>
      <c r="AF88" s="127" t="s">
        <v>77</v>
      </c>
      <c r="AG88" s="129" t="s">
        <v>239</v>
      </c>
      <c r="AH88" s="362">
        <f>VLOOKUP(AF88,Análisis!$B:$AN,4,0)</f>
        <v/>
      </c>
      <c r="AI88" s="363">
        <f>IF(VLOOKUP(AF88,Análisis!$B:$AN,15,0)=0,"Sin cambios",VLOOKUP(AF88,Análisis!$B:$AN,15,0))</f>
        <v/>
      </c>
      <c r="AJ88" s="364">
        <f>VLOOKUP(AF88,Análisis!$B:$AN,5,0)</f>
        <v/>
      </c>
      <c r="AK88" s="363">
        <f>VLOOKUP(AF88,Análisis!$B:$AN,6,0)</f>
        <v/>
      </c>
      <c r="AL88" s="364">
        <f>VLOOKUP(AF88,Análisis!$B:$AN,7,0)</f>
        <v/>
      </c>
      <c r="AM88" s="363">
        <f>VLOOKUP(AF88,Análisis!$B:$AN,8,0)</f>
        <v/>
      </c>
      <c r="AN88" s="365">
        <f>VLOOKUP(AF88,Análisis!$B:$AN,9,0)</f>
        <v/>
      </c>
      <c r="AO88" s="362">
        <f>VLOOKUP(AF88,Análisis!$B:$AN,16,0)</f>
        <v/>
      </c>
      <c r="AP88" s="363">
        <f>IF(VLOOKUP(AF88,Análisis!$B:$AN,27,0)=0,"Sin cambios",VLOOKUP(AF88,Análisis!$B:$AN,27,0))</f>
        <v/>
      </c>
      <c r="AQ88" s="364">
        <f>VLOOKUP(AF88,Análisis!$B:$AN,17,0)</f>
        <v/>
      </c>
      <c r="AR88" s="363">
        <f>VLOOKUP(AF88,Análisis!$B:$AN,18,0)</f>
        <v/>
      </c>
      <c r="AS88" s="364">
        <f>VLOOKUP(AF88,Análisis!$B:$AN,19,0)</f>
        <v/>
      </c>
      <c r="AT88" s="363">
        <f>VLOOKUP(AF88,Análisis!$B:$AN,20,0)</f>
        <v/>
      </c>
      <c r="AU88" s="365">
        <f>VLOOKUP(AF88,Análisis!$B:$AN,21,0)</f>
        <v/>
      </c>
      <c r="AV88" s="362">
        <f>VLOOKUP(AF88,Análisis!$B:$AN,28,0)</f>
        <v/>
      </c>
      <c r="AW88" s="363">
        <f>IF(VLOOKUP(AF88,Análisis!$B:$AN,39,0)=0,"Sin cambios",VLOOKUP(AF88,Análisis!$B:$AN,39,0))</f>
        <v/>
      </c>
      <c r="AX88" s="364">
        <f>VLOOKUP(AF88,Análisis!$B:$AN,29,0)</f>
        <v/>
      </c>
      <c r="AY88" s="363">
        <f>VLOOKUP(AF88,Análisis!$B:$AN,30,0)</f>
        <v/>
      </c>
      <c r="AZ88" s="364">
        <f>VLOOKUP(AF88,Análisis!$B:$AN,31,0)</f>
        <v/>
      </c>
      <c r="BA88" s="363">
        <f>VLOOKUP(AF88,Análisis!$B:$AN,32,0)</f>
        <v/>
      </c>
      <c r="BB88" s="365">
        <f>VLOOKUP(AF88,Análisis!$B:$AN,33,0)</f>
        <v/>
      </c>
    </row>
    <row r="89" spans="1:77">
      <c r="B89" s="72" t="n">
        <v>40</v>
      </c>
      <c r="C89" s="72" t="s">
        <v>56</v>
      </c>
      <c r="D89" s="126">
        <f>IF(VLOOKUP(Resumen!C89,Análisis!B:AN,15,0)=0,"Sin cambios",VLOOKUP(Resumen!C89,Análisis!B:AN,15,0))</f>
        <v/>
      </c>
      <c r="E89" s="126">
        <f>IF(VLOOKUP(Resumen!C89,Análisis!B:AN,27,0)=0,"Sin cambios",VLOOKUP(Resumen!C89,Análisis!B:AN,27,0))</f>
        <v/>
      </c>
      <c r="F89" s="126">
        <f>IF(VLOOKUP(Resumen!C89,Análisis!B:AN,39,0)=0,"Sin cambios",VLOOKUP(Resumen!C89,Análisis!B:AN,39,0))</f>
        <v/>
      </c>
      <c r="G89" s="126">
        <f>IF(AND(D89="Sin cambios",E89="Sin cambios",F89="Sin cambios")=TRUE,"No","Sí")</f>
        <v/>
      </c>
      <c r="AF89" s="127" t="s">
        <v>78</v>
      </c>
      <c r="AG89" s="129" t="s">
        <v>239</v>
      </c>
      <c r="AH89" s="362">
        <f>VLOOKUP(AF89,Análisis!$B:$AN,4,0)</f>
        <v/>
      </c>
      <c r="AI89" s="363">
        <f>IF(VLOOKUP(AF89,Análisis!$B:$AN,15,0)=0,"Sin cambios",VLOOKUP(AF89,Análisis!$B:$AN,15,0))</f>
        <v/>
      </c>
      <c r="AJ89" s="364">
        <f>VLOOKUP(AF89,Análisis!$B:$AN,5,0)</f>
        <v/>
      </c>
      <c r="AK89" s="363">
        <f>VLOOKUP(AF89,Análisis!$B:$AN,6,0)</f>
        <v/>
      </c>
      <c r="AL89" s="364">
        <f>VLOOKUP(AF89,Análisis!$B:$AN,7,0)</f>
        <v/>
      </c>
      <c r="AM89" s="363">
        <f>VLOOKUP(AF89,Análisis!$B:$AN,8,0)</f>
        <v/>
      </c>
      <c r="AN89" s="365">
        <f>VLOOKUP(AF89,Análisis!$B:$AN,9,0)</f>
        <v/>
      </c>
      <c r="AO89" s="362">
        <f>VLOOKUP(AF89,Análisis!$B:$AN,16,0)</f>
        <v/>
      </c>
      <c r="AP89" s="363">
        <f>IF(VLOOKUP(AF89,Análisis!$B:$AN,27,0)=0,"Sin cambios",VLOOKUP(AF89,Análisis!$B:$AN,27,0))</f>
        <v/>
      </c>
      <c r="AQ89" s="364">
        <f>VLOOKUP(AF89,Análisis!$B:$AN,17,0)</f>
        <v/>
      </c>
      <c r="AR89" s="363">
        <f>VLOOKUP(AF89,Análisis!$B:$AN,18,0)</f>
        <v/>
      </c>
      <c r="AS89" s="364">
        <f>VLOOKUP(AF89,Análisis!$B:$AN,19,0)</f>
        <v/>
      </c>
      <c r="AT89" s="363">
        <f>VLOOKUP(AF89,Análisis!$B:$AN,20,0)</f>
        <v/>
      </c>
      <c r="AU89" s="365">
        <f>VLOOKUP(AF89,Análisis!$B:$AN,21,0)</f>
        <v/>
      </c>
      <c r="AV89" s="362">
        <f>VLOOKUP(AF89,Análisis!$B:$AN,28,0)</f>
        <v/>
      </c>
      <c r="AW89" s="363">
        <f>IF(VLOOKUP(AF89,Análisis!$B:$AN,39,0)=0,"Sin cambios",VLOOKUP(AF89,Análisis!$B:$AN,39,0))</f>
        <v/>
      </c>
      <c r="AX89" s="364">
        <f>VLOOKUP(AF89,Análisis!$B:$AN,29,0)</f>
        <v/>
      </c>
      <c r="AY89" s="363">
        <f>VLOOKUP(AF89,Análisis!$B:$AN,30,0)</f>
        <v/>
      </c>
      <c r="AZ89" s="364">
        <f>VLOOKUP(AF89,Análisis!$B:$AN,31,0)</f>
        <v/>
      </c>
      <c r="BA89" s="363">
        <f>VLOOKUP(AF89,Análisis!$B:$AN,32,0)</f>
        <v/>
      </c>
      <c r="BB89" s="365">
        <f>VLOOKUP(AF89,Análisis!$B:$AN,33,0)</f>
        <v/>
      </c>
    </row>
    <row r="90" spans="1:77">
      <c r="B90" s="72" t="n">
        <v>180</v>
      </c>
      <c r="C90" s="72" t="s">
        <v>92</v>
      </c>
      <c r="D90" s="126">
        <f>IF(VLOOKUP(Resumen!C90,Análisis!B:AN,15,0)=0,"Sin cambios",VLOOKUP(Resumen!C90,Análisis!B:AN,15,0))</f>
        <v/>
      </c>
      <c r="E90" s="126">
        <f>IF(VLOOKUP(Resumen!C90,Análisis!B:AN,27,0)=0,"Sin cambios",VLOOKUP(Resumen!C90,Análisis!B:AN,27,0))</f>
        <v/>
      </c>
      <c r="F90" s="126">
        <f>IF(VLOOKUP(Resumen!C90,Análisis!B:AN,39,0)=0,"Sin cambios",VLOOKUP(Resumen!C90,Análisis!B:AN,39,0))</f>
        <v/>
      </c>
      <c r="G90" s="126">
        <f>IF(AND(D90="Sin cambios",E90="Sin cambios",F90="Sin cambios")=TRUE,"No","Sí")</f>
        <v/>
      </c>
      <c r="AF90" s="127" t="s">
        <v>79</v>
      </c>
      <c r="AG90" s="129" t="s">
        <v>239</v>
      </c>
      <c r="AH90" s="362">
        <f>VLOOKUP(AF90,Análisis!$B:$AN,4,0)</f>
        <v/>
      </c>
      <c r="AI90" s="363">
        <f>IF(VLOOKUP(AF90,Análisis!$B:$AN,15,0)=0,"Sin cambios",VLOOKUP(AF90,Análisis!$B:$AN,15,0))</f>
        <v/>
      </c>
      <c r="AJ90" s="364">
        <f>VLOOKUP(AF90,Análisis!$B:$AN,5,0)</f>
        <v/>
      </c>
      <c r="AK90" s="363">
        <f>VLOOKUP(AF90,Análisis!$B:$AN,6,0)</f>
        <v/>
      </c>
      <c r="AL90" s="364">
        <f>VLOOKUP(AF90,Análisis!$B:$AN,7,0)</f>
        <v/>
      </c>
      <c r="AM90" s="363">
        <f>VLOOKUP(AF90,Análisis!$B:$AN,8,0)</f>
        <v/>
      </c>
      <c r="AN90" s="365">
        <f>VLOOKUP(AF90,Análisis!$B:$AN,9,0)</f>
        <v/>
      </c>
      <c r="AO90" s="362">
        <f>VLOOKUP(AF90,Análisis!$B:$AN,16,0)</f>
        <v/>
      </c>
      <c r="AP90" s="363">
        <f>IF(VLOOKUP(AF90,Análisis!$B:$AN,27,0)=0,"Sin cambios",VLOOKUP(AF90,Análisis!$B:$AN,27,0))</f>
        <v/>
      </c>
      <c r="AQ90" s="364">
        <f>VLOOKUP(AF90,Análisis!$B:$AN,17,0)</f>
        <v/>
      </c>
      <c r="AR90" s="363">
        <f>VLOOKUP(AF90,Análisis!$B:$AN,18,0)</f>
        <v/>
      </c>
      <c r="AS90" s="364">
        <f>VLOOKUP(AF90,Análisis!$B:$AN,19,0)</f>
        <v/>
      </c>
      <c r="AT90" s="363">
        <f>VLOOKUP(AF90,Análisis!$B:$AN,20,0)</f>
        <v/>
      </c>
      <c r="AU90" s="365">
        <f>VLOOKUP(AF90,Análisis!$B:$AN,21,0)</f>
        <v/>
      </c>
      <c r="AV90" s="362">
        <f>VLOOKUP(AF90,Análisis!$B:$AN,28,0)</f>
        <v/>
      </c>
      <c r="AW90" s="363">
        <f>IF(VLOOKUP(AF90,Análisis!$B:$AN,39,0)=0,"Sin cambios",VLOOKUP(AF90,Análisis!$B:$AN,39,0))</f>
        <v/>
      </c>
      <c r="AX90" s="364">
        <f>VLOOKUP(AF90,Análisis!$B:$AN,29,0)</f>
        <v/>
      </c>
      <c r="AY90" s="363">
        <f>VLOOKUP(AF90,Análisis!$B:$AN,30,0)</f>
        <v/>
      </c>
      <c r="AZ90" s="364">
        <f>VLOOKUP(AF90,Análisis!$B:$AN,31,0)</f>
        <v/>
      </c>
      <c r="BA90" s="363">
        <f>VLOOKUP(AF90,Análisis!$B:$AN,32,0)</f>
        <v/>
      </c>
      <c r="BB90" s="365">
        <f>VLOOKUP(AF90,Análisis!$B:$AN,33,0)</f>
        <v/>
      </c>
    </row>
    <row r="91" spans="1:77">
      <c r="B91" s="72" t="n">
        <v>161</v>
      </c>
      <c r="C91" s="72" t="s">
        <v>87</v>
      </c>
      <c r="D91" s="126">
        <f>IF(VLOOKUP(Resumen!C91,Análisis!B:AN,15,0)=0,"Sin cambios",VLOOKUP(Resumen!C91,Análisis!B:AN,15,0))</f>
        <v/>
      </c>
      <c r="E91" s="126">
        <f>IF(VLOOKUP(Resumen!C91,Análisis!B:AN,27,0)=0,"Sin cambios",VLOOKUP(Resumen!C91,Análisis!B:AN,27,0))</f>
        <v/>
      </c>
      <c r="F91" s="126">
        <f>IF(VLOOKUP(Resumen!C91,Análisis!B:AN,39,0)=0,"Sin cambios",VLOOKUP(Resumen!C91,Análisis!B:AN,39,0))</f>
        <v/>
      </c>
      <c r="G91" s="126">
        <f>IF(AND(D91="Sin cambios",E91="Sin cambios",F91="Sin cambios")=TRUE,"No","Sí")</f>
        <v/>
      </c>
      <c r="AF91" s="127" t="s">
        <v>81</v>
      </c>
      <c r="AG91" s="129" t="s">
        <v>239</v>
      </c>
      <c r="AH91" s="362">
        <f>VLOOKUP(AF91,Análisis!$B:$AN,4,0)</f>
        <v/>
      </c>
      <c r="AI91" s="363">
        <f>IF(VLOOKUP(AF91,Análisis!$B:$AN,15,0)=0,"Sin cambios",VLOOKUP(AF91,Análisis!$B:$AN,15,0))</f>
        <v/>
      </c>
      <c r="AJ91" s="364">
        <f>VLOOKUP(AF91,Análisis!$B:$AN,5,0)</f>
        <v/>
      </c>
      <c r="AK91" s="363">
        <f>VLOOKUP(AF91,Análisis!$B:$AN,6,0)</f>
        <v/>
      </c>
      <c r="AL91" s="364">
        <f>VLOOKUP(AF91,Análisis!$B:$AN,7,0)</f>
        <v/>
      </c>
      <c r="AM91" s="363">
        <f>VLOOKUP(AF91,Análisis!$B:$AN,8,0)</f>
        <v/>
      </c>
      <c r="AN91" s="365">
        <f>VLOOKUP(AF91,Análisis!$B:$AN,9,0)</f>
        <v/>
      </c>
      <c r="AO91" s="362">
        <f>VLOOKUP(AF91,Análisis!$B:$AN,16,0)</f>
        <v/>
      </c>
      <c r="AP91" s="363">
        <f>IF(VLOOKUP(AF91,Análisis!$B:$AN,27,0)=0,"Sin cambios",VLOOKUP(AF91,Análisis!$B:$AN,27,0))</f>
        <v/>
      </c>
      <c r="AQ91" s="364">
        <f>VLOOKUP(AF91,Análisis!$B:$AN,17,0)</f>
        <v/>
      </c>
      <c r="AR91" s="363">
        <f>VLOOKUP(AF91,Análisis!$B:$AN,18,0)</f>
        <v/>
      </c>
      <c r="AS91" s="364">
        <f>VLOOKUP(AF91,Análisis!$B:$AN,19,0)</f>
        <v/>
      </c>
      <c r="AT91" s="363">
        <f>VLOOKUP(AF91,Análisis!$B:$AN,20,0)</f>
        <v/>
      </c>
      <c r="AU91" s="365">
        <f>VLOOKUP(AF91,Análisis!$B:$AN,21,0)</f>
        <v/>
      </c>
      <c r="AV91" s="362">
        <f>VLOOKUP(AF91,Análisis!$B:$AN,28,0)</f>
        <v/>
      </c>
      <c r="AW91" s="363">
        <f>IF(VLOOKUP(AF91,Análisis!$B:$AN,39,0)=0,"Sin cambios",VLOOKUP(AF91,Análisis!$B:$AN,39,0))</f>
        <v/>
      </c>
      <c r="AX91" s="364">
        <f>VLOOKUP(AF91,Análisis!$B:$AN,29,0)</f>
        <v/>
      </c>
      <c r="AY91" s="363">
        <f>VLOOKUP(AF91,Análisis!$B:$AN,30,0)</f>
        <v/>
      </c>
      <c r="AZ91" s="364">
        <f>VLOOKUP(AF91,Análisis!$B:$AN,31,0)</f>
        <v/>
      </c>
      <c r="BA91" s="363">
        <f>VLOOKUP(AF91,Análisis!$B:$AN,32,0)</f>
        <v/>
      </c>
      <c r="BB91" s="365">
        <f>VLOOKUP(AF91,Análisis!$B:$AN,33,0)</f>
        <v/>
      </c>
    </row>
    <row r="92" spans="1:77">
      <c r="B92" s="72" t="n">
        <v>122</v>
      </c>
      <c r="C92" s="72" t="s">
        <v>99</v>
      </c>
      <c r="D92" s="126">
        <f>IF(VLOOKUP(Resumen!C92,Análisis!B:AN,15,0)=0,"Sin cambios",VLOOKUP(Resumen!C92,Análisis!B:AN,15,0))</f>
        <v/>
      </c>
      <c r="E92" s="126">
        <f>IF(VLOOKUP(Resumen!C92,Análisis!B:AN,27,0)=0,"Sin cambios",VLOOKUP(Resumen!C92,Análisis!B:AN,27,0))</f>
        <v/>
      </c>
      <c r="F92" s="126">
        <f>IF(VLOOKUP(Resumen!C92,Análisis!B:AN,39,0)=0,"Sin cambios",VLOOKUP(Resumen!C92,Análisis!B:AN,39,0))</f>
        <v/>
      </c>
      <c r="G92" s="126">
        <f>IF(AND(D92="Sin cambios",E92="Sin cambios",F92="Sin cambios")=TRUE,"No","Sí")</f>
        <v/>
      </c>
      <c r="AF92" s="127" t="s">
        <v>87</v>
      </c>
      <c r="AG92" s="129" t="s">
        <v>227</v>
      </c>
      <c r="AH92" s="362">
        <f>VLOOKUP(AF92,Análisis!$B:$AN,4,0)</f>
        <v/>
      </c>
      <c r="AI92" s="363">
        <f>IF(VLOOKUP(AF92,Análisis!$B:$AN,15,0)=0,"Sin cambios",VLOOKUP(AF92,Análisis!$B:$AN,15,0))</f>
        <v/>
      </c>
      <c r="AJ92" s="364">
        <f>VLOOKUP(AF92,Análisis!$B:$AN,5,0)</f>
        <v/>
      </c>
      <c r="AK92" s="363">
        <f>VLOOKUP(AF92,Análisis!$B:$AN,6,0)</f>
        <v/>
      </c>
      <c r="AL92" s="364">
        <f>VLOOKUP(AF92,Análisis!$B:$AN,7,0)</f>
        <v/>
      </c>
      <c r="AM92" s="363">
        <f>VLOOKUP(AF92,Análisis!$B:$AN,8,0)</f>
        <v/>
      </c>
      <c r="AN92" s="365">
        <f>VLOOKUP(AF92,Análisis!$B:$AN,9,0)</f>
        <v/>
      </c>
      <c r="AO92" s="362">
        <f>VLOOKUP(AF92,Análisis!$B:$AN,16,0)</f>
        <v/>
      </c>
      <c r="AP92" s="363">
        <f>IF(VLOOKUP(AF92,Análisis!$B:$AN,27,0)=0,"Sin cambios",VLOOKUP(AF92,Análisis!$B:$AN,27,0))</f>
        <v/>
      </c>
      <c r="AQ92" s="364">
        <f>VLOOKUP(AF92,Análisis!$B:$AN,17,0)</f>
        <v/>
      </c>
      <c r="AR92" s="363">
        <f>VLOOKUP(AF92,Análisis!$B:$AN,18,0)</f>
        <v/>
      </c>
      <c r="AS92" s="364">
        <f>VLOOKUP(AF92,Análisis!$B:$AN,19,0)</f>
        <v/>
      </c>
      <c r="AT92" s="363">
        <f>VLOOKUP(AF92,Análisis!$B:$AN,20,0)</f>
        <v/>
      </c>
      <c r="AU92" s="365">
        <f>VLOOKUP(AF92,Análisis!$B:$AN,21,0)</f>
        <v/>
      </c>
      <c r="AV92" s="362">
        <f>VLOOKUP(AF92,Análisis!$B:$AN,28,0)</f>
        <v/>
      </c>
      <c r="AW92" s="363">
        <f>IF(VLOOKUP(AF92,Análisis!$B:$AN,39,0)=0,"Sin cambios",VLOOKUP(AF92,Análisis!$B:$AN,39,0))</f>
        <v/>
      </c>
      <c r="AX92" s="364">
        <f>VLOOKUP(AF92,Análisis!$B:$AN,29,0)</f>
        <v/>
      </c>
      <c r="AY92" s="363">
        <f>VLOOKUP(AF92,Análisis!$B:$AN,30,0)</f>
        <v/>
      </c>
      <c r="AZ92" s="364">
        <f>VLOOKUP(AF92,Análisis!$B:$AN,31,0)</f>
        <v/>
      </c>
      <c r="BA92" s="363">
        <f>VLOOKUP(AF92,Análisis!$B:$AN,32,0)</f>
        <v/>
      </c>
      <c r="BB92" s="365">
        <f>VLOOKUP(AF92,Análisis!$B:$AN,33,0)</f>
        <v/>
      </c>
    </row>
    <row r="93" spans="1:77">
      <c r="B93" s="72" t="n">
        <v>246</v>
      </c>
      <c r="C93" s="72" t="s">
        <v>62</v>
      </c>
      <c r="D93" s="126">
        <f>IF(VLOOKUP(Resumen!C93,Análisis!B:AN,15,0)=0,"Sin cambios",VLOOKUP(Resumen!C93,Análisis!B:AN,15,0))</f>
        <v/>
      </c>
      <c r="E93" s="126">
        <f>IF(VLOOKUP(Resumen!C93,Análisis!B:AN,27,0)=0,"Sin cambios",VLOOKUP(Resumen!C93,Análisis!B:AN,27,0))</f>
        <v/>
      </c>
      <c r="F93" s="126">
        <f>IF(VLOOKUP(Resumen!C93,Análisis!B:AN,39,0)=0,"Sin cambios",VLOOKUP(Resumen!C93,Análisis!B:AN,39,0))</f>
        <v/>
      </c>
      <c r="G93" s="126">
        <f>IF(AND(D93="Sin cambios",E93="Sin cambios",F93="Sin cambios")=TRUE,"No","Sí")</f>
        <v/>
      </c>
      <c r="AF93" s="127" t="s">
        <v>88</v>
      </c>
      <c r="AG93" s="129" t="s">
        <v>227</v>
      </c>
      <c r="AH93" s="362">
        <f>VLOOKUP(AF93,Análisis!$B:$AN,4,0)</f>
        <v/>
      </c>
      <c r="AI93" s="363">
        <f>IF(VLOOKUP(AF93,Análisis!$B:$AN,15,0)=0,"Sin cambios",VLOOKUP(AF93,Análisis!$B:$AN,15,0))</f>
        <v/>
      </c>
      <c r="AJ93" s="364">
        <f>VLOOKUP(AF93,Análisis!$B:$AN,5,0)</f>
        <v/>
      </c>
      <c r="AK93" s="363">
        <f>VLOOKUP(AF93,Análisis!$B:$AN,6,0)</f>
        <v/>
      </c>
      <c r="AL93" s="364">
        <f>VLOOKUP(AF93,Análisis!$B:$AN,7,0)</f>
        <v/>
      </c>
      <c r="AM93" s="363">
        <f>VLOOKUP(AF93,Análisis!$B:$AN,8,0)</f>
        <v/>
      </c>
      <c r="AN93" s="365">
        <f>VLOOKUP(AF93,Análisis!$B:$AN,9,0)</f>
        <v/>
      </c>
      <c r="AO93" s="362">
        <f>VLOOKUP(AF93,Análisis!$B:$AN,16,0)</f>
        <v/>
      </c>
      <c r="AP93" s="363">
        <f>IF(VLOOKUP(AF93,Análisis!$B:$AN,27,0)=0,"Sin cambios",VLOOKUP(AF93,Análisis!$B:$AN,27,0))</f>
        <v/>
      </c>
      <c r="AQ93" s="364">
        <f>VLOOKUP(AF93,Análisis!$B:$AN,17,0)</f>
        <v/>
      </c>
      <c r="AR93" s="363">
        <f>VLOOKUP(AF93,Análisis!$B:$AN,18,0)</f>
        <v/>
      </c>
      <c r="AS93" s="364">
        <f>VLOOKUP(AF93,Análisis!$B:$AN,19,0)</f>
        <v/>
      </c>
      <c r="AT93" s="363">
        <f>VLOOKUP(AF93,Análisis!$B:$AN,20,0)</f>
        <v/>
      </c>
      <c r="AU93" s="365">
        <f>VLOOKUP(AF93,Análisis!$B:$AN,21,0)</f>
        <v/>
      </c>
      <c r="AV93" s="362">
        <f>VLOOKUP(AF93,Análisis!$B:$AN,28,0)</f>
        <v/>
      </c>
      <c r="AW93" s="363">
        <f>IF(VLOOKUP(AF93,Análisis!$B:$AN,39,0)=0,"Sin cambios",VLOOKUP(AF93,Análisis!$B:$AN,39,0))</f>
        <v/>
      </c>
      <c r="AX93" s="364">
        <f>VLOOKUP(AF93,Análisis!$B:$AN,29,0)</f>
        <v/>
      </c>
      <c r="AY93" s="363">
        <f>VLOOKUP(AF93,Análisis!$B:$AN,30,0)</f>
        <v/>
      </c>
      <c r="AZ93" s="364">
        <f>VLOOKUP(AF93,Análisis!$B:$AN,31,0)</f>
        <v/>
      </c>
      <c r="BA93" s="363">
        <f>VLOOKUP(AF93,Análisis!$B:$AN,32,0)</f>
        <v/>
      </c>
      <c r="BB93" s="365">
        <f>VLOOKUP(AF93,Análisis!$B:$AN,33,0)</f>
        <v/>
      </c>
    </row>
    <row r="94" spans="1:77">
      <c r="B94" s="72" t="n">
        <v>263</v>
      </c>
      <c r="C94" s="72" t="s">
        <v>69</v>
      </c>
      <c r="D94" s="126">
        <f>IF(VLOOKUP(Resumen!C94,Análisis!B:AN,15,0)=0,"Sin cambios",VLOOKUP(Resumen!C94,Análisis!B:AN,15,0))</f>
        <v/>
      </c>
      <c r="E94" s="126">
        <f>IF(VLOOKUP(Resumen!C94,Análisis!B:AN,27,0)=0,"Sin cambios",VLOOKUP(Resumen!C94,Análisis!B:AN,27,0))</f>
        <v/>
      </c>
      <c r="F94" s="126">
        <f>IF(VLOOKUP(Resumen!C94,Análisis!B:AN,39,0)=0,"Sin cambios",VLOOKUP(Resumen!C94,Análisis!B:AN,39,0))</f>
        <v/>
      </c>
      <c r="G94" s="126">
        <f>IF(AND(D94="Sin cambios",E94="Sin cambios",F94="Sin cambios")=TRUE,"No","Sí")</f>
        <v/>
      </c>
      <c r="AF94" s="127" t="s">
        <v>91</v>
      </c>
      <c r="AG94" s="129" t="s">
        <v>227</v>
      </c>
      <c r="AH94" s="362">
        <f>VLOOKUP(AF94,Análisis!$B:$AN,4,0)</f>
        <v/>
      </c>
      <c r="AI94" s="363">
        <f>IF(VLOOKUP(AF94,Análisis!$B:$AN,15,0)=0,"Sin cambios",VLOOKUP(AF94,Análisis!$B:$AN,15,0))</f>
        <v/>
      </c>
      <c r="AJ94" s="364">
        <f>VLOOKUP(AF94,Análisis!$B:$AN,5,0)</f>
        <v/>
      </c>
      <c r="AK94" s="363">
        <f>VLOOKUP(AF94,Análisis!$B:$AN,6,0)</f>
        <v/>
      </c>
      <c r="AL94" s="364">
        <f>VLOOKUP(AF94,Análisis!$B:$AN,7,0)</f>
        <v/>
      </c>
      <c r="AM94" s="363">
        <f>VLOOKUP(AF94,Análisis!$B:$AN,8,0)</f>
        <v/>
      </c>
      <c r="AN94" s="365">
        <f>VLOOKUP(AF94,Análisis!$B:$AN,9,0)</f>
        <v/>
      </c>
      <c r="AO94" s="362">
        <f>VLOOKUP(AF94,Análisis!$B:$AN,16,0)</f>
        <v/>
      </c>
      <c r="AP94" s="363">
        <f>IF(VLOOKUP(AF94,Análisis!$B:$AN,27,0)=0,"Sin cambios",VLOOKUP(AF94,Análisis!$B:$AN,27,0))</f>
        <v/>
      </c>
      <c r="AQ94" s="364">
        <f>VLOOKUP(AF94,Análisis!$B:$AN,17,0)</f>
        <v/>
      </c>
      <c r="AR94" s="363">
        <f>VLOOKUP(AF94,Análisis!$B:$AN,18,0)</f>
        <v/>
      </c>
      <c r="AS94" s="364">
        <f>VLOOKUP(AF94,Análisis!$B:$AN,19,0)</f>
        <v/>
      </c>
      <c r="AT94" s="363">
        <f>VLOOKUP(AF94,Análisis!$B:$AN,20,0)</f>
        <v/>
      </c>
      <c r="AU94" s="365">
        <f>VLOOKUP(AF94,Análisis!$B:$AN,21,0)</f>
        <v/>
      </c>
      <c r="AV94" s="362">
        <f>VLOOKUP(AF94,Análisis!$B:$AN,28,0)</f>
        <v/>
      </c>
      <c r="AW94" s="363">
        <f>IF(VLOOKUP(AF94,Análisis!$B:$AN,39,0)=0,"Sin cambios",VLOOKUP(AF94,Análisis!$B:$AN,39,0))</f>
        <v/>
      </c>
      <c r="AX94" s="364">
        <f>VLOOKUP(AF94,Análisis!$B:$AN,29,0)</f>
        <v/>
      </c>
      <c r="AY94" s="363">
        <f>VLOOKUP(AF94,Análisis!$B:$AN,30,0)</f>
        <v/>
      </c>
      <c r="AZ94" s="364">
        <f>VLOOKUP(AF94,Análisis!$B:$AN,31,0)</f>
        <v/>
      </c>
      <c r="BA94" s="363">
        <f>VLOOKUP(AF94,Análisis!$B:$AN,32,0)</f>
        <v/>
      </c>
      <c r="BB94" s="365">
        <f>VLOOKUP(AF94,Análisis!$B:$AN,33,0)</f>
        <v/>
      </c>
    </row>
    <row r="95" spans="1:77">
      <c r="B95" s="72" t="n">
        <v>64</v>
      </c>
      <c r="C95" s="72" t="s">
        <v>77</v>
      </c>
      <c r="D95" s="126">
        <f>IF(VLOOKUP(Resumen!C95,Análisis!B:AN,15,0)=0,"Sin cambios",VLOOKUP(Resumen!C95,Análisis!B:AN,15,0))</f>
        <v/>
      </c>
      <c r="E95" s="126">
        <f>IF(VLOOKUP(Resumen!C95,Análisis!B:AN,27,0)=0,"Sin cambios",VLOOKUP(Resumen!C95,Análisis!B:AN,27,0))</f>
        <v/>
      </c>
      <c r="F95" s="126">
        <f>IF(VLOOKUP(Resumen!C95,Análisis!B:AN,39,0)=0,"Sin cambios",VLOOKUP(Resumen!C95,Análisis!B:AN,39,0))</f>
        <v/>
      </c>
      <c r="G95" s="126">
        <f>IF(AND(D95="Sin cambios",E95="Sin cambios",F95="Sin cambios")=TRUE,"No","Sí")</f>
        <v/>
      </c>
      <c r="AF95" s="127" t="s">
        <v>92</v>
      </c>
      <c r="AG95" s="129" t="s">
        <v>227</v>
      </c>
      <c r="AH95" s="362">
        <f>VLOOKUP(AF95,Análisis!$B:$AN,4,0)</f>
        <v/>
      </c>
      <c r="AI95" s="363">
        <f>IF(VLOOKUP(AF95,Análisis!$B:$AN,15,0)=0,"Sin cambios",VLOOKUP(AF95,Análisis!$B:$AN,15,0))</f>
        <v/>
      </c>
      <c r="AJ95" s="364">
        <f>VLOOKUP(AF95,Análisis!$B:$AN,5,0)</f>
        <v/>
      </c>
      <c r="AK95" s="363">
        <f>VLOOKUP(AF95,Análisis!$B:$AN,6,0)</f>
        <v/>
      </c>
      <c r="AL95" s="364">
        <f>VLOOKUP(AF95,Análisis!$B:$AN,7,0)</f>
        <v/>
      </c>
      <c r="AM95" s="363">
        <f>VLOOKUP(AF95,Análisis!$B:$AN,8,0)</f>
        <v/>
      </c>
      <c r="AN95" s="365">
        <f>VLOOKUP(AF95,Análisis!$B:$AN,9,0)</f>
        <v/>
      </c>
      <c r="AO95" s="362">
        <f>VLOOKUP(AF95,Análisis!$B:$AN,16,0)</f>
        <v/>
      </c>
      <c r="AP95" s="363">
        <f>IF(VLOOKUP(AF95,Análisis!$B:$AN,27,0)=0,"Sin cambios",VLOOKUP(AF95,Análisis!$B:$AN,27,0))</f>
        <v/>
      </c>
      <c r="AQ95" s="364">
        <f>VLOOKUP(AF95,Análisis!$B:$AN,17,0)</f>
        <v/>
      </c>
      <c r="AR95" s="363">
        <f>VLOOKUP(AF95,Análisis!$B:$AN,18,0)</f>
        <v/>
      </c>
      <c r="AS95" s="364">
        <f>VLOOKUP(AF95,Análisis!$B:$AN,19,0)</f>
        <v/>
      </c>
      <c r="AT95" s="363">
        <f>VLOOKUP(AF95,Análisis!$B:$AN,20,0)</f>
        <v/>
      </c>
      <c r="AU95" s="365">
        <f>VLOOKUP(AF95,Análisis!$B:$AN,21,0)</f>
        <v/>
      </c>
      <c r="AV95" s="362">
        <f>VLOOKUP(AF95,Análisis!$B:$AN,28,0)</f>
        <v/>
      </c>
      <c r="AW95" s="363">
        <f>IF(VLOOKUP(AF95,Análisis!$B:$AN,39,0)=0,"Sin cambios",VLOOKUP(AF95,Análisis!$B:$AN,39,0))</f>
        <v/>
      </c>
      <c r="AX95" s="364">
        <f>VLOOKUP(AF95,Análisis!$B:$AN,29,0)</f>
        <v/>
      </c>
      <c r="AY95" s="363">
        <f>VLOOKUP(AF95,Análisis!$B:$AN,30,0)</f>
        <v/>
      </c>
      <c r="AZ95" s="364">
        <f>VLOOKUP(AF95,Análisis!$B:$AN,31,0)</f>
        <v/>
      </c>
      <c r="BA95" s="363">
        <f>VLOOKUP(AF95,Análisis!$B:$AN,32,0)</f>
        <v/>
      </c>
      <c r="BB95" s="365">
        <f>VLOOKUP(AF95,Análisis!$B:$AN,33,0)</f>
        <v/>
      </c>
    </row>
    <row r="96" spans="1:77">
      <c r="AF96" s="127" t="s">
        <v>97</v>
      </c>
      <c r="AG96" s="129" t="s">
        <v>239</v>
      </c>
      <c r="AH96" s="362">
        <f>VLOOKUP(AF96,Análisis!$B:$AN,4,0)</f>
        <v/>
      </c>
      <c r="AI96" s="363">
        <f>IF(VLOOKUP(AF96,Análisis!$B:$AN,15,0)=0,"Sin cambios",VLOOKUP(AF96,Análisis!$B:$AN,15,0))</f>
        <v/>
      </c>
      <c r="AJ96" s="364">
        <f>VLOOKUP(AF96,Análisis!$B:$AN,5,0)</f>
        <v/>
      </c>
      <c r="AK96" s="363">
        <f>VLOOKUP(AF96,Análisis!$B:$AN,6,0)</f>
        <v/>
      </c>
      <c r="AL96" s="364">
        <f>VLOOKUP(AF96,Análisis!$B:$AN,7,0)</f>
        <v/>
      </c>
      <c r="AM96" s="363">
        <f>VLOOKUP(AF96,Análisis!$B:$AN,8,0)</f>
        <v/>
      </c>
      <c r="AN96" s="365">
        <f>VLOOKUP(AF96,Análisis!$B:$AN,9,0)</f>
        <v/>
      </c>
      <c r="AO96" s="362">
        <f>VLOOKUP(AF96,Análisis!$B:$AN,16,0)</f>
        <v/>
      </c>
      <c r="AP96" s="363">
        <f>IF(VLOOKUP(AF96,Análisis!$B:$AN,27,0)=0,"Sin cambios",VLOOKUP(AF96,Análisis!$B:$AN,27,0))</f>
        <v/>
      </c>
      <c r="AQ96" s="364">
        <f>VLOOKUP(AF96,Análisis!$B:$AN,17,0)</f>
        <v/>
      </c>
      <c r="AR96" s="363">
        <f>VLOOKUP(AF96,Análisis!$B:$AN,18,0)</f>
        <v/>
      </c>
      <c r="AS96" s="364">
        <f>VLOOKUP(AF96,Análisis!$B:$AN,19,0)</f>
        <v/>
      </c>
      <c r="AT96" s="363">
        <f>VLOOKUP(AF96,Análisis!$B:$AN,20,0)</f>
        <v/>
      </c>
      <c r="AU96" s="365">
        <f>VLOOKUP(AF96,Análisis!$B:$AN,21,0)</f>
        <v/>
      </c>
      <c r="AV96" s="362">
        <f>VLOOKUP(AF96,Análisis!$B:$AN,28,0)</f>
        <v/>
      </c>
      <c r="AW96" s="363">
        <f>IF(VLOOKUP(AF96,Análisis!$B:$AN,39,0)=0,"Sin cambios",VLOOKUP(AF96,Análisis!$B:$AN,39,0))</f>
        <v/>
      </c>
      <c r="AX96" s="364">
        <f>VLOOKUP(AF96,Análisis!$B:$AN,29,0)</f>
        <v/>
      </c>
      <c r="AY96" s="363">
        <f>VLOOKUP(AF96,Análisis!$B:$AN,30,0)</f>
        <v/>
      </c>
      <c r="AZ96" s="364">
        <f>VLOOKUP(AF96,Análisis!$B:$AN,31,0)</f>
        <v/>
      </c>
      <c r="BA96" s="363">
        <f>VLOOKUP(AF96,Análisis!$B:$AN,32,0)</f>
        <v/>
      </c>
      <c r="BB96" s="365">
        <f>VLOOKUP(AF96,Análisis!$B:$AN,33,0)</f>
        <v/>
      </c>
    </row>
    <row r="97" spans="1:77">
      <c r="AF97" s="127" t="s">
        <v>99</v>
      </c>
      <c r="AG97" s="129" t="s">
        <v>239</v>
      </c>
      <c r="AH97" s="362">
        <f>VLOOKUP(AF97,Análisis!$B:$AN,4,0)</f>
        <v/>
      </c>
      <c r="AI97" s="363">
        <f>IF(VLOOKUP(AF97,Análisis!$B:$AN,15,0)=0,"Sin cambios",VLOOKUP(AF97,Análisis!$B:$AN,15,0))</f>
        <v/>
      </c>
      <c r="AJ97" s="364">
        <f>VLOOKUP(AF97,Análisis!$B:$AN,5,0)</f>
        <v/>
      </c>
      <c r="AK97" s="363">
        <f>VLOOKUP(AF97,Análisis!$B:$AN,6,0)</f>
        <v/>
      </c>
      <c r="AL97" s="364">
        <f>VLOOKUP(AF97,Análisis!$B:$AN,7,0)</f>
        <v/>
      </c>
      <c r="AM97" s="363">
        <f>VLOOKUP(AF97,Análisis!$B:$AN,8,0)</f>
        <v/>
      </c>
      <c r="AN97" s="365">
        <f>VLOOKUP(AF97,Análisis!$B:$AN,9,0)</f>
        <v/>
      </c>
      <c r="AO97" s="362">
        <f>VLOOKUP(AF97,Análisis!$B:$AN,16,0)</f>
        <v/>
      </c>
      <c r="AP97" s="363">
        <f>IF(VLOOKUP(AF97,Análisis!$B:$AN,27,0)=0,"Sin cambios",VLOOKUP(AF97,Análisis!$B:$AN,27,0))</f>
        <v/>
      </c>
      <c r="AQ97" s="364">
        <f>VLOOKUP(AF97,Análisis!$B:$AN,17,0)</f>
        <v/>
      </c>
      <c r="AR97" s="363">
        <f>VLOOKUP(AF97,Análisis!$B:$AN,18,0)</f>
        <v/>
      </c>
      <c r="AS97" s="364">
        <f>VLOOKUP(AF97,Análisis!$B:$AN,19,0)</f>
        <v/>
      </c>
      <c r="AT97" s="363">
        <f>VLOOKUP(AF97,Análisis!$B:$AN,20,0)</f>
        <v/>
      </c>
      <c r="AU97" s="365">
        <f>VLOOKUP(AF97,Análisis!$B:$AN,21,0)</f>
        <v/>
      </c>
      <c r="AV97" s="362">
        <f>VLOOKUP(AF97,Análisis!$B:$AN,28,0)</f>
        <v/>
      </c>
      <c r="AW97" s="363">
        <f>IF(VLOOKUP(AF97,Análisis!$B:$AN,39,0)=0,"Sin cambios",VLOOKUP(AF97,Análisis!$B:$AN,39,0))</f>
        <v/>
      </c>
      <c r="AX97" s="364">
        <f>VLOOKUP(AF97,Análisis!$B:$AN,29,0)</f>
        <v/>
      </c>
      <c r="AY97" s="363">
        <f>VLOOKUP(AF97,Análisis!$B:$AN,30,0)</f>
        <v/>
      </c>
      <c r="AZ97" s="364">
        <f>VLOOKUP(AF97,Análisis!$B:$AN,31,0)</f>
        <v/>
      </c>
      <c r="BA97" s="363">
        <f>VLOOKUP(AF97,Análisis!$B:$AN,32,0)</f>
        <v/>
      </c>
      <c r="BB97" s="365">
        <f>VLOOKUP(AF97,Análisis!$B:$AN,33,0)</f>
        <v/>
      </c>
    </row>
    <row r="98" spans="1:77">
      <c r="AF98" s="127" t="s">
        <v>103</v>
      </c>
      <c r="AG98" s="129" t="s">
        <v>239</v>
      </c>
      <c r="AH98" s="362">
        <f>VLOOKUP(AF98,Análisis!$B:$AN,4,0)</f>
        <v/>
      </c>
      <c r="AI98" s="363">
        <f>IF(VLOOKUP(AF98,Análisis!$B:$AN,15,0)=0,"Sin cambios",VLOOKUP(AF98,Análisis!$B:$AN,15,0))</f>
        <v/>
      </c>
      <c r="AJ98" s="364">
        <f>VLOOKUP(AF98,Análisis!$B:$AN,5,0)</f>
        <v/>
      </c>
      <c r="AK98" s="363">
        <f>VLOOKUP(AF98,Análisis!$B:$AN,6,0)</f>
        <v/>
      </c>
      <c r="AL98" s="364">
        <f>VLOOKUP(AF98,Análisis!$B:$AN,7,0)</f>
        <v/>
      </c>
      <c r="AM98" s="363">
        <f>VLOOKUP(AF98,Análisis!$B:$AN,8,0)</f>
        <v/>
      </c>
      <c r="AN98" s="365">
        <f>VLOOKUP(AF98,Análisis!$B:$AN,9,0)</f>
        <v/>
      </c>
      <c r="AO98" s="362">
        <f>VLOOKUP(AF98,Análisis!$B:$AN,16,0)</f>
        <v/>
      </c>
      <c r="AP98" s="363">
        <f>IF(VLOOKUP(AF98,Análisis!$B:$AN,27,0)=0,"Sin cambios",VLOOKUP(AF98,Análisis!$B:$AN,27,0))</f>
        <v/>
      </c>
      <c r="AQ98" s="364">
        <f>VLOOKUP(AF98,Análisis!$B:$AN,17,0)</f>
        <v/>
      </c>
      <c r="AR98" s="363">
        <f>VLOOKUP(AF98,Análisis!$B:$AN,18,0)</f>
        <v/>
      </c>
      <c r="AS98" s="364">
        <f>VLOOKUP(AF98,Análisis!$B:$AN,19,0)</f>
        <v/>
      </c>
      <c r="AT98" s="363">
        <f>VLOOKUP(AF98,Análisis!$B:$AN,20,0)</f>
        <v/>
      </c>
      <c r="AU98" s="365">
        <f>VLOOKUP(AF98,Análisis!$B:$AN,21,0)</f>
        <v/>
      </c>
      <c r="AV98" s="362">
        <f>VLOOKUP(AF98,Análisis!$B:$AN,28,0)</f>
        <v/>
      </c>
      <c r="AW98" s="363">
        <f>IF(VLOOKUP(AF98,Análisis!$B:$AN,39,0)=0,"Sin cambios",VLOOKUP(AF98,Análisis!$B:$AN,39,0))</f>
        <v/>
      </c>
      <c r="AX98" s="364">
        <f>VLOOKUP(AF98,Análisis!$B:$AN,29,0)</f>
        <v/>
      </c>
      <c r="AY98" s="363">
        <f>VLOOKUP(AF98,Análisis!$B:$AN,30,0)</f>
        <v/>
      </c>
      <c r="AZ98" s="364">
        <f>VLOOKUP(AF98,Análisis!$B:$AN,31,0)</f>
        <v/>
      </c>
      <c r="BA98" s="363">
        <f>VLOOKUP(AF98,Análisis!$B:$AN,32,0)</f>
        <v/>
      </c>
      <c r="BB98" s="365">
        <f>VLOOKUP(AF98,Análisis!$B:$AN,33,0)</f>
        <v/>
      </c>
    </row>
    <row r="99" spans="1:77">
      <c r="AF99" s="127" t="s">
        <v>123</v>
      </c>
      <c r="AG99" s="129" t="s">
        <v>258</v>
      </c>
      <c r="AH99" s="362">
        <f>VLOOKUP(AF99,Análisis!$B:$AN,4,0)</f>
        <v/>
      </c>
      <c r="AI99" s="363">
        <f>IF(VLOOKUP(AF99,Análisis!$B:$AN,15,0)=0,"Sin cambios",VLOOKUP(AF99,Análisis!$B:$AN,15,0))</f>
        <v/>
      </c>
      <c r="AJ99" s="364">
        <f>VLOOKUP(AF99,Análisis!$B:$AN,5,0)</f>
        <v/>
      </c>
      <c r="AK99" s="363">
        <f>VLOOKUP(AF99,Análisis!$B:$AN,6,0)</f>
        <v/>
      </c>
      <c r="AL99" s="364">
        <f>VLOOKUP(AF99,Análisis!$B:$AN,7,0)</f>
        <v/>
      </c>
      <c r="AM99" s="363">
        <f>VLOOKUP(AF99,Análisis!$B:$AN,8,0)</f>
        <v/>
      </c>
      <c r="AN99" s="365">
        <f>VLOOKUP(AF99,Análisis!$B:$AN,9,0)</f>
        <v/>
      </c>
      <c r="AO99" s="362">
        <f>VLOOKUP(AF99,Análisis!$B:$AN,16,0)</f>
        <v/>
      </c>
      <c r="AP99" s="363">
        <f>IF(VLOOKUP(AF99,Análisis!$B:$AN,27,0)=0,"Sin cambios",VLOOKUP(AF99,Análisis!$B:$AN,27,0))</f>
        <v/>
      </c>
      <c r="AQ99" s="364">
        <f>VLOOKUP(AF99,Análisis!$B:$AN,17,0)</f>
        <v/>
      </c>
      <c r="AR99" s="363">
        <f>VLOOKUP(AF99,Análisis!$B:$AN,18,0)</f>
        <v/>
      </c>
      <c r="AS99" s="364">
        <f>VLOOKUP(AF99,Análisis!$B:$AN,19,0)</f>
        <v/>
      </c>
      <c r="AT99" s="363">
        <f>VLOOKUP(AF99,Análisis!$B:$AN,20,0)</f>
        <v/>
      </c>
      <c r="AU99" s="365">
        <f>VLOOKUP(AF99,Análisis!$B:$AN,21,0)</f>
        <v/>
      </c>
      <c r="AV99" s="362">
        <f>VLOOKUP(AF99,Análisis!$B:$AN,28,0)</f>
        <v/>
      </c>
      <c r="AW99" s="363">
        <f>IF(VLOOKUP(AF99,Análisis!$B:$AN,39,0)=0,"Sin cambios",VLOOKUP(AF99,Análisis!$B:$AN,39,0))</f>
        <v/>
      </c>
      <c r="AX99" s="364">
        <f>VLOOKUP(AF99,Análisis!$B:$AN,29,0)</f>
        <v/>
      </c>
      <c r="AY99" s="363">
        <f>VLOOKUP(AF99,Análisis!$B:$AN,30,0)</f>
        <v/>
      </c>
      <c r="AZ99" s="364">
        <f>VLOOKUP(AF99,Análisis!$B:$AN,31,0)</f>
        <v/>
      </c>
      <c r="BA99" s="363">
        <f>VLOOKUP(AF99,Análisis!$B:$AN,32,0)</f>
        <v/>
      </c>
      <c r="BB99" s="365">
        <f>VLOOKUP(AF99,Análisis!$B:$AN,33,0)</f>
        <v/>
      </c>
    </row>
    <row r="100" spans="1:77">
      <c r="AF100" s="127" t="s">
        <v>129</v>
      </c>
      <c r="AG100" s="129" t="s">
        <v>258</v>
      </c>
      <c r="AH100" s="362">
        <f>VLOOKUP(AF100,Análisis!$B:$AN,4,0)</f>
        <v/>
      </c>
      <c r="AI100" s="363">
        <f>IF(VLOOKUP(AF100,Análisis!$B:$AN,15,0)=0,"Sin cambios",VLOOKUP(AF100,Análisis!$B:$AN,15,0))</f>
        <v/>
      </c>
      <c r="AJ100" s="364">
        <f>VLOOKUP(AF100,Análisis!$B:$AN,5,0)</f>
        <v/>
      </c>
      <c r="AK100" s="363">
        <f>VLOOKUP(AF100,Análisis!$B:$AN,6,0)</f>
        <v/>
      </c>
      <c r="AL100" s="364">
        <f>VLOOKUP(AF100,Análisis!$B:$AN,7,0)</f>
        <v/>
      </c>
      <c r="AM100" s="363">
        <f>VLOOKUP(AF100,Análisis!$B:$AN,8,0)</f>
        <v/>
      </c>
      <c r="AN100" s="365">
        <f>VLOOKUP(AF100,Análisis!$B:$AN,9,0)</f>
        <v/>
      </c>
      <c r="AO100" s="362">
        <f>VLOOKUP(AF100,Análisis!$B:$AN,16,0)</f>
        <v/>
      </c>
      <c r="AP100" s="363">
        <f>IF(VLOOKUP(AF100,Análisis!$B:$AN,27,0)=0,"Sin cambios",VLOOKUP(AF100,Análisis!$B:$AN,27,0))</f>
        <v/>
      </c>
      <c r="AQ100" s="364">
        <f>VLOOKUP(AF100,Análisis!$B:$AN,17,0)</f>
        <v/>
      </c>
      <c r="AR100" s="363">
        <f>VLOOKUP(AF100,Análisis!$B:$AN,18,0)</f>
        <v/>
      </c>
      <c r="AS100" s="364">
        <f>VLOOKUP(AF100,Análisis!$B:$AN,19,0)</f>
        <v/>
      </c>
      <c r="AT100" s="363">
        <f>VLOOKUP(AF100,Análisis!$B:$AN,20,0)</f>
        <v/>
      </c>
      <c r="AU100" s="365">
        <f>VLOOKUP(AF100,Análisis!$B:$AN,21,0)</f>
        <v/>
      </c>
      <c r="AV100" s="362">
        <f>VLOOKUP(AF100,Análisis!$B:$AN,28,0)</f>
        <v/>
      </c>
      <c r="AW100" s="363">
        <f>IF(VLOOKUP(AF100,Análisis!$B:$AN,39,0)=0,"Sin cambios",VLOOKUP(AF100,Análisis!$B:$AN,39,0))</f>
        <v/>
      </c>
      <c r="AX100" s="364">
        <f>VLOOKUP(AF100,Análisis!$B:$AN,29,0)</f>
        <v/>
      </c>
      <c r="AY100" s="363">
        <f>VLOOKUP(AF100,Análisis!$B:$AN,30,0)</f>
        <v/>
      </c>
      <c r="AZ100" s="364">
        <f>VLOOKUP(AF100,Análisis!$B:$AN,31,0)</f>
        <v/>
      </c>
      <c r="BA100" s="363">
        <f>VLOOKUP(AF100,Análisis!$B:$AN,32,0)</f>
        <v/>
      </c>
      <c r="BB100" s="365">
        <f>VLOOKUP(AF100,Análisis!$B:$AN,33,0)</f>
        <v/>
      </c>
    </row>
    <row customHeight="1" ht="15.75" r="101" s="183" spans="1:77" thickBot="1">
      <c r="AF101" s="130" t="s">
        <v>130</v>
      </c>
      <c r="AG101" s="131" t="s">
        <v>258</v>
      </c>
      <c r="AH101" s="385">
        <f>VLOOKUP(AF101,Análisis!$B:$AN,4,0)</f>
        <v/>
      </c>
      <c r="AI101" s="386">
        <f>IF(VLOOKUP(AF101,Análisis!$B:$AN,15,0)=0,"Sin cambios",VLOOKUP(AF101,Análisis!$B:$AN,15,0))</f>
        <v/>
      </c>
      <c r="AJ101" s="387">
        <f>VLOOKUP(AF101,Análisis!$B:$AN,5,0)</f>
        <v/>
      </c>
      <c r="AK101" s="386">
        <f>VLOOKUP(AF101,Análisis!$B:$AN,6,0)</f>
        <v/>
      </c>
      <c r="AL101" s="387">
        <f>VLOOKUP(AF101,Análisis!$B:$AN,7,0)</f>
        <v/>
      </c>
      <c r="AM101" s="386">
        <f>VLOOKUP(AF101,Análisis!$B:$AN,8,0)</f>
        <v/>
      </c>
      <c r="AN101" s="388">
        <f>VLOOKUP(AF101,Análisis!$B:$AN,9,0)</f>
        <v/>
      </c>
      <c r="AO101" s="385">
        <f>VLOOKUP(AF101,Análisis!$B:$AN,16,0)</f>
        <v/>
      </c>
      <c r="AP101" s="386">
        <f>IF(VLOOKUP(AF101,Análisis!$B:$AN,27,0)=0,"Sin cambios",VLOOKUP(AF101,Análisis!$B:$AN,27,0))</f>
        <v/>
      </c>
      <c r="AQ101" s="387">
        <f>VLOOKUP(AF101,Análisis!$B:$AN,17,0)</f>
        <v/>
      </c>
      <c r="AR101" s="386">
        <f>VLOOKUP(AF101,Análisis!$B:$AN,18,0)</f>
        <v/>
      </c>
      <c r="AS101" s="387">
        <f>VLOOKUP(AF101,Análisis!$B:$AN,19,0)</f>
        <v/>
      </c>
      <c r="AT101" s="386">
        <f>VLOOKUP(AF101,Análisis!$B:$AN,20,0)</f>
        <v/>
      </c>
      <c r="AU101" s="388">
        <f>VLOOKUP(AF101,Análisis!$B:$AN,21,0)</f>
        <v/>
      </c>
      <c r="AV101" s="385">
        <f>VLOOKUP(AF101,Análisis!$B:$AN,28,0)</f>
        <v/>
      </c>
      <c r="AW101" s="386">
        <f>IF(VLOOKUP(AF101,Análisis!$B:$AN,39,0)=0,"Sin cambios",VLOOKUP(AF101,Análisis!$B:$AN,39,0))</f>
        <v/>
      </c>
      <c r="AX101" s="387">
        <f>VLOOKUP(AF101,Análisis!$B:$AN,29,0)</f>
        <v/>
      </c>
      <c r="AY101" s="386">
        <f>VLOOKUP(AF101,Análisis!$B:$AN,30,0)</f>
        <v/>
      </c>
      <c r="AZ101" s="387">
        <f>VLOOKUP(AF101,Análisis!$B:$AN,31,0)</f>
        <v/>
      </c>
      <c r="BA101" s="386">
        <f>VLOOKUP(AF101,Análisis!$B:$AN,32,0)</f>
        <v/>
      </c>
      <c r="BB101" s="388">
        <f>VLOOKUP(AF101,Análisis!$B:$AN,33,0)</f>
        <v/>
      </c>
    </row>
  </sheetData>
  <mergeCells count="106"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</mergeCells>
  <conditionalFormatting sqref="AH5:BB101">
    <cfRule dxfId="10" operator="equal" priority="2" type="cellIs">
      <formula>"Sin datos"</formula>
    </cfRule>
  </conditionalFormatting>
  <conditionalFormatting sqref="AI5:AI101 AP5:AP101 AW5:AW101">
    <cfRule dxfId="1" operator="notEqual" priority="1" type="cellIs">
      <formula>"Sin cambios"</formula>
    </cfRule>
  </conditionalFormatting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2:J45"/>
  <sheetViews>
    <sheetView workbookViewId="0">
      <selection activeCell="N7" sqref="N7"/>
    </sheetView>
  </sheetViews>
  <sheetFormatPr baseColWidth="10" defaultRowHeight="15" outlineLevelCol="0"/>
  <cols>
    <col bestFit="1" customWidth="1" max="1" min="1" style="183" width="3.28515625"/>
    <col customWidth="1" max="2" min="2" style="183" width="11.42578125"/>
    <col customWidth="1" max="3" min="3" style="183" width="21.42578125"/>
    <col bestFit="1" customWidth="1" max="5" min="5" style="183" width="13.140625"/>
    <col bestFit="1" customWidth="1" max="6" min="6" style="183" width="18"/>
    <col bestFit="1" customWidth="1" max="7" min="7" style="183" width="14.5703125"/>
    <col bestFit="1" customWidth="1" max="8" min="8" style="183" width="19.42578125"/>
    <col bestFit="1" customWidth="1" max="9" min="9" style="183" width="14.5703125"/>
    <col bestFit="1" customWidth="1" max="10" min="10" style="183" width="19.42578125"/>
  </cols>
  <sheetData>
    <row customHeight="1" ht="15.75" r="1" s="183" spans="1:10" thickBot="1"/>
    <row customHeight="1" ht="29.25" r="2" s="183" spans="1:10" thickBot="1">
      <c r="C2" s="213" t="s">
        <v>299</v>
      </c>
      <c r="D2" s="214" t="s">
        <v>342</v>
      </c>
      <c r="E2" s="214" t="s">
        <v>343</v>
      </c>
      <c r="F2" s="214" t="s">
        <v>344</v>
      </c>
      <c r="G2" s="215" t="s">
        <v>345</v>
      </c>
      <c r="H2" s="215" t="s">
        <v>346</v>
      </c>
      <c r="I2" s="215" t="s">
        <v>347</v>
      </c>
      <c r="J2" s="216" t="s">
        <v>348</v>
      </c>
    </row>
    <row r="3" spans="1:10">
      <c r="A3" t="s">
        <v>349</v>
      </c>
      <c r="C3" s="218" t="s">
        <v>121</v>
      </c>
      <c r="D3" s="219" t="s">
        <v>349</v>
      </c>
      <c r="E3" s="228" t="n">
        <v>6</v>
      </c>
      <c r="F3" s="230" t="s">
        <v>350</v>
      </c>
      <c r="G3" s="219" t="n"/>
      <c r="H3" s="219" t="n"/>
      <c r="I3" s="219" t="n"/>
      <c r="J3" s="221" t="n"/>
    </row>
    <row r="4" spans="1:10">
      <c r="A4" t="s">
        <v>351</v>
      </c>
      <c r="C4" s="205" t="s">
        <v>121</v>
      </c>
      <c r="D4" s="126" t="s">
        <v>351</v>
      </c>
      <c r="E4" s="232" t="n"/>
      <c r="F4" s="233" t="n"/>
      <c r="G4" s="12" t="n"/>
      <c r="H4" s="12" t="n"/>
      <c r="I4" s="12" t="n"/>
      <c r="J4" s="207" t="n"/>
    </row>
    <row r="5" spans="1:10">
      <c r="A5" t="s">
        <v>352</v>
      </c>
      <c r="C5" s="205" t="s">
        <v>121</v>
      </c>
      <c r="D5" s="126" t="s">
        <v>352</v>
      </c>
      <c r="E5" s="232" t="n"/>
      <c r="F5" s="233" t="n"/>
      <c r="G5" s="12" t="n"/>
      <c r="H5" s="12" t="n"/>
      <c r="I5" s="12" t="n"/>
      <c r="J5" s="207" t="n"/>
    </row>
    <row customHeight="1" ht="15.75" r="6" s="183" spans="1:10" thickBot="1">
      <c r="A6" t="s">
        <v>353</v>
      </c>
      <c r="C6" s="210" t="s">
        <v>121</v>
      </c>
      <c r="D6" s="211" t="s">
        <v>353</v>
      </c>
      <c r="E6" s="229" t="n"/>
      <c r="F6" s="231" t="n"/>
      <c r="G6" s="222" t="n"/>
      <c r="H6" s="222" t="n"/>
      <c r="I6" s="222" t="n"/>
      <c r="J6" s="223" t="n"/>
    </row>
    <row r="7" spans="1:10">
      <c r="C7" s="218" t="s">
        <v>126</v>
      </c>
      <c r="D7" s="219" t="s">
        <v>349</v>
      </c>
      <c r="E7" s="219" t="n">
        <v>5</v>
      </c>
      <c r="F7" s="220" t="s">
        <v>350</v>
      </c>
      <c r="G7" s="219" t="n"/>
      <c r="H7" s="219" t="n"/>
      <c r="I7" s="219" t="n"/>
      <c r="J7" s="221" t="n"/>
    </row>
    <row r="8" spans="1:10">
      <c r="C8" s="205" t="s">
        <v>126</v>
      </c>
      <c r="D8" s="126" t="s">
        <v>351</v>
      </c>
      <c r="E8" s="126" t="n"/>
      <c r="F8" s="126" t="n"/>
      <c r="G8" s="126" t="n"/>
      <c r="H8" s="126" t="n"/>
      <c r="I8" s="126" t="n"/>
      <c r="J8" s="206" t="n"/>
    </row>
    <row r="9" spans="1:10">
      <c r="C9" s="205" t="s">
        <v>126</v>
      </c>
      <c r="D9" s="126" t="s">
        <v>352</v>
      </c>
      <c r="E9" s="126" t="n"/>
      <c r="F9" s="126" t="n"/>
      <c r="G9" s="126" t="n"/>
      <c r="H9" s="126" t="n"/>
      <c r="I9" s="126" t="n"/>
      <c r="J9" s="206" t="n"/>
    </row>
    <row customHeight="1" ht="15.75" r="10" s="183" spans="1:10" thickBot="1">
      <c r="C10" s="210" t="s">
        <v>126</v>
      </c>
      <c r="D10" s="211" t="s">
        <v>353</v>
      </c>
      <c r="E10" s="211" t="n"/>
      <c r="F10" s="211" t="n"/>
      <c r="G10" s="211" t="n"/>
      <c r="H10" s="211" t="n"/>
      <c r="I10" s="211" t="n"/>
      <c r="J10" s="212" t="n"/>
    </row>
    <row r="11" spans="1:10">
      <c r="C11" s="218" t="s">
        <v>145</v>
      </c>
      <c r="D11" s="219" t="s">
        <v>349</v>
      </c>
      <c r="E11" s="219" t="n">
        <v>3</v>
      </c>
      <c r="F11" s="219" t="n"/>
      <c r="G11" s="219" t="n"/>
      <c r="H11" s="219" t="n"/>
      <c r="I11" s="219" t="n"/>
      <c r="J11" s="221" t="n"/>
    </row>
    <row r="12" spans="1:10">
      <c r="C12" s="205" t="s">
        <v>145</v>
      </c>
      <c r="D12" s="126" t="s">
        <v>351</v>
      </c>
      <c r="E12" s="126" t="n">
        <v>3</v>
      </c>
      <c r="F12" s="126" t="n">
        <v>6</v>
      </c>
      <c r="G12" s="126" t="n"/>
      <c r="H12" s="126" t="n"/>
      <c r="I12" s="126" t="n"/>
      <c r="J12" s="206" t="n"/>
    </row>
    <row r="13" spans="1:10">
      <c r="C13" s="205" t="s">
        <v>145</v>
      </c>
      <c r="D13" s="126" t="s">
        <v>352</v>
      </c>
      <c r="E13" s="126" t="n"/>
      <c r="F13" s="126" t="n"/>
      <c r="G13" s="126" t="n"/>
      <c r="H13" s="126" t="n"/>
      <c r="I13" s="126" t="n"/>
      <c r="J13" s="206" t="n"/>
    </row>
    <row customHeight="1" ht="15.75" r="14" s="183" spans="1:10" thickBot="1">
      <c r="C14" s="210" t="s">
        <v>145</v>
      </c>
      <c r="D14" s="211" t="s">
        <v>353</v>
      </c>
      <c r="E14" s="211" t="n"/>
      <c r="F14" s="211" t="n"/>
      <c r="G14" s="211" t="n"/>
      <c r="H14" s="211" t="n"/>
      <c r="I14" s="211" t="n"/>
      <c r="J14" s="212" t="n"/>
    </row>
    <row r="15" spans="1:10">
      <c r="C15" s="218" t="s">
        <v>116</v>
      </c>
      <c r="D15" s="219" t="s">
        <v>349</v>
      </c>
      <c r="E15" s="219" t="n">
        <v>3</v>
      </c>
      <c r="F15" s="219" t="n">
        <v>6</v>
      </c>
      <c r="G15" s="219" t="n"/>
      <c r="H15" s="219" t="n"/>
      <c r="I15" s="219" t="n"/>
      <c r="J15" s="221" t="n"/>
    </row>
    <row r="16" spans="1:10">
      <c r="C16" s="205" t="s">
        <v>116</v>
      </c>
      <c r="D16" s="126" t="s">
        <v>351</v>
      </c>
      <c r="E16" s="126" t="n"/>
      <c r="F16" s="126" t="n"/>
      <c r="G16" s="126" t="n"/>
      <c r="H16" s="126" t="n"/>
      <c r="I16" s="126" t="n"/>
      <c r="J16" s="206" t="n"/>
    </row>
    <row r="17" spans="1:10">
      <c r="C17" s="205" t="s">
        <v>116</v>
      </c>
      <c r="D17" s="126" t="s">
        <v>352</v>
      </c>
      <c r="E17" s="126" t="n"/>
      <c r="F17" s="126" t="n"/>
      <c r="G17" s="126" t="n"/>
      <c r="H17" s="126" t="n"/>
      <c r="I17" s="126" t="n"/>
      <c r="J17" s="206" t="n"/>
    </row>
    <row customHeight="1" ht="15.75" r="18" s="183" spans="1:10" thickBot="1">
      <c r="C18" s="210" t="s">
        <v>116</v>
      </c>
      <c r="D18" s="211" t="s">
        <v>353</v>
      </c>
      <c r="E18" s="211" t="n"/>
      <c r="F18" s="211" t="n"/>
      <c r="G18" s="211" t="n"/>
      <c r="H18" s="211" t="n"/>
      <c r="I18" s="211" t="n"/>
      <c r="J18" s="212" t="n"/>
    </row>
    <row r="19" spans="1:10">
      <c r="C19" s="224" t="s">
        <v>139</v>
      </c>
      <c r="D19" s="225" t="s">
        <v>349</v>
      </c>
      <c r="E19" s="219" t="n"/>
      <c r="F19" s="219" t="n"/>
      <c r="G19" s="219" t="n"/>
      <c r="H19" s="219" t="n"/>
      <c r="I19" s="219" t="n"/>
      <c r="J19" s="221" t="n"/>
    </row>
    <row r="20" spans="1:10">
      <c r="C20" s="208" t="s">
        <v>140</v>
      </c>
      <c r="D20" s="203" t="s">
        <v>351</v>
      </c>
      <c r="E20" s="126" t="n"/>
      <c r="F20" s="126" t="n"/>
      <c r="G20" s="126" t="n"/>
      <c r="H20" s="126" t="n"/>
      <c r="I20" s="126" t="n"/>
      <c r="J20" s="206" t="n"/>
    </row>
    <row r="21" spans="1:10">
      <c r="C21" s="208" t="s">
        <v>131</v>
      </c>
      <c r="D21" s="203" t="n"/>
      <c r="E21" s="126" t="n"/>
      <c r="F21" s="126" t="n"/>
      <c r="G21" s="126" t="n"/>
      <c r="H21" s="126" t="n"/>
      <c r="I21" s="126" t="n"/>
      <c r="J21" s="206" t="n"/>
    </row>
    <row customHeight="1" ht="15.75" r="22" s="183" spans="1:10" thickBot="1">
      <c r="C22" s="226" t="s">
        <v>123</v>
      </c>
      <c r="D22" s="227" t="n"/>
      <c r="E22" s="211" t="n"/>
      <c r="F22" s="211" t="n"/>
      <c r="G22" s="211" t="n"/>
      <c r="H22" s="211" t="n"/>
      <c r="I22" s="211" t="n"/>
      <c r="J22" s="212" t="n"/>
    </row>
    <row r="23" spans="1:10">
      <c r="C23" s="218" t="s">
        <v>234</v>
      </c>
      <c r="D23" s="219" t="s">
        <v>349</v>
      </c>
      <c r="E23" s="219" t="n"/>
      <c r="F23" s="219" t="n"/>
      <c r="G23" s="219" t="n"/>
      <c r="H23" s="219" t="n"/>
      <c r="I23" s="219" t="n"/>
      <c r="J23" s="221" t="n"/>
    </row>
    <row customHeight="1" ht="15.75" r="24" s="183" spans="1:10" thickBot="1">
      <c r="C24" s="210" t="s">
        <v>234</v>
      </c>
      <c r="D24" s="211" t="s">
        <v>351</v>
      </c>
      <c r="E24" s="211" t="n"/>
      <c r="F24" s="211" t="n"/>
      <c r="G24" s="211" t="n"/>
      <c r="H24" s="211" t="n"/>
      <c r="I24" s="211" t="n"/>
      <c r="J24" s="212" t="n"/>
    </row>
    <row r="25" spans="1:10">
      <c r="C25" s="218" t="s">
        <v>134</v>
      </c>
      <c r="D25" s="219" t="s">
        <v>349</v>
      </c>
      <c r="E25" s="219" t="n"/>
      <c r="F25" s="219" t="n"/>
      <c r="G25" s="219" t="n"/>
      <c r="H25" s="219" t="n"/>
      <c r="I25" s="219" t="n"/>
      <c r="J25" s="221" t="n"/>
    </row>
    <row r="26" spans="1:10">
      <c r="C26" s="205" t="s">
        <v>134</v>
      </c>
      <c r="D26" s="126" t="s">
        <v>351</v>
      </c>
      <c r="E26" s="126" t="n"/>
      <c r="F26" s="126" t="n"/>
      <c r="G26" s="126" t="n"/>
      <c r="H26" s="126" t="n"/>
      <c r="I26" s="126" t="n"/>
      <c r="J26" s="206" t="n"/>
    </row>
    <row r="27" spans="1:10">
      <c r="C27" s="205" t="s">
        <v>134</v>
      </c>
      <c r="D27" s="126" t="s">
        <v>352</v>
      </c>
      <c r="E27" s="126" t="n"/>
      <c r="F27" s="126" t="n"/>
      <c r="G27" s="126" t="n"/>
      <c r="H27" s="126" t="n"/>
      <c r="I27" s="126" t="n"/>
      <c r="J27" s="206" t="n"/>
    </row>
    <row customHeight="1" ht="15.75" r="28" s="183" spans="1:10" thickBot="1">
      <c r="C28" s="210" t="s">
        <v>134</v>
      </c>
      <c r="D28" s="211" t="s">
        <v>353</v>
      </c>
      <c r="E28" s="211" t="n"/>
      <c r="F28" s="211" t="n"/>
      <c r="G28" s="211" t="n"/>
      <c r="H28" s="211" t="n"/>
      <c r="I28" s="211" t="n"/>
      <c r="J28" s="212" t="n"/>
    </row>
    <row r="29" spans="1:10">
      <c r="C29" s="218" t="s">
        <v>226</v>
      </c>
      <c r="D29" s="219" t="s">
        <v>349</v>
      </c>
      <c r="E29" s="219" t="n"/>
      <c r="F29" s="219" t="n"/>
      <c r="G29" s="219" t="n"/>
      <c r="H29" s="219" t="n"/>
      <c r="I29" s="219" t="n"/>
      <c r="J29" s="221" t="n"/>
    </row>
    <row r="30" spans="1:10">
      <c r="C30" s="205" t="s">
        <v>226</v>
      </c>
      <c r="D30" s="126" t="s">
        <v>351</v>
      </c>
      <c r="E30" s="126" t="n"/>
      <c r="F30" s="126" t="n"/>
      <c r="G30" s="126" t="n"/>
      <c r="H30" s="126" t="n"/>
      <c r="I30" s="126" t="n"/>
      <c r="J30" s="206" t="n"/>
    </row>
    <row r="31" spans="1:10">
      <c r="C31" s="205" t="s">
        <v>226</v>
      </c>
      <c r="D31" s="126" t="s">
        <v>352</v>
      </c>
      <c r="E31" s="126" t="n"/>
      <c r="F31" s="126" t="n"/>
      <c r="G31" s="126" t="n"/>
      <c r="H31" s="126" t="n"/>
      <c r="I31" s="126" t="n"/>
      <c r="J31" s="206" t="n"/>
    </row>
    <row customHeight="1" ht="15.75" r="32" s="183" spans="1:10" thickBot="1">
      <c r="C32" s="210" t="s">
        <v>226</v>
      </c>
      <c r="D32" s="211" t="s">
        <v>353</v>
      </c>
      <c r="E32" s="211" t="n"/>
      <c r="F32" s="211" t="n"/>
      <c r="G32" s="211" t="n"/>
      <c r="H32" s="211" t="n"/>
      <c r="I32" s="211" t="n"/>
      <c r="J32" s="212" t="n"/>
    </row>
    <row r="33" spans="1:10">
      <c r="C33" s="218" t="s">
        <v>135</v>
      </c>
      <c r="D33" s="219" t="s">
        <v>349</v>
      </c>
      <c r="E33" s="219" t="n"/>
      <c r="F33" s="219" t="n"/>
      <c r="G33" s="219" t="n"/>
      <c r="H33" s="219" t="n"/>
      <c r="I33" s="219" t="n"/>
      <c r="J33" s="221" t="n"/>
    </row>
    <row customHeight="1" ht="15.75" r="34" s="183" spans="1:10" thickBot="1">
      <c r="C34" s="210" t="s">
        <v>135</v>
      </c>
      <c r="D34" s="211" t="s">
        <v>351</v>
      </c>
      <c r="E34" s="211" t="n"/>
      <c r="F34" s="211" t="n"/>
      <c r="G34" s="211" t="n"/>
      <c r="H34" s="211" t="n"/>
      <c r="I34" s="211" t="n"/>
      <c r="J34" s="212" t="n"/>
    </row>
    <row r="35" spans="1:10">
      <c r="C35" s="218" t="s">
        <v>147</v>
      </c>
      <c r="D35" s="219" t="s">
        <v>349</v>
      </c>
      <c r="E35" s="219" t="n"/>
      <c r="F35" s="219" t="n"/>
      <c r="G35" s="219" t="n"/>
      <c r="H35" s="219" t="n"/>
      <c r="I35" s="219" t="n"/>
      <c r="J35" s="221" t="n"/>
    </row>
    <row r="36" spans="1:10">
      <c r="C36" s="205" t="s">
        <v>147</v>
      </c>
      <c r="D36" s="126" t="s">
        <v>351</v>
      </c>
      <c r="E36" s="126" t="n"/>
      <c r="F36" s="126" t="n"/>
      <c r="G36" s="126" t="n"/>
      <c r="H36" s="126" t="n"/>
      <c r="I36" s="126" t="n"/>
      <c r="J36" s="206" t="n"/>
    </row>
    <row r="37" spans="1:10">
      <c r="C37" s="205" t="s">
        <v>147</v>
      </c>
      <c r="D37" s="126" t="s">
        <v>352</v>
      </c>
      <c r="E37" s="126" t="n"/>
      <c r="F37" s="126" t="n"/>
      <c r="G37" s="126" t="n"/>
      <c r="H37" s="126" t="n"/>
      <c r="I37" s="126" t="n"/>
      <c r="J37" s="206" t="n"/>
    </row>
    <row customHeight="1" ht="15.75" r="38" s="183" spans="1:10" thickBot="1">
      <c r="C38" s="210" t="s">
        <v>147</v>
      </c>
      <c r="D38" s="211" t="s">
        <v>353</v>
      </c>
      <c r="E38" s="211" t="n"/>
      <c r="F38" s="211" t="n"/>
      <c r="G38" s="211" t="n"/>
      <c r="H38" s="211" t="n"/>
      <c r="I38" s="211" t="n"/>
      <c r="J38" s="212" t="n"/>
    </row>
    <row r="39" spans="1:10">
      <c r="C39" s="209" t="n"/>
      <c r="D39" s="204" t="n"/>
      <c r="E39" s="204" t="n"/>
      <c r="F39" s="204" t="n"/>
      <c r="G39" s="204" t="n"/>
      <c r="H39" s="204" t="n"/>
      <c r="I39" s="204" t="n"/>
      <c r="J39" s="217" t="n"/>
    </row>
    <row r="40" spans="1:10">
      <c r="C40" s="205" t="n"/>
      <c r="D40" s="126" t="n"/>
      <c r="E40" s="126" t="n"/>
      <c r="F40" s="126" t="n"/>
      <c r="G40" s="126" t="n"/>
      <c r="H40" s="126" t="n"/>
      <c r="I40" s="126" t="n"/>
      <c r="J40" s="206" t="n"/>
    </row>
    <row r="41" spans="1:10">
      <c r="C41" s="205" t="n"/>
      <c r="D41" s="126" t="n"/>
      <c r="E41" s="126" t="n"/>
      <c r="F41" s="126" t="n"/>
      <c r="G41" s="126" t="n"/>
      <c r="H41" s="126" t="n"/>
      <c r="I41" s="126" t="n"/>
      <c r="J41" s="206" t="n"/>
    </row>
    <row r="42" spans="1:10">
      <c r="C42" s="205" t="n"/>
      <c r="D42" s="126" t="n"/>
      <c r="E42" s="126" t="n"/>
      <c r="F42" s="126" t="n"/>
      <c r="G42" s="126" t="n"/>
      <c r="H42" s="126" t="n"/>
      <c r="I42" s="126" t="n"/>
      <c r="J42" s="206" t="n"/>
    </row>
    <row r="43" spans="1:10">
      <c r="C43" s="205" t="n"/>
      <c r="D43" s="126" t="n"/>
      <c r="E43" s="126" t="n"/>
      <c r="F43" s="126" t="n"/>
      <c r="G43" s="126" t="n"/>
      <c r="H43" s="126" t="n"/>
      <c r="I43" s="126" t="n"/>
      <c r="J43" s="206" t="n"/>
    </row>
    <row r="44" spans="1:10">
      <c r="C44" s="205" t="n"/>
      <c r="D44" s="126" t="n"/>
      <c r="E44" s="126" t="n"/>
      <c r="F44" s="126" t="n"/>
      <c r="G44" s="126" t="n"/>
      <c r="H44" s="126" t="n"/>
      <c r="I44" s="126" t="n"/>
      <c r="J44" s="206" t="n"/>
    </row>
    <row customHeight="1" ht="15.75" r="45" s="183" spans="1:10" thickBot="1">
      <c r="C45" s="210" t="n"/>
      <c r="D45" s="211" t="n"/>
      <c r="E45" s="211" t="n"/>
      <c r="F45" s="211" t="n"/>
      <c r="G45" s="211" t="n"/>
      <c r="H45" s="211" t="n"/>
      <c r="I45" s="211" t="n"/>
      <c r="J45" s="212" t="n"/>
    </row>
  </sheetData>
  <dataValidations count="1">
    <dataValidation allowBlank="0" showErrorMessage="1" showInputMessage="1" sqref="D3:D45" type="list">
      <formula1>$A$3:$A$6</formula1>
    </dataValidation>
  </dataValidations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W95"/>
  <sheetViews>
    <sheetView topLeftCell="A22" workbookViewId="0">
      <selection activeCell="T30" sqref="T30"/>
    </sheetView>
  </sheetViews>
  <sheetFormatPr baseColWidth="10" defaultRowHeight="15" outlineLevelCol="0"/>
  <cols>
    <col bestFit="1" customWidth="1" max="1" min="1" style="183" width="21.7109375"/>
    <col customWidth="1" max="4" min="4" style="183" width="11.42578125"/>
    <col customWidth="1" max="5" min="5" style="183" width="11.42578125"/>
    <col bestFit="1" customWidth="1" max="6" min="6" style="183" width="13.85546875"/>
    <col customWidth="1" max="7" min="7" style="183" width="11.42578125"/>
    <col customWidth="1" max="9" min="9" style="183" width="11.42578125"/>
    <col customWidth="1" max="10" min="10" style="183" width="11.42578125"/>
    <col bestFit="1" customWidth="1" max="11" min="11" style="183" width="13.85546875"/>
    <col customWidth="1" max="12" min="12" style="183" width="11.42578125"/>
    <col bestFit="1" customWidth="1" max="16" min="16" style="183" width="13.85546875"/>
    <col customWidth="1" max="18" min="17" style="183" width="13.85546875"/>
    <col customWidth="1" max="19" min="19" style="183" width="5.5703125"/>
    <col bestFit="1" customWidth="1" max="20" min="20" style="183" width="15.5703125"/>
    <col bestFit="1" customWidth="1" max="21" min="21" style="183" width="20.7109375"/>
    <col bestFit="1" customWidth="1" max="22" min="22" style="183" width="21.28515625"/>
    <col bestFit="1" customWidth="1" max="23" min="23" style="183" width="18"/>
  </cols>
  <sheetData>
    <row customHeight="1" ht="15.75" r="1" s="183" spans="1:23" thickBot="1">
      <c r="B1" t="s">
        <v>354</v>
      </c>
      <c r="C1" s="302" t="s">
        <v>355</v>
      </c>
      <c r="E1" s="302" t="n"/>
      <c r="F1" s="302" t="n"/>
      <c r="G1" t="s">
        <v>354</v>
      </c>
      <c r="H1" s="302" t="s">
        <v>355</v>
      </c>
      <c r="J1" s="302" t="n"/>
      <c r="K1" s="302" t="n"/>
      <c r="L1" t="s">
        <v>354</v>
      </c>
      <c r="M1" s="302" t="s">
        <v>355</v>
      </c>
      <c r="Q1" t="s">
        <v>356</v>
      </c>
      <c r="R1" t="s">
        <v>357</v>
      </c>
    </row>
    <row r="2" s="183" spans="1:23">
      <c r="B2" s="177" t="s">
        <v>358</v>
      </c>
      <c r="C2" s="179" t="s">
        <v>359</v>
      </c>
      <c r="D2" s="179" t="s">
        <v>360</v>
      </c>
      <c r="E2" s="179" t="s">
        <v>361</v>
      </c>
      <c r="F2" s="180" t="s">
        <v>362</v>
      </c>
      <c r="G2" s="177" t="s">
        <v>363</v>
      </c>
      <c r="H2" s="179" t="s">
        <v>364</v>
      </c>
      <c r="I2" s="179" t="s">
        <v>365</v>
      </c>
      <c r="J2" s="179" t="s">
        <v>366</v>
      </c>
      <c r="K2" s="180" t="s">
        <v>367</v>
      </c>
      <c r="L2" s="177" t="s">
        <v>368</v>
      </c>
      <c r="M2" s="179" t="s">
        <v>369</v>
      </c>
      <c r="N2" s="179" t="s">
        <v>370</v>
      </c>
      <c r="O2" s="179" t="s">
        <v>371</v>
      </c>
      <c r="P2" s="180" t="s">
        <v>372</v>
      </c>
      <c r="T2" s="197" t="s">
        <v>373</v>
      </c>
    </row>
    <row r="3" spans="1:23">
      <c r="A3" s="89" t="s">
        <v>145</v>
      </c>
      <c r="B3" s="191">
        <f>VLOOKUP(A3,Análisis!B:P,14,0)</f>
        <v/>
      </c>
      <c r="C3">
        <f>VLOOKUP(A3,'[1]CAMBIOS REALIZADOS'!$C:$F,3,0)</f>
        <v/>
      </c>
      <c r="D3">
        <f>VLOOKUP(A3,'[1]CAMBIOS REALIZADOS'!$C:$F,4,0)</f>
        <v/>
      </c>
      <c r="E3">
        <f>IF(OR(B3="Manual",B3=0),0,IF(D3="Sin Cambios",B3-C3,B3-D3))</f>
        <v/>
      </c>
      <c r="F3" s="189">
        <f>IF(E3&lt;0,"Menor modelo",IF(E3&gt;0,"Mayor modelo","Igual"))</f>
        <v/>
      </c>
      <c r="G3" s="191">
        <f>VLOOKUP(A3,Análisis!B:AB,26,0)</f>
        <v/>
      </c>
      <c r="H3">
        <f>VLOOKUP(A3,'[1]CAMBIOS REALIZADOS'!$C:$I,6,0)</f>
        <v/>
      </c>
      <c r="I3">
        <f>VLOOKUP(A3,'[1]CAMBIOS REALIZADOS'!$C:$I,7,0)</f>
        <v/>
      </c>
      <c r="J3">
        <f>IF(OR(G3="Manual",G3=0),0,IF(I3="Sin Cambios",G3-H3,G3-I3))</f>
        <v/>
      </c>
      <c r="K3" s="189">
        <f>IF(J3&lt;0,"Menor modelo",IF(J3&gt;0,"Mayor modelo","Igual"))</f>
        <v/>
      </c>
      <c r="L3" s="191">
        <f>VLOOKUP(A3,Análisis!B:AN,38,0)</f>
        <v/>
      </c>
      <c r="M3">
        <f>VLOOKUP(A3,'[1]CAMBIOS REALIZADOS'!$C:$L,9,0)</f>
        <v/>
      </c>
      <c r="N3">
        <f>VLOOKUP(A3,'[1]CAMBIOS REALIZADOS'!$C:$L,10,0)</f>
        <v/>
      </c>
      <c r="O3">
        <f>IF(OR(L3="Manual",L3=0),0,IF(N3="Sin Cambios",L3-M3,L3-N3))</f>
        <v/>
      </c>
      <c r="P3" s="189">
        <f>IF(O3&lt;0,"Menor modelo",IF(O3&gt;0,"Mayor modelo","Igual"))</f>
        <v/>
      </c>
      <c r="Q3">
        <f>IF(OR(G3="Manual",B3="Manual"),"Manual",G3-B3)</f>
        <v/>
      </c>
      <c r="R3">
        <f>IF(OR(L3="Manual",G3="Manual"),"Manual",L3-G3)</f>
        <v/>
      </c>
    </row>
    <row r="4" spans="1:23">
      <c r="A4" s="89" t="s">
        <v>121</v>
      </c>
      <c r="B4" s="191">
        <f>VLOOKUP(A4,Análisis!B:P,14,0)</f>
        <v/>
      </c>
      <c r="C4">
        <f>VLOOKUP(A4,'[1]CAMBIOS REALIZADOS'!$C:$F,3,0)</f>
        <v/>
      </c>
      <c r="D4">
        <f>VLOOKUP(A4,'[1]CAMBIOS REALIZADOS'!$C:$F,4,0)</f>
        <v/>
      </c>
      <c r="E4">
        <f>IF(OR(B4="Manual",B4=0),0,IF(D4="Sin Cambios",B4-C4,B4-D4))</f>
        <v/>
      </c>
      <c r="F4" s="189">
        <f>IF(E4&lt;0,"Menor modelo",IF(E4&gt;0,"Mayor modelo","Igual"))</f>
        <v/>
      </c>
      <c r="G4" s="191">
        <f>VLOOKUP(A4,Análisis!B:AB,26,0)</f>
        <v/>
      </c>
      <c r="H4">
        <f>VLOOKUP(A4,'[1]CAMBIOS REALIZADOS'!$C:$I,6,0)</f>
        <v/>
      </c>
      <c r="I4">
        <f>VLOOKUP(A4,'[1]CAMBIOS REALIZADOS'!$C:$I,7,0)</f>
        <v/>
      </c>
      <c r="J4">
        <f>IF(OR(G4="Manual",G4=0),0,IF(I4="Sin Cambios",G4-H4,G4-I4))</f>
        <v/>
      </c>
      <c r="K4" s="189">
        <f>IF(J4&lt;0,"Menor modelo",IF(J4&gt;0,"Mayor modelo","Igual"))</f>
        <v/>
      </c>
      <c r="L4" s="191">
        <f>VLOOKUP(A4,Análisis!B:AN,38,0)</f>
        <v/>
      </c>
      <c r="M4">
        <f>VLOOKUP(A4,'[1]CAMBIOS REALIZADOS'!$C:$L,9,0)</f>
        <v/>
      </c>
      <c r="N4">
        <f>VLOOKUP(A4,'[1]CAMBIOS REALIZADOS'!$C:$L,10,0)</f>
        <v/>
      </c>
      <c r="O4">
        <f>IF(OR(L4="Manual",L4=0),0,IF(N4="Sin Cambios",L4-M4,L4-N4))</f>
        <v/>
      </c>
      <c r="P4" s="189">
        <f>IF(O4&lt;0,"Menor modelo",IF(O4&gt;0,"Mayor modelo","Igual"))</f>
        <v/>
      </c>
      <c r="Q4">
        <f>IF(OR(G4="Manual",B4="Manual"),"Manual",G4-B4)</f>
        <v/>
      </c>
      <c r="R4">
        <f>IF(OR(L4="Manual",G4="Manual"),"Manual",L4-G4)</f>
        <v/>
      </c>
      <c r="T4" s="195" t="s">
        <v>215</v>
      </c>
      <c r="U4" s="195" t="s">
        <v>374</v>
      </c>
      <c r="V4" s="195" t="s">
        <v>375</v>
      </c>
      <c r="W4" s="195" t="s">
        <v>376</v>
      </c>
    </row>
    <row r="5" spans="1:23">
      <c r="A5" s="89" t="s">
        <v>134</v>
      </c>
      <c r="B5" s="191">
        <f>VLOOKUP(A5,Análisis!B:P,14,0)</f>
        <v/>
      </c>
      <c r="C5">
        <f>VLOOKUP(A5,'[1]CAMBIOS REALIZADOS'!$C:$F,3,0)</f>
        <v/>
      </c>
      <c r="D5">
        <f>VLOOKUP(A5,'[1]CAMBIOS REALIZADOS'!$C:$F,4,0)</f>
        <v/>
      </c>
      <c r="E5">
        <f>IF(OR(B5="Manual",B5=0),0,IF(D5="Sin Cambios",B5-C5,B5-D5))</f>
        <v/>
      </c>
      <c r="F5" s="189">
        <f>IF(E5&lt;0,"Menor modelo",IF(E5&gt;0,"Mayor modelo","Igual"))</f>
        <v/>
      </c>
      <c r="G5" s="191">
        <f>VLOOKUP(A5,Análisis!B:AB,26,0)</f>
        <v/>
      </c>
      <c r="H5">
        <f>VLOOKUP(A5,'[1]CAMBIOS REALIZADOS'!$C:$I,6,0)</f>
        <v/>
      </c>
      <c r="I5">
        <f>VLOOKUP(A5,'[1]CAMBIOS REALIZADOS'!$C:$I,7,0)</f>
        <v/>
      </c>
      <c r="J5">
        <f>IF(OR(G5="Manual",G5=0),0,IF(I5="Sin Cambios",G5-H5,G5-I5))</f>
        <v/>
      </c>
      <c r="K5" s="189">
        <f>IF(J5&lt;0,"Menor modelo",IF(J5&gt;0,"Mayor modelo","Igual"))</f>
        <v/>
      </c>
      <c r="L5" s="191">
        <f>VLOOKUP(A5,Análisis!B:AN,38,0)</f>
        <v/>
      </c>
      <c r="M5">
        <f>VLOOKUP(A5,'[1]CAMBIOS REALIZADOS'!$C:$L,9,0)</f>
        <v/>
      </c>
      <c r="N5">
        <f>VLOOKUP(A5,'[1]CAMBIOS REALIZADOS'!$C:$L,10,0)</f>
        <v/>
      </c>
      <c r="O5">
        <f>IF(OR(L5="Manual",L5=0),0,IF(N5="Sin Cambios",L5-M5,L5-N5))</f>
        <v/>
      </c>
      <c r="P5" s="189">
        <f>IF(O5&lt;0,"Menor modelo",IF(O5&gt;0,"Mayor modelo","Igual"))</f>
        <v/>
      </c>
      <c r="Q5">
        <f>IF(OR(G5="Manual",B5="Manual"),"Manual",G5-B5)</f>
        <v/>
      </c>
      <c r="R5">
        <f>IF(OR(L5="Manual",G5="Manual"),"Manual",L5-G5)</f>
        <v/>
      </c>
      <c r="T5" s="195" t="s">
        <v>152</v>
      </c>
      <c r="U5" s="12">
        <f>COUNTIF(B:B,"Manual")</f>
        <v/>
      </c>
      <c r="V5" s="12" t="n"/>
      <c r="W5" s="389">
        <f>U5/$V$8</f>
        <v/>
      </c>
    </row>
    <row r="6" spans="1:23">
      <c r="A6" s="89" t="s">
        <v>126</v>
      </c>
      <c r="B6" s="191">
        <f>VLOOKUP(A6,Análisis!B:P,14,0)</f>
        <v/>
      </c>
      <c r="C6">
        <f>VLOOKUP(A6,'[1]CAMBIOS REALIZADOS'!$C:$F,3,0)</f>
        <v/>
      </c>
      <c r="D6">
        <f>VLOOKUP(A6,'[1]CAMBIOS REALIZADOS'!$C:$F,4,0)</f>
        <v/>
      </c>
      <c r="E6">
        <f>IF(OR(B6="Manual",B6=0),0,IF(D6="Sin Cambios",B6-C6,B6-D6))</f>
        <v/>
      </c>
      <c r="F6" s="189">
        <f>IF(E6&lt;0,"Menor modelo",IF(E6&gt;0,"Mayor modelo","Igual"))</f>
        <v/>
      </c>
      <c r="G6" s="191">
        <f>VLOOKUP(A6,Análisis!B:AB,26,0)</f>
        <v/>
      </c>
      <c r="H6">
        <f>VLOOKUP(A6,'[1]CAMBIOS REALIZADOS'!$C:$I,6,0)</f>
        <v/>
      </c>
      <c r="I6">
        <f>VLOOKUP(A6,'[1]CAMBIOS REALIZADOS'!$C:$I,7,0)</f>
        <v/>
      </c>
      <c r="J6">
        <f>IF(OR(G6="Manual",G6=0),0,IF(I6="Sin Cambios",G6-H6,G6-I6))</f>
        <v/>
      </c>
      <c r="K6" s="189">
        <f>IF(J6&lt;0,"Menor modelo",IF(J6&gt;0,"Mayor modelo","Igual"))</f>
        <v/>
      </c>
      <c r="L6" s="191">
        <f>VLOOKUP(A6,Análisis!B:AN,38,0)</f>
        <v/>
      </c>
      <c r="M6">
        <f>VLOOKUP(A6,'[1]CAMBIOS REALIZADOS'!$C:$L,9,0)</f>
        <v/>
      </c>
      <c r="N6">
        <f>VLOOKUP(A6,'[1]CAMBIOS REALIZADOS'!$C:$L,10,0)</f>
        <v/>
      </c>
      <c r="O6">
        <f>IF(OR(L6="Manual",L6=0),0,IF(N6="Sin Cambios",L6-M6,L6-N6))</f>
        <v/>
      </c>
      <c r="P6" s="189">
        <f>IF(O6&lt;0,"Menor modelo",IF(O6&gt;0,"Mayor modelo","Igual"))</f>
        <v/>
      </c>
      <c r="Q6">
        <f>IF(OR(G6="Manual",B6="Manual"),"Manual",G6-B6)</f>
        <v/>
      </c>
      <c r="R6">
        <f>IF(OR(L6="Manual",G6="Manual"),"Manual",L6-G6)</f>
        <v/>
      </c>
      <c r="T6" s="195" t="s">
        <v>156</v>
      </c>
      <c r="U6" s="12">
        <f>COUNTIF(G:G,"Manual")</f>
        <v/>
      </c>
      <c r="V6" s="12" t="n"/>
      <c r="W6" s="389">
        <f>U6/$V$8</f>
        <v/>
      </c>
    </row>
    <row r="7" spans="1:23">
      <c r="A7" s="89" t="s">
        <v>226</v>
      </c>
      <c r="B7" s="191">
        <f>VLOOKUP(A7,Análisis!B:P,14,0)</f>
        <v/>
      </c>
      <c r="C7">
        <f>VLOOKUP(A7,'[1]CAMBIOS REALIZADOS'!$C:$F,3,0)</f>
        <v/>
      </c>
      <c r="D7">
        <f>VLOOKUP(A7,'[1]CAMBIOS REALIZADOS'!$C:$F,4,0)</f>
        <v/>
      </c>
      <c r="E7">
        <f>IF(OR(B7="Manual",B7=0),0,IF(D7="Sin Cambios",B7-C7,B7-D7))</f>
        <v/>
      </c>
      <c r="F7" s="189">
        <f>IF(E7&lt;0,"Menor modelo",IF(E7&gt;0,"Mayor modelo","Igual"))</f>
        <v/>
      </c>
      <c r="G7" s="191">
        <f>VLOOKUP(A7,Análisis!B:AB,26,0)</f>
        <v/>
      </c>
      <c r="H7">
        <f>VLOOKUP(A7,'[1]CAMBIOS REALIZADOS'!$C:$I,6,0)</f>
        <v/>
      </c>
      <c r="I7">
        <f>VLOOKUP(A7,'[1]CAMBIOS REALIZADOS'!$C:$I,7,0)</f>
        <v/>
      </c>
      <c r="J7">
        <f>IF(OR(G7="Manual",G7=0),0,IF(I7="Sin Cambios",G7-H7,G7-I7))</f>
        <v/>
      </c>
      <c r="K7" s="189">
        <f>IF(J7&lt;0,"Menor modelo",IF(J7&gt;0,"Mayor modelo","Igual"))</f>
        <v/>
      </c>
      <c r="L7" s="191">
        <f>VLOOKUP(A7,Análisis!B:AN,38,0)</f>
        <v/>
      </c>
      <c r="M7">
        <f>VLOOKUP(A7,'[1]CAMBIOS REALIZADOS'!$C:$L,9,0)</f>
        <v/>
      </c>
      <c r="N7">
        <f>VLOOKUP(A7,'[1]CAMBIOS REALIZADOS'!$C:$L,10,0)</f>
        <v/>
      </c>
      <c r="O7">
        <f>IF(OR(L7="Manual",L7=0),0,IF(N7="Sin Cambios",L7-M7,L7-N7))</f>
        <v/>
      </c>
      <c r="P7" s="189">
        <f>IF(O7&lt;0,"Menor modelo",IF(O7&gt;0,"Mayor modelo","Igual"))</f>
        <v/>
      </c>
      <c r="Q7">
        <f>IF(OR(G7="Manual",B7="Manual"),"Manual",G7-B7)</f>
        <v/>
      </c>
      <c r="R7">
        <f>IF(OR(L7="Manual",G7="Manual"),"Manual",L7-G7)</f>
        <v/>
      </c>
      <c r="T7" s="195" t="s">
        <v>154</v>
      </c>
      <c r="U7" s="12">
        <f>COUNTIF(L:L,"Manual")</f>
        <v/>
      </c>
      <c r="V7" s="12" t="n"/>
      <c r="W7" s="389">
        <f>U7/$V$8</f>
        <v/>
      </c>
    </row>
    <row r="8" spans="1:23">
      <c r="A8" s="89" t="s">
        <v>136</v>
      </c>
      <c r="B8" s="191">
        <f>VLOOKUP(A8,Análisis!B:P,14,0)</f>
        <v/>
      </c>
      <c r="C8">
        <f>VLOOKUP(A8,'[1]CAMBIOS REALIZADOS'!$C:$F,3,0)</f>
        <v/>
      </c>
      <c r="D8">
        <f>VLOOKUP(A8,'[1]CAMBIOS REALIZADOS'!$C:$F,4,0)</f>
        <v/>
      </c>
      <c r="E8">
        <f>IF(OR(B8="Manual",B8=0),0,IF(D8="Sin Cambios",B8-C8,B8-D8))</f>
        <v/>
      </c>
      <c r="F8" s="189">
        <f>IF(E8&lt;0,"Menor modelo",IF(E8&gt;0,"Mayor modelo","Igual"))</f>
        <v/>
      </c>
      <c r="G8" s="191">
        <f>VLOOKUP(A8,Análisis!B:AB,26,0)</f>
        <v/>
      </c>
      <c r="H8">
        <f>VLOOKUP(A8,'[1]CAMBIOS REALIZADOS'!$C:$I,6,0)</f>
        <v/>
      </c>
      <c r="I8">
        <f>VLOOKUP(A8,'[1]CAMBIOS REALIZADOS'!$C:$I,7,0)</f>
        <v/>
      </c>
      <c r="J8">
        <f>IF(OR(G8="Manual",G8=0),0,IF(I8="Sin Cambios",G8-H8,G8-I8))</f>
        <v/>
      </c>
      <c r="K8" s="189">
        <f>IF(J8&lt;0,"Menor modelo",IF(J8&gt;0,"Mayor modelo","Igual"))</f>
        <v/>
      </c>
      <c r="L8" s="191">
        <f>VLOOKUP(A8,Análisis!B:AN,38,0)</f>
        <v/>
      </c>
      <c r="M8">
        <f>VLOOKUP(A8,'[1]CAMBIOS REALIZADOS'!$C:$L,9,0)</f>
        <v/>
      </c>
      <c r="N8">
        <f>VLOOKUP(A8,'[1]CAMBIOS REALIZADOS'!$C:$L,10,0)</f>
        <v/>
      </c>
      <c r="O8">
        <f>IF(OR(L8="Manual",L8=0),0,IF(N8="Sin Cambios",L8-M8,L8-N8))</f>
        <v/>
      </c>
      <c r="P8" s="189">
        <f>IF(O8&lt;0,"Menor modelo",IF(O8&gt;0,"Mayor modelo","Igual"))</f>
        <v/>
      </c>
      <c r="Q8">
        <f>IF(OR(G8="Manual",B8="Manual"),"Manual",G8-B8)</f>
        <v/>
      </c>
      <c r="R8">
        <f>IF(OR(L8="Manual",G8="Manual"),"Manual",L8-G8)</f>
        <v/>
      </c>
      <c r="T8" s="195" t="s">
        <v>377</v>
      </c>
      <c r="U8" s="12">
        <f>SUM(U5:U7)</f>
        <v/>
      </c>
      <c r="V8" s="12" t="n">
        <v>93</v>
      </c>
      <c r="W8" s="389">
        <f>U8/$V$8</f>
        <v/>
      </c>
    </row>
    <row r="9" spans="1:23">
      <c r="A9" s="89" t="s">
        <v>116</v>
      </c>
      <c r="B9" s="191">
        <f>VLOOKUP(A9,Análisis!B:P,14,0)</f>
        <v/>
      </c>
      <c r="C9">
        <f>VLOOKUP(A9,'[1]CAMBIOS REALIZADOS'!$C:$F,3,0)</f>
        <v/>
      </c>
      <c r="D9">
        <f>VLOOKUP(A9,'[1]CAMBIOS REALIZADOS'!$C:$F,4,0)</f>
        <v/>
      </c>
      <c r="E9">
        <f>IF(OR(B9="Manual",B9=0),0,IF(D9="Sin Cambios",B9-C9,B9-D9))</f>
        <v/>
      </c>
      <c r="F9" s="189">
        <f>IF(E9&lt;0,"Menor modelo",IF(E9&gt;0,"Mayor modelo","Igual"))</f>
        <v/>
      </c>
      <c r="G9" s="191">
        <f>VLOOKUP(A9,Análisis!B:AB,26,0)</f>
        <v/>
      </c>
      <c r="H9">
        <f>VLOOKUP(A9,'[1]CAMBIOS REALIZADOS'!$C:$I,6,0)</f>
        <v/>
      </c>
      <c r="I9">
        <f>VLOOKUP(A9,'[1]CAMBIOS REALIZADOS'!$C:$I,7,0)</f>
        <v/>
      </c>
      <c r="J9">
        <f>IF(OR(G9="Manual",G9=0),0,IF(I9="Sin Cambios",G9-H9,G9-I9))</f>
        <v/>
      </c>
      <c r="K9" s="189">
        <f>IF(J9&lt;0,"Menor modelo",IF(J9&gt;0,"Mayor modelo","Igual"))</f>
        <v/>
      </c>
      <c r="L9" s="191">
        <f>VLOOKUP(A9,Análisis!B:AN,38,0)</f>
        <v/>
      </c>
      <c r="M9">
        <f>VLOOKUP(A9,'[1]CAMBIOS REALIZADOS'!$C:$L,9,0)</f>
        <v/>
      </c>
      <c r="N9">
        <f>VLOOKUP(A9,'[1]CAMBIOS REALIZADOS'!$C:$L,10,0)</f>
        <v/>
      </c>
      <c r="O9">
        <f>IF(OR(L9="Manual",L9=0),0,IF(N9="Sin Cambios",L9-M9,L9-N9))</f>
        <v/>
      </c>
      <c r="P9" s="189">
        <f>IF(O9&lt;0,"Menor modelo",IF(O9&gt;0,"Mayor modelo","Igual"))</f>
        <v/>
      </c>
      <c r="Q9">
        <f>IF(OR(G9="Manual",B9="Manual"),"Manual",G9-B9)</f>
        <v/>
      </c>
      <c r="R9">
        <f>IF(OR(L9="Manual",G9="Manual"),"Manual",L9-G9)</f>
        <v/>
      </c>
    </row>
    <row r="10" spans="1:23">
      <c r="A10" s="89" t="s">
        <v>147</v>
      </c>
      <c r="B10" s="191">
        <f>VLOOKUP(A10,Análisis!B:P,14,0)</f>
        <v/>
      </c>
      <c r="C10">
        <f>VLOOKUP(A10,'[1]CAMBIOS REALIZADOS'!$C:$F,3,0)</f>
        <v/>
      </c>
      <c r="D10">
        <f>VLOOKUP(A10,'[1]CAMBIOS REALIZADOS'!$C:$F,4,0)</f>
        <v/>
      </c>
      <c r="E10">
        <f>IF(OR(B10="Manual",B10=0),0,IF(D10="Sin Cambios",B10-C10,B10-D10))</f>
        <v/>
      </c>
      <c r="F10" s="189">
        <f>IF(E10&lt;0,"Menor modelo",IF(E10&gt;0,"Mayor modelo","Igual"))</f>
        <v/>
      </c>
      <c r="G10" s="191">
        <f>VLOOKUP(A10,Análisis!B:AB,26,0)</f>
        <v/>
      </c>
      <c r="H10">
        <f>VLOOKUP(A10,'[1]CAMBIOS REALIZADOS'!$C:$I,6,0)</f>
        <v/>
      </c>
      <c r="I10">
        <f>VLOOKUP(A10,'[1]CAMBIOS REALIZADOS'!$C:$I,7,0)</f>
        <v/>
      </c>
      <c r="J10">
        <f>IF(OR(G10="Manual",G10=0),0,IF(I10="Sin Cambios",G10-H10,G10-I10))</f>
        <v/>
      </c>
      <c r="K10" s="189">
        <f>IF(J10&lt;0,"Menor modelo",IF(J10&gt;0,"Mayor modelo","Igual"))</f>
        <v/>
      </c>
      <c r="L10" s="191">
        <f>VLOOKUP(A10,Análisis!B:AN,38,0)</f>
        <v/>
      </c>
      <c r="M10">
        <f>VLOOKUP(A10,'[1]CAMBIOS REALIZADOS'!$C:$L,9,0)</f>
        <v/>
      </c>
      <c r="N10">
        <f>VLOOKUP(A10,'[1]CAMBIOS REALIZADOS'!$C:$L,10,0)</f>
        <v/>
      </c>
      <c r="O10">
        <f>IF(OR(L10="Manual",L10=0),0,IF(N10="Sin Cambios",L10-M10,L10-N10))</f>
        <v/>
      </c>
      <c r="P10" s="189">
        <f>IF(O10&lt;0,"Menor modelo",IF(O10&gt;0,"Mayor modelo","Igual"))</f>
        <v/>
      </c>
      <c r="Q10">
        <f>IF(OR(G10="Manual",B10="Manual"),"Manual",G10-B10)</f>
        <v/>
      </c>
      <c r="R10">
        <f>IF(OR(L10="Manual",G10="Manual"),"Manual",L10-G10)</f>
        <v/>
      </c>
      <c r="T10" s="195" t="s">
        <v>215</v>
      </c>
      <c r="U10" s="195" t="s">
        <v>378</v>
      </c>
      <c r="V10" s="195" t="s">
        <v>379</v>
      </c>
      <c r="W10" s="195" t="s">
        <v>380</v>
      </c>
    </row>
    <row r="11" spans="1:23">
      <c r="A11" s="89" t="s">
        <v>135</v>
      </c>
      <c r="B11" s="191">
        <f>VLOOKUP(A11,Análisis!B:P,14,0)</f>
        <v/>
      </c>
      <c r="C11">
        <f>VLOOKUP(A11,'[1]CAMBIOS REALIZADOS'!$C:$F,3,0)</f>
        <v/>
      </c>
      <c r="D11">
        <f>VLOOKUP(A11,'[1]CAMBIOS REALIZADOS'!$C:$F,4,0)</f>
        <v/>
      </c>
      <c r="E11">
        <f>IF(OR(B11="Manual",B11=0),0,IF(D11="Sin Cambios",B11-C11,B11-D11))</f>
        <v/>
      </c>
      <c r="F11" s="189">
        <f>IF(E11&lt;0,"Menor modelo",IF(E11&gt;0,"Mayor modelo","Igual"))</f>
        <v/>
      </c>
      <c r="G11" s="191">
        <f>VLOOKUP(A11,Análisis!B:AB,26,0)</f>
        <v/>
      </c>
      <c r="H11">
        <f>VLOOKUP(A11,'[1]CAMBIOS REALIZADOS'!$C:$I,6,0)</f>
        <v/>
      </c>
      <c r="I11">
        <f>VLOOKUP(A11,'[1]CAMBIOS REALIZADOS'!$C:$I,7,0)</f>
        <v/>
      </c>
      <c r="J11">
        <f>IF(OR(G11="Manual",G11=0),0,IF(I11="Sin Cambios",G11-H11,G11-I11))</f>
        <v/>
      </c>
      <c r="K11" s="189">
        <f>IF(J11&lt;0,"Menor modelo",IF(J11&gt;0,"Mayor modelo","Igual"))</f>
        <v/>
      </c>
      <c r="L11" s="191">
        <f>VLOOKUP(A11,Análisis!B:AN,38,0)</f>
        <v/>
      </c>
      <c r="M11">
        <f>VLOOKUP(A11,'[1]CAMBIOS REALIZADOS'!$C:$L,9,0)</f>
        <v/>
      </c>
      <c r="N11">
        <f>VLOOKUP(A11,'[1]CAMBIOS REALIZADOS'!$C:$L,10,0)</f>
        <v/>
      </c>
      <c r="O11">
        <f>IF(OR(L11="Manual",L11=0),0,IF(N11="Sin Cambios",L11-M11,L11-N11))</f>
        <v/>
      </c>
      <c r="P11" s="189">
        <f>IF(O11&lt;0,"Menor modelo",IF(O11&gt;0,"Mayor modelo","Igual"))</f>
        <v/>
      </c>
      <c r="Q11">
        <f>IF(OR(G11="Manual",B11="Manual"),"Manual",G11-B11)</f>
        <v/>
      </c>
      <c r="R11">
        <f>IF(OR(L11="Manual",G11="Manual"),"Manual",L11-G11)</f>
        <v/>
      </c>
      <c r="T11" s="195" t="s">
        <v>152</v>
      </c>
      <c r="U11" s="311">
        <f>SUMIF(F:F,"Mayor modelo",E:E)</f>
        <v/>
      </c>
      <c r="V11" s="311">
        <f>SUMIF(F:F,"Menor modelo",E:E)</f>
        <v/>
      </c>
      <c r="W11" s="311">
        <f>SUM(E3:E71)</f>
        <v/>
      </c>
    </row>
    <row r="12" spans="1:23">
      <c r="A12" s="89" t="s">
        <v>234</v>
      </c>
      <c r="B12" s="191">
        <f>VLOOKUP(A12,Análisis!B:P,14,0)</f>
        <v/>
      </c>
      <c r="C12">
        <f>VLOOKUP(A12,'[1]CAMBIOS REALIZADOS'!$C:$F,3,0)</f>
        <v/>
      </c>
      <c r="D12">
        <f>VLOOKUP(A12,'[1]CAMBIOS REALIZADOS'!$C:$F,4,0)</f>
        <v/>
      </c>
      <c r="E12">
        <f>IF(OR(B12="Manual",B12=0),0,IF(D12="Sin Cambios",B12-C12,B12-D12))</f>
        <v/>
      </c>
      <c r="F12" s="189">
        <f>IF(E12&lt;0,"Menor modelo",IF(E12&gt;0,"Mayor modelo","Igual"))</f>
        <v/>
      </c>
      <c r="G12" s="191">
        <f>VLOOKUP(A12,Análisis!B:AB,26,0)</f>
        <v/>
      </c>
      <c r="H12">
        <f>VLOOKUP(A12,'[1]CAMBIOS REALIZADOS'!$C:$I,6,0)</f>
        <v/>
      </c>
      <c r="I12">
        <f>VLOOKUP(A12,'[1]CAMBIOS REALIZADOS'!$C:$I,7,0)</f>
        <v/>
      </c>
      <c r="J12">
        <f>IF(OR(G12="Manual",G12=0),0,IF(I12="Sin Cambios",G12-H12,G12-I12))</f>
        <v/>
      </c>
      <c r="K12" s="189">
        <f>IF(J12&lt;0,"Menor modelo",IF(J12&gt;0,"Mayor modelo","Igual"))</f>
        <v/>
      </c>
      <c r="L12" s="191">
        <f>VLOOKUP(A12,Análisis!B:AN,38,0)</f>
        <v/>
      </c>
      <c r="M12">
        <f>VLOOKUP(A12,'[1]CAMBIOS REALIZADOS'!$C:$L,9,0)</f>
        <v/>
      </c>
      <c r="N12">
        <f>VLOOKUP(A12,'[1]CAMBIOS REALIZADOS'!$C:$L,10,0)</f>
        <v/>
      </c>
      <c r="O12">
        <f>IF(OR(L12="Manual",L12=0),0,IF(N12="Sin Cambios",L12-M12,L12-N12))</f>
        <v/>
      </c>
      <c r="P12" s="189">
        <f>IF(O12&lt;0,"Menor modelo",IF(O12&gt;0,"Mayor modelo","Igual"))</f>
        <v/>
      </c>
      <c r="Q12">
        <f>IF(OR(G12="Manual",B12="Manual"),"Manual",G12-B12)</f>
        <v/>
      </c>
      <c r="R12">
        <f>IF(OR(L12="Manual",G12="Manual"),"Manual",L12-G12)</f>
        <v/>
      </c>
      <c r="T12" s="195" t="s">
        <v>156</v>
      </c>
      <c r="U12" s="311">
        <f>SUMIF(K:K,"Mayor modelo",J:J)</f>
        <v/>
      </c>
      <c r="V12" s="311">
        <f>SUMIF(K:K,"Menor modelo",J:J)</f>
        <v/>
      </c>
      <c r="W12" s="311">
        <f>SUM(J3:J71)</f>
        <v/>
      </c>
    </row>
    <row r="13" spans="1:23">
      <c r="A13" s="89" t="s">
        <v>143</v>
      </c>
      <c r="B13" s="191">
        <f>VLOOKUP(A13,Análisis!B:P,14,0)</f>
        <v/>
      </c>
      <c r="C13">
        <f>VLOOKUP(A13,'[1]CAMBIOS REALIZADOS'!$C:$F,3,0)</f>
        <v/>
      </c>
      <c r="D13">
        <f>VLOOKUP(A13,'[1]CAMBIOS REALIZADOS'!$C:$F,4,0)</f>
        <v/>
      </c>
      <c r="E13">
        <f>IF(OR(B13="Manual",B13=0),0,IF(D13="Sin Cambios",B13-C13,B13-D13))</f>
        <v/>
      </c>
      <c r="F13" s="189">
        <f>IF(E13&lt;0,"Menor modelo",IF(E13&gt;0,"Mayor modelo","Igual"))</f>
        <v/>
      </c>
      <c r="G13" s="191">
        <f>VLOOKUP(A13,Análisis!B:AB,26,0)</f>
        <v/>
      </c>
      <c r="H13">
        <f>VLOOKUP(A13,'[1]CAMBIOS REALIZADOS'!$C:$I,6,0)</f>
        <v/>
      </c>
      <c r="I13">
        <f>VLOOKUP(A13,'[1]CAMBIOS REALIZADOS'!$C:$I,7,0)</f>
        <v/>
      </c>
      <c r="J13">
        <f>IF(OR(G13="Manual",G13=0),0,IF(I13="Sin Cambios",G13-H13,G13-I13))</f>
        <v/>
      </c>
      <c r="K13" s="189">
        <f>IF(J13&lt;0,"Menor modelo",IF(J13&gt;0,"Mayor modelo","Igual"))</f>
        <v/>
      </c>
      <c r="L13" s="191">
        <f>VLOOKUP(A13,Análisis!B:AN,38,0)</f>
        <v/>
      </c>
      <c r="M13">
        <f>VLOOKUP(A13,'[1]CAMBIOS REALIZADOS'!$C:$L,9,0)</f>
        <v/>
      </c>
      <c r="N13">
        <f>VLOOKUP(A13,'[1]CAMBIOS REALIZADOS'!$C:$L,10,0)</f>
        <v/>
      </c>
      <c r="O13">
        <f>IF(OR(L13="Manual",L13=0),0,IF(N13="Sin Cambios",L13-M13,L13-N13))</f>
        <v/>
      </c>
      <c r="P13" s="189">
        <f>IF(O13&lt;0,"Menor modelo",IF(O13&gt;0,"Mayor modelo","Igual"))</f>
        <v/>
      </c>
      <c r="Q13">
        <f>IF(OR(G13="Manual",B13="Manual"),"Manual",G13-B13)</f>
        <v/>
      </c>
      <c r="R13">
        <f>IF(OR(L13="Manual",G13="Manual"),"Manual",L13-G13)</f>
        <v/>
      </c>
      <c r="T13" s="195" t="s">
        <v>154</v>
      </c>
      <c r="U13" s="311">
        <f>SUMIF(P:P,"Mayor modelo",O:O)</f>
        <v/>
      </c>
      <c r="V13" s="311">
        <f>SUMIF(P:P,"Menor modelo",O:O)</f>
        <v/>
      </c>
      <c r="W13" s="311">
        <f>SUM(O3:O71)</f>
        <v/>
      </c>
    </row>
    <row r="14" spans="1:23">
      <c r="A14" s="89" t="s">
        <v>141</v>
      </c>
      <c r="B14" s="191">
        <f>VLOOKUP(A14,Análisis!B:P,14,0)</f>
        <v/>
      </c>
      <c r="C14">
        <f>VLOOKUP(A14,'[1]CAMBIOS REALIZADOS'!$C:$F,3,0)</f>
        <v/>
      </c>
      <c r="D14">
        <f>VLOOKUP(A14,'[1]CAMBIOS REALIZADOS'!$C:$F,4,0)</f>
        <v/>
      </c>
      <c r="E14">
        <f>IF(OR(B14="Manual",B14=0),0,IF(D14="Sin Cambios",B14-C14,B14-D14))</f>
        <v/>
      </c>
      <c r="F14" s="189">
        <f>IF(E14&lt;0,"Menor modelo",IF(E14&gt;0,"Mayor modelo","Igual"))</f>
        <v/>
      </c>
      <c r="G14" s="191">
        <f>VLOOKUP(A14,Análisis!B:AB,26,0)</f>
        <v/>
      </c>
      <c r="H14">
        <f>VLOOKUP(A14,'[1]CAMBIOS REALIZADOS'!$C:$I,6,0)</f>
        <v/>
      </c>
      <c r="I14">
        <f>VLOOKUP(A14,'[1]CAMBIOS REALIZADOS'!$C:$I,7,0)</f>
        <v/>
      </c>
      <c r="J14">
        <f>IF(OR(G14="Manual",G14=0),0,IF(I14="Sin Cambios",G14-H14,G14-I14))</f>
        <v/>
      </c>
      <c r="K14" s="189">
        <f>IF(J14&lt;0,"Menor modelo",IF(J14&gt;0,"Mayor modelo","Igual"))</f>
        <v/>
      </c>
      <c r="L14" s="191">
        <f>VLOOKUP(A14,Análisis!B:AN,38,0)</f>
        <v/>
      </c>
      <c r="M14">
        <f>VLOOKUP(A14,'[1]CAMBIOS REALIZADOS'!$C:$L,9,0)</f>
        <v/>
      </c>
      <c r="N14">
        <f>VLOOKUP(A14,'[1]CAMBIOS REALIZADOS'!$C:$L,10,0)</f>
        <v/>
      </c>
      <c r="O14">
        <f>IF(OR(L14="Manual",L14=0),0,IF(N14="Sin Cambios",L14-M14,L14-N14))</f>
        <v/>
      </c>
      <c r="P14" s="189">
        <f>IF(O14&lt;0,"Menor modelo",IF(O14&gt;0,"Mayor modelo","Igual"))</f>
        <v/>
      </c>
      <c r="Q14">
        <f>IF(OR(G14="Manual",B14="Manual"),"Manual",G14-B14)</f>
        <v/>
      </c>
      <c r="R14">
        <f>IF(OR(L14="Manual",G14="Manual"),"Manual",L14-G14)</f>
        <v/>
      </c>
      <c r="T14" s="195" t="s">
        <v>377</v>
      </c>
      <c r="U14" s="311">
        <f>SUM(U11:U13)</f>
        <v/>
      </c>
      <c r="V14" s="311">
        <f>SUM(V11:V13)</f>
        <v/>
      </c>
      <c r="W14" s="311">
        <f>SUM(W11:W13)</f>
        <v/>
      </c>
    </row>
    <row r="15" spans="1:23">
      <c r="A15" s="89" t="s">
        <v>137</v>
      </c>
      <c r="B15" s="191">
        <f>VLOOKUP(A15,Análisis!B:P,14,0)</f>
        <v/>
      </c>
      <c r="C15">
        <f>VLOOKUP(A15,'[1]CAMBIOS REALIZADOS'!$C:$F,3,0)</f>
        <v/>
      </c>
      <c r="D15">
        <f>VLOOKUP(A15,'[1]CAMBIOS REALIZADOS'!$C:$F,4,0)</f>
        <v/>
      </c>
      <c r="E15">
        <f>IF(OR(B15="Manual",B15=0),0,IF(D15="Sin Cambios",B15-C15,B15-D15))</f>
        <v/>
      </c>
      <c r="F15" s="189">
        <f>IF(E15&lt;0,"Menor modelo",IF(E15&gt;0,"Mayor modelo","Igual"))</f>
        <v/>
      </c>
      <c r="G15" s="191">
        <f>VLOOKUP(A15,Análisis!B:AB,26,0)</f>
        <v/>
      </c>
      <c r="H15">
        <f>VLOOKUP(A15,'[1]CAMBIOS REALIZADOS'!$C:$I,6,0)</f>
        <v/>
      </c>
      <c r="I15">
        <f>VLOOKUP(A15,'[1]CAMBIOS REALIZADOS'!$C:$I,7,0)</f>
        <v/>
      </c>
      <c r="J15">
        <f>IF(OR(G15="Manual",G15=0),0,IF(I15="Sin Cambios",G15-H15,G15-I15))</f>
        <v/>
      </c>
      <c r="K15" s="189">
        <f>IF(J15&lt;0,"Menor modelo",IF(J15&gt;0,"Mayor modelo","Igual"))</f>
        <v/>
      </c>
      <c r="L15" s="191">
        <f>VLOOKUP(A15,Análisis!B:AN,38,0)</f>
        <v/>
      </c>
      <c r="M15">
        <f>VLOOKUP(A15,'[1]CAMBIOS REALIZADOS'!$C:$L,9,0)</f>
        <v/>
      </c>
      <c r="N15">
        <f>VLOOKUP(A15,'[1]CAMBIOS REALIZADOS'!$C:$L,10,0)</f>
        <v/>
      </c>
      <c r="O15">
        <f>IF(OR(L15="Manual",L15=0),0,IF(N15="Sin Cambios",L15-M15,L15-N15))</f>
        <v/>
      </c>
      <c r="P15" s="189">
        <f>IF(O15&lt;0,"Menor modelo",IF(O15&gt;0,"Mayor modelo","Igual"))</f>
        <v/>
      </c>
      <c r="Q15">
        <f>IF(OR(G15="Manual",B15="Manual"),"Manual",G15-B15)</f>
        <v/>
      </c>
      <c r="R15">
        <f>IF(OR(L15="Manual",G15="Manual"),"Manual",L15-G15)</f>
        <v/>
      </c>
      <c r="T15" s="196" t="s">
        <v>381</v>
      </c>
      <c r="V15" s="390" t="n"/>
    </row>
    <row r="16" spans="1:23">
      <c r="A16" s="89" t="s">
        <v>109</v>
      </c>
      <c r="B16" s="191">
        <f>VLOOKUP(A16,Análisis!B:P,14,0)</f>
        <v/>
      </c>
      <c r="C16">
        <f>VLOOKUP(A16,'[1]CAMBIOS REALIZADOS'!$C:$F,3,0)</f>
        <v/>
      </c>
      <c r="D16">
        <f>VLOOKUP(A16,'[1]CAMBIOS REALIZADOS'!$C:$F,4,0)</f>
        <v/>
      </c>
      <c r="E16">
        <f>IF(OR(B16="Manual",B16=0),0,IF(D16="Sin Cambios",B16-C16,B16-D16))</f>
        <v/>
      </c>
      <c r="F16" s="189">
        <f>IF(E16&lt;0,"Menor modelo",IF(E16&gt;0,"Mayor modelo","Igual"))</f>
        <v/>
      </c>
      <c r="G16" s="191">
        <f>VLOOKUP(A16,Análisis!B:AB,26,0)</f>
        <v/>
      </c>
      <c r="H16">
        <f>VLOOKUP(A16,'[1]CAMBIOS REALIZADOS'!$C:$I,6,0)</f>
        <v/>
      </c>
      <c r="I16">
        <f>VLOOKUP(A16,'[1]CAMBIOS REALIZADOS'!$C:$I,7,0)</f>
        <v/>
      </c>
      <c r="J16">
        <f>IF(OR(G16="Manual",G16=0),0,IF(I16="Sin Cambios",G16-H16,G16-I16))</f>
        <v/>
      </c>
      <c r="K16" s="189">
        <f>IF(J16&lt;0,"Menor modelo",IF(J16&gt;0,"Mayor modelo","Igual"))</f>
        <v/>
      </c>
      <c r="L16" s="191">
        <f>VLOOKUP(A16,Análisis!B:AN,38,0)</f>
        <v/>
      </c>
      <c r="M16">
        <f>VLOOKUP(A16,'[1]CAMBIOS REALIZADOS'!$C:$L,9,0)</f>
        <v/>
      </c>
      <c r="N16">
        <f>VLOOKUP(A16,'[1]CAMBIOS REALIZADOS'!$C:$L,10,0)</f>
        <v/>
      </c>
      <c r="O16">
        <f>IF(OR(L16="Manual",L16=0),0,IF(N16="Sin Cambios",L16-M16,L16-N16))</f>
        <v/>
      </c>
      <c r="P16" s="189">
        <f>IF(O16&lt;0,"Menor modelo",IF(O16&gt;0,"Mayor modelo","Igual"))</f>
        <v/>
      </c>
      <c r="Q16">
        <f>IF(OR(G16="Manual",B16="Manual"),"Manual",G16-B16)</f>
        <v/>
      </c>
      <c r="R16">
        <f>IF(OR(L16="Manual",G16="Manual"),"Manual",L16-G16)</f>
        <v/>
      </c>
    </row>
    <row r="17" spans="1:23">
      <c r="A17" s="89" t="s">
        <v>139</v>
      </c>
      <c r="B17" s="191">
        <f>VLOOKUP(A17,Análisis!B:P,14,0)</f>
        <v/>
      </c>
      <c r="C17">
        <f>VLOOKUP(A17,'[1]CAMBIOS REALIZADOS'!$C:$F,3,0)</f>
        <v/>
      </c>
      <c r="D17">
        <f>VLOOKUP(A17,'[1]CAMBIOS REALIZADOS'!$C:$F,4,0)</f>
        <v/>
      </c>
      <c r="E17">
        <f>IF(OR(B17="Manual",B17=0),0,IF(D17="Sin Cambios",B17-C17,B17-D17))</f>
        <v/>
      </c>
      <c r="F17" s="189">
        <f>IF(E17&lt;0,"Menor modelo",IF(E17&gt;0,"Mayor modelo","Igual"))</f>
        <v/>
      </c>
      <c r="G17" s="191">
        <f>VLOOKUP(A17,Análisis!B:AB,26,0)</f>
        <v/>
      </c>
      <c r="H17">
        <f>VLOOKUP(A17,'[1]CAMBIOS REALIZADOS'!$C:$I,6,0)</f>
        <v/>
      </c>
      <c r="I17">
        <f>VLOOKUP(A17,'[1]CAMBIOS REALIZADOS'!$C:$I,7,0)</f>
        <v/>
      </c>
      <c r="J17">
        <f>IF(OR(G17="Manual",G17=0),0,IF(I17="Sin Cambios",G17-H17,G17-I17))</f>
        <v/>
      </c>
      <c r="K17" s="189">
        <f>IF(J17&lt;0,"Menor modelo",IF(J17&gt;0,"Mayor modelo","Igual"))</f>
        <v/>
      </c>
      <c r="L17" s="191">
        <f>VLOOKUP(A17,Análisis!B:AN,38,0)</f>
        <v/>
      </c>
      <c r="M17">
        <f>VLOOKUP(A17,'[1]CAMBIOS REALIZADOS'!$C:$L,9,0)</f>
        <v/>
      </c>
      <c r="N17">
        <f>VLOOKUP(A17,'[1]CAMBIOS REALIZADOS'!$C:$L,10,0)</f>
        <v/>
      </c>
      <c r="O17">
        <f>IF(OR(L17="Manual",L17=0),0,IF(N17="Sin Cambios",L17-M17,L17-N17))</f>
        <v/>
      </c>
      <c r="P17" s="189">
        <f>IF(O17&lt;0,"Menor modelo",IF(O17&gt;0,"Mayor modelo","Igual"))</f>
        <v/>
      </c>
      <c r="Q17">
        <f>IF(OR(G17="Manual",B17="Manual"),"Manual",G17-B17)</f>
        <v/>
      </c>
      <c r="R17">
        <f>IF(OR(L17="Manual",G17="Manual"),"Manual",L17-G17)</f>
        <v/>
      </c>
      <c r="T17" s="195" t="s">
        <v>215</v>
      </c>
      <c r="U17" s="195" t="s">
        <v>382</v>
      </c>
      <c r="V17" s="391" t="s">
        <v>212</v>
      </c>
    </row>
    <row r="18" spans="1:23">
      <c r="A18" s="89" t="s">
        <v>122</v>
      </c>
      <c r="B18" s="191">
        <f>VLOOKUP(A18,Análisis!B:P,14,0)</f>
        <v/>
      </c>
      <c r="C18">
        <f>VLOOKUP(A18,'[1]CAMBIOS REALIZADOS'!$C:$F,3,0)</f>
        <v/>
      </c>
      <c r="D18">
        <f>VLOOKUP(A18,'[1]CAMBIOS REALIZADOS'!$C:$F,4,0)</f>
        <v/>
      </c>
      <c r="E18">
        <f>IF(OR(B18="Manual",B18=0),0,IF(D18="Sin Cambios",B18-C18,B18-D18))</f>
        <v/>
      </c>
      <c r="F18" s="189">
        <f>IF(E18&lt;0,"Menor modelo",IF(E18&gt;0,"Mayor modelo","Igual"))</f>
        <v/>
      </c>
      <c r="G18" s="191">
        <f>VLOOKUP(A18,Análisis!B:AB,26,0)</f>
        <v/>
      </c>
      <c r="H18">
        <f>VLOOKUP(A18,'[1]CAMBIOS REALIZADOS'!$C:$I,6,0)</f>
        <v/>
      </c>
      <c r="I18">
        <f>VLOOKUP(A18,'[1]CAMBIOS REALIZADOS'!$C:$I,7,0)</f>
        <v/>
      </c>
      <c r="J18">
        <f>IF(OR(G18="Manual",G18=0),0,IF(I18="Sin Cambios",G18-H18,G18-I18))</f>
        <v/>
      </c>
      <c r="K18" s="189">
        <f>IF(J18&lt;0,"Menor modelo",IF(J18&gt;0,"Mayor modelo","Igual"))</f>
        <v/>
      </c>
      <c r="L18" s="191">
        <f>VLOOKUP(A18,Análisis!B:AN,38,0)</f>
        <v/>
      </c>
      <c r="M18">
        <f>VLOOKUP(A18,'[1]CAMBIOS REALIZADOS'!$C:$L,9,0)</f>
        <v/>
      </c>
      <c r="N18">
        <f>VLOOKUP(A18,'[1]CAMBIOS REALIZADOS'!$C:$L,10,0)</f>
        <v/>
      </c>
      <c r="O18">
        <f>IF(OR(L18="Manual",L18=0),0,IF(N18="Sin Cambios",L18-M18,L18-N18))</f>
        <v/>
      </c>
      <c r="P18" s="189">
        <f>IF(O18&lt;0,"Menor modelo",IF(O18&gt;0,"Mayor modelo","Igual"))</f>
        <v/>
      </c>
      <c r="Q18">
        <f>IF(OR(G18="Manual",B18="Manual"),"Manual",G18-B18)</f>
        <v/>
      </c>
      <c r="R18">
        <f>IF(OR(L18="Manual",G18="Manual"),"Manual",L18-G18)</f>
        <v/>
      </c>
      <c r="T18" s="195" t="s">
        <v>152</v>
      </c>
      <c r="U18" s="392">
        <f>MAX(E3:E71)</f>
        <v/>
      </c>
      <c r="V18" s="311" t="n"/>
    </row>
    <row r="19" spans="1:23">
      <c r="A19" s="89" t="s">
        <v>119</v>
      </c>
      <c r="B19" s="191">
        <f>VLOOKUP(A19,Análisis!B:P,14,0)</f>
        <v/>
      </c>
      <c r="C19">
        <f>VLOOKUP(A19,'[1]CAMBIOS REALIZADOS'!$C:$F,3,0)</f>
        <v/>
      </c>
      <c r="D19">
        <f>VLOOKUP(A19,'[1]CAMBIOS REALIZADOS'!$C:$F,4,0)</f>
        <v/>
      </c>
      <c r="E19">
        <f>IF(OR(B19="Manual",B19=0),0,IF(D19="Sin Cambios",B19-C19,B19-D19))</f>
        <v/>
      </c>
      <c r="F19" s="189">
        <f>IF(E19&lt;0,"Menor modelo",IF(E19&gt;0,"Mayor modelo","Igual"))</f>
        <v/>
      </c>
      <c r="G19" s="191">
        <f>VLOOKUP(A19,Análisis!B:AB,26,0)</f>
        <v/>
      </c>
      <c r="H19">
        <f>VLOOKUP(A19,'[1]CAMBIOS REALIZADOS'!$C:$I,6,0)</f>
        <v/>
      </c>
      <c r="I19">
        <f>VLOOKUP(A19,'[1]CAMBIOS REALIZADOS'!$C:$I,7,0)</f>
        <v/>
      </c>
      <c r="J19">
        <f>IF(OR(G19="Manual",G19=0),0,IF(I19="Sin Cambios",G19-H19,G19-I19))</f>
        <v/>
      </c>
      <c r="K19" s="189">
        <f>IF(J19&lt;0,"Menor modelo",IF(J19&gt;0,"Mayor modelo","Igual"))</f>
        <v/>
      </c>
      <c r="L19" s="191">
        <f>VLOOKUP(A19,Análisis!B:AN,38,0)</f>
        <v/>
      </c>
      <c r="M19">
        <f>VLOOKUP(A19,'[1]CAMBIOS REALIZADOS'!$C:$L,9,0)</f>
        <v/>
      </c>
      <c r="N19">
        <f>VLOOKUP(A19,'[1]CAMBIOS REALIZADOS'!$C:$L,10,0)</f>
        <v/>
      </c>
      <c r="O19">
        <f>IF(OR(L19="Manual",L19=0),0,IF(N19="Sin Cambios",L19-M19,L19-N19))</f>
        <v/>
      </c>
      <c r="P19" s="189">
        <f>IF(O19&lt;0,"Menor modelo",IF(O19&gt;0,"Mayor modelo","Igual"))</f>
        <v/>
      </c>
      <c r="Q19">
        <f>IF(OR(G19="Manual",B19="Manual"),"Manual",G19-B19)</f>
        <v/>
      </c>
      <c r="R19">
        <f>IF(OR(L19="Manual",G19="Manual"),"Manual",L19-G19)</f>
        <v/>
      </c>
      <c r="T19" s="195" t="s">
        <v>156</v>
      </c>
      <c r="U19" s="392">
        <f>MAX(J3:J71)</f>
        <v/>
      </c>
      <c r="V19" s="12" t="n"/>
    </row>
    <row r="20" spans="1:23">
      <c r="A20" s="89" t="s">
        <v>113</v>
      </c>
      <c r="B20" s="191">
        <f>VLOOKUP(A20,Análisis!B:P,14,0)</f>
        <v/>
      </c>
      <c r="C20">
        <f>VLOOKUP(A20,'[1]CAMBIOS REALIZADOS'!$C:$F,3,0)</f>
        <v/>
      </c>
      <c r="D20">
        <f>VLOOKUP(A20,'[1]CAMBIOS REALIZADOS'!$C:$F,4,0)</f>
        <v/>
      </c>
      <c r="E20">
        <f>IF(OR(B20="Manual",B20=0),0,IF(D20="Sin Cambios",B20-C20,B20-D20))</f>
        <v/>
      </c>
      <c r="F20" s="189">
        <f>IF(E20&lt;0,"Menor modelo",IF(E20&gt;0,"Mayor modelo","Igual"))</f>
        <v/>
      </c>
      <c r="G20" s="191">
        <f>VLOOKUP(A20,Análisis!B:AB,26,0)</f>
        <v/>
      </c>
      <c r="H20">
        <f>VLOOKUP(A20,'[1]CAMBIOS REALIZADOS'!$C:$I,6,0)</f>
        <v/>
      </c>
      <c r="I20">
        <f>VLOOKUP(A20,'[1]CAMBIOS REALIZADOS'!$C:$I,7,0)</f>
        <v/>
      </c>
      <c r="J20">
        <f>IF(OR(G20="Manual",G20=0),0,IF(I20="Sin Cambios",G20-H20,G20-I20))</f>
        <v/>
      </c>
      <c r="K20" s="189">
        <f>IF(J20&lt;0,"Menor modelo",IF(J20&gt;0,"Mayor modelo","Igual"))</f>
        <v/>
      </c>
      <c r="L20" s="191">
        <f>VLOOKUP(A20,Análisis!B:AN,38,0)</f>
        <v/>
      </c>
      <c r="M20">
        <f>VLOOKUP(A20,'[1]CAMBIOS REALIZADOS'!$C:$L,9,0)</f>
        <v/>
      </c>
      <c r="N20">
        <f>VLOOKUP(A20,'[1]CAMBIOS REALIZADOS'!$C:$L,10,0)</f>
        <v/>
      </c>
      <c r="O20">
        <f>IF(OR(L20="Manual",L20=0),0,IF(N20="Sin Cambios",L20-M20,L20-N20))</f>
        <v/>
      </c>
      <c r="P20" s="189">
        <f>IF(O20&lt;0,"Menor modelo",IF(O20&gt;0,"Mayor modelo","Igual"))</f>
        <v/>
      </c>
      <c r="Q20">
        <f>IF(OR(G20="Manual",B20="Manual"),"Manual",G20-B20)</f>
        <v/>
      </c>
      <c r="R20">
        <f>IF(OR(L20="Manual",G20="Manual"),"Manual",L20-G20)</f>
        <v/>
      </c>
      <c r="T20" s="195" t="s">
        <v>154</v>
      </c>
      <c r="U20" s="392">
        <f>MAX(O3:O71)</f>
        <v/>
      </c>
      <c r="V20" s="12" t="n"/>
    </row>
    <row r="21" spans="1:23">
      <c r="A21" s="89" t="s">
        <v>138</v>
      </c>
      <c r="B21" s="191">
        <f>VLOOKUP(A21,Análisis!B:P,14,0)</f>
        <v/>
      </c>
      <c r="C21">
        <f>VLOOKUP(A21,'[1]CAMBIOS REALIZADOS'!$C:$F,3,0)</f>
        <v/>
      </c>
      <c r="D21">
        <f>VLOOKUP(A21,'[1]CAMBIOS REALIZADOS'!$C:$F,4,0)</f>
        <v/>
      </c>
      <c r="E21">
        <f>IF(OR(B21="Manual",B21=0),0,IF(D21="Sin Cambios",B21-C21,B21-D21))</f>
        <v/>
      </c>
      <c r="F21" s="189">
        <f>IF(E21&lt;0,"Menor modelo",IF(E21&gt;0,"Mayor modelo","Igual"))</f>
        <v/>
      </c>
      <c r="G21" s="191">
        <f>VLOOKUP(A21,Análisis!B:AB,26,0)</f>
        <v/>
      </c>
      <c r="H21">
        <f>VLOOKUP(A21,'[1]CAMBIOS REALIZADOS'!$C:$I,6,0)</f>
        <v/>
      </c>
      <c r="I21">
        <f>VLOOKUP(A21,'[1]CAMBIOS REALIZADOS'!$C:$I,7,0)</f>
        <v/>
      </c>
      <c r="J21">
        <f>IF(OR(G21="Manual",G21=0),0,IF(I21="Sin Cambios",G21-H21,G21-I21))</f>
        <v/>
      </c>
      <c r="K21" s="189">
        <f>IF(J21&lt;0,"Menor modelo",IF(J21&gt;0,"Mayor modelo","Igual"))</f>
        <v/>
      </c>
      <c r="L21" s="191">
        <f>VLOOKUP(A21,Análisis!B:AN,38,0)</f>
        <v/>
      </c>
      <c r="M21">
        <f>VLOOKUP(A21,'[1]CAMBIOS REALIZADOS'!$C:$L,9,0)</f>
        <v/>
      </c>
      <c r="N21">
        <f>VLOOKUP(A21,'[1]CAMBIOS REALIZADOS'!$C:$L,10,0)</f>
        <v/>
      </c>
      <c r="O21">
        <f>IF(OR(L21="Manual",L21=0),0,IF(N21="Sin Cambios",L21-M21,L21-N21))</f>
        <v/>
      </c>
      <c r="P21" s="189">
        <f>IF(O21&lt;0,"Menor modelo",IF(O21&gt;0,"Mayor modelo","Igual"))</f>
        <v/>
      </c>
      <c r="Q21">
        <f>IF(OR(G21="Manual",B21="Manual"),"Manual",G21-B21)</f>
        <v/>
      </c>
      <c r="R21">
        <f>IF(OR(L21="Manual",G21="Manual"),"Manual",L21-G21)</f>
        <v/>
      </c>
      <c r="T21" s="195" t="s">
        <v>152</v>
      </c>
      <c r="U21" s="392">
        <f>MIN(E3:E71)</f>
        <v/>
      </c>
      <c r="V21" s="311" t="n"/>
    </row>
    <row r="22" spans="1:23">
      <c r="A22" s="89" t="s">
        <v>140</v>
      </c>
      <c r="B22" s="191">
        <f>VLOOKUP(A22,Análisis!B:P,14,0)</f>
        <v/>
      </c>
      <c r="C22">
        <f>VLOOKUP(A22,'[1]CAMBIOS REALIZADOS'!$C:$F,3,0)</f>
        <v/>
      </c>
      <c r="D22">
        <f>VLOOKUP(A22,'[1]CAMBIOS REALIZADOS'!$C:$F,4,0)</f>
        <v/>
      </c>
      <c r="E22">
        <f>IF(OR(B22="Manual",B22=0),0,IF(D22="Sin Cambios",B22-C22,B22-D22))</f>
        <v/>
      </c>
      <c r="F22" s="189">
        <f>IF(E22&lt;0,"Menor modelo",IF(E22&gt;0,"Mayor modelo","Igual"))</f>
        <v/>
      </c>
      <c r="G22" s="191">
        <f>VLOOKUP(A22,Análisis!B:AB,26,0)</f>
        <v/>
      </c>
      <c r="H22">
        <f>VLOOKUP(A22,'[1]CAMBIOS REALIZADOS'!$C:$I,6,0)</f>
        <v/>
      </c>
      <c r="I22">
        <f>VLOOKUP(A22,'[1]CAMBIOS REALIZADOS'!$C:$I,7,0)</f>
        <v/>
      </c>
      <c r="J22">
        <f>IF(OR(G22="Manual",G22=0),0,IF(I22="Sin Cambios",G22-H22,G22-I22))</f>
        <v/>
      </c>
      <c r="K22" s="189">
        <f>IF(J22&lt;0,"Menor modelo",IF(J22&gt;0,"Mayor modelo","Igual"))</f>
        <v/>
      </c>
      <c r="L22" s="191">
        <f>VLOOKUP(A22,Análisis!B:AN,38,0)</f>
        <v/>
      </c>
      <c r="M22">
        <f>VLOOKUP(A22,'[1]CAMBIOS REALIZADOS'!$C:$L,9,0)</f>
        <v/>
      </c>
      <c r="N22">
        <f>VLOOKUP(A22,'[1]CAMBIOS REALIZADOS'!$C:$L,10,0)</f>
        <v/>
      </c>
      <c r="O22">
        <f>IF(OR(L22="Manual",L22=0),0,IF(N22="Sin Cambios",L22-M22,L22-N22))</f>
        <v/>
      </c>
      <c r="P22" s="189">
        <f>IF(O22&lt;0,"Menor modelo",IF(O22&gt;0,"Mayor modelo","Igual"))</f>
        <v/>
      </c>
      <c r="Q22">
        <f>IF(OR(G22="Manual",B22="Manual"),"Manual",G22-B22)</f>
        <v/>
      </c>
      <c r="R22">
        <f>IF(OR(L22="Manual",G22="Manual"),"Manual",L22-G22)</f>
        <v/>
      </c>
      <c r="T22" s="195" t="s">
        <v>156</v>
      </c>
      <c r="U22" s="392">
        <f>MIN(J3:J71)</f>
        <v/>
      </c>
      <c r="V22" s="311" t="n"/>
    </row>
    <row r="23" spans="1:23">
      <c r="A23" s="89" t="s">
        <v>112</v>
      </c>
      <c r="B23" s="191">
        <f>VLOOKUP(A23,Análisis!B:P,14,0)</f>
        <v/>
      </c>
      <c r="C23">
        <f>VLOOKUP("ESTACIÓN CENTRAL",'[1]CAMBIOS REALIZADOS'!$C:$F,3,0)</f>
        <v/>
      </c>
      <c r="D23">
        <f>VLOOKUP("ESTACIÓN CENTRAL",'[1]CAMBIOS REALIZADOS'!$C:$F,4,0)</f>
        <v/>
      </c>
      <c r="E23">
        <f>IF(OR(B23="Manual",B23=0),0,IF(D23="Sin Cambios",B23-C23,B23-D23))</f>
        <v/>
      </c>
      <c r="F23" s="189">
        <f>IF(E23&lt;0,"Menor modelo",IF(E23&gt;0,"Mayor modelo","Igual"))</f>
        <v/>
      </c>
      <c r="G23" s="191">
        <f>VLOOKUP(A23,Análisis!B:AB,26,0)</f>
        <v/>
      </c>
      <c r="H23">
        <f>VLOOKUP("ESTACIÓN CENTRAL",'[1]CAMBIOS REALIZADOS'!$C:$I,6,0)</f>
        <v/>
      </c>
      <c r="I23">
        <f>VLOOKUP("ESTACIÓN CENTRAL",'[1]CAMBIOS REALIZADOS'!$C:$I,7,0)</f>
        <v/>
      </c>
      <c r="J23">
        <f>IF(OR(G23="Manual",G23=0),0,IF(I23="Sin Cambios",G23-H23,G23-I23))</f>
        <v/>
      </c>
      <c r="K23" s="189">
        <f>IF(J23&lt;0,"Menor modelo",IF(J23&gt;0,"Mayor modelo","Igual"))</f>
        <v/>
      </c>
      <c r="L23" s="191">
        <f>VLOOKUP(A23,Análisis!B:AN,38,0)</f>
        <v/>
      </c>
      <c r="M23">
        <f>VLOOKUP("ESTACIÓN CENTRAL",'[1]CAMBIOS REALIZADOS'!$C:$L,9,0)</f>
        <v/>
      </c>
      <c r="N23">
        <f>VLOOKUP("ESTACIÓN CENTRAL",'[1]CAMBIOS REALIZADOS'!$C:$L,10,0)</f>
        <v/>
      </c>
      <c r="O23">
        <f>IF(OR(L23="Manual",L23=0),0,IF(N23="Sin Cambios",L23-M23,L23-N23))</f>
        <v/>
      </c>
      <c r="P23" s="189">
        <f>IF(O23&lt;0,"Menor modelo",IF(O23&gt;0,"Mayor modelo","Igual"))</f>
        <v/>
      </c>
      <c r="Q23">
        <f>IF(OR(G23="Manual",B23="Manual"),"Manual",G23-B23)</f>
        <v/>
      </c>
      <c r="R23">
        <f>IF(OR(L23="Manual",G23="Manual"),"Manual",L23-G23)</f>
        <v/>
      </c>
      <c r="T23" s="195" t="s">
        <v>154</v>
      </c>
      <c r="U23" s="392">
        <f>MIN(O3:O71)</f>
        <v/>
      </c>
      <c r="V23" s="311" t="n"/>
    </row>
    <row r="24" spans="1:23">
      <c r="A24" s="89" t="s">
        <v>111</v>
      </c>
      <c r="B24" s="191">
        <f>VLOOKUP(A24,Análisis!B:P,14,0)</f>
        <v/>
      </c>
      <c r="C24">
        <f>VLOOKUP(A24,'[1]CAMBIOS REALIZADOS'!$C:$F,3,0)</f>
        <v/>
      </c>
      <c r="D24">
        <f>VLOOKUP(A24,'[1]CAMBIOS REALIZADOS'!$C:$F,4,0)</f>
        <v/>
      </c>
      <c r="E24">
        <f>IF(OR(B24="Manual",B24=0),0,IF(D24="Sin Cambios",B24-C24,B24-D24))</f>
        <v/>
      </c>
      <c r="F24" s="189">
        <f>IF(E24&lt;0,"Menor modelo",IF(E24&gt;0,"Mayor modelo","Igual"))</f>
        <v/>
      </c>
      <c r="G24" s="191">
        <f>VLOOKUP(A24,Análisis!B:AB,26,0)</f>
        <v/>
      </c>
      <c r="H24">
        <f>VLOOKUP(A24,'[1]CAMBIOS REALIZADOS'!$C:$I,6,0)</f>
        <v/>
      </c>
      <c r="I24">
        <f>VLOOKUP(A24,'[1]CAMBIOS REALIZADOS'!$C:$I,7,0)</f>
        <v/>
      </c>
      <c r="J24">
        <f>IF(OR(G24="Manual",G24=0),0,IF(I24="Sin Cambios",G24-H24,G24-I24))</f>
        <v/>
      </c>
      <c r="K24" s="189">
        <f>IF(J24&lt;0,"Menor modelo",IF(J24&gt;0,"Mayor modelo","Igual"))</f>
        <v/>
      </c>
      <c r="L24" s="191">
        <f>VLOOKUP(A24,Análisis!B:AN,38,0)</f>
        <v/>
      </c>
      <c r="M24">
        <f>VLOOKUP(A24,'[1]CAMBIOS REALIZADOS'!$C:$L,9,0)</f>
        <v/>
      </c>
      <c r="N24">
        <f>VLOOKUP(A24,'[1]CAMBIOS REALIZADOS'!$C:$L,10,0)</f>
        <v/>
      </c>
      <c r="O24">
        <f>IF(OR(L24="Manual",L24=0),0,IF(N24="Sin Cambios",L24-M24,L24-N24))</f>
        <v/>
      </c>
      <c r="P24" s="189">
        <f>IF(O24&lt;0,"Menor modelo",IF(O24&gt;0,"Mayor modelo","Igual"))</f>
        <v/>
      </c>
      <c r="Q24">
        <f>IF(OR(G24="Manual",B24="Manual"),"Manual",G24-B24)</f>
        <v/>
      </c>
      <c r="R24">
        <f>IF(OR(L24="Manual",G24="Manual"),"Manual",L24-G24)</f>
        <v/>
      </c>
    </row>
    <row r="25" spans="1:23">
      <c r="A25" s="89" t="s">
        <v>125</v>
      </c>
      <c r="B25" s="191">
        <f>VLOOKUP(A25,Análisis!B:P,14,0)</f>
        <v/>
      </c>
      <c r="C25">
        <f>VLOOKUP(A25,'[1]CAMBIOS REALIZADOS'!$C:$F,3,0)</f>
        <v/>
      </c>
      <c r="D25">
        <f>VLOOKUP(A25,'[1]CAMBIOS REALIZADOS'!$C:$F,4,0)</f>
        <v/>
      </c>
      <c r="E25">
        <f>IF(OR(B25="Manual",B25=0),0,IF(D25="Sin Cambios",B25-C25,B25-D25))</f>
        <v/>
      </c>
      <c r="F25" s="189">
        <f>IF(E25&lt;0,"Menor modelo",IF(E25&gt;0,"Mayor modelo","Igual"))</f>
        <v/>
      </c>
      <c r="G25" s="191">
        <f>VLOOKUP(A25,Análisis!B:AB,26,0)</f>
        <v/>
      </c>
      <c r="H25">
        <f>VLOOKUP(A25,'[1]CAMBIOS REALIZADOS'!$C:$I,6,0)</f>
        <v/>
      </c>
      <c r="I25">
        <f>VLOOKUP(A25,'[1]CAMBIOS REALIZADOS'!$C:$I,7,0)</f>
        <v/>
      </c>
      <c r="J25">
        <f>IF(OR(G25="Manual",G25=0),0,IF(I25="Sin Cambios",G25-H25,G25-I25))</f>
        <v/>
      </c>
      <c r="K25" s="189">
        <f>IF(J25&lt;0,"Menor modelo",IF(J25&gt;0,"Mayor modelo","Igual"))</f>
        <v/>
      </c>
      <c r="L25" s="191">
        <f>VLOOKUP(A25,Análisis!B:AN,38,0)</f>
        <v/>
      </c>
      <c r="M25">
        <f>VLOOKUP(A25,'[1]CAMBIOS REALIZADOS'!$C:$L,9,0)</f>
        <v/>
      </c>
      <c r="N25">
        <f>VLOOKUP(A25,'[1]CAMBIOS REALIZADOS'!$C:$L,10,0)</f>
        <v/>
      </c>
      <c r="O25">
        <f>IF(OR(L25="Manual",L25=0),0,IF(N25="Sin Cambios",L25-M25,L25-N25))</f>
        <v/>
      </c>
      <c r="P25" s="189">
        <f>IF(O25&lt;0,"Menor modelo",IF(O25&gt;0,"Mayor modelo","Igual"))</f>
        <v/>
      </c>
      <c r="Q25">
        <f>IF(OR(G25="Manual",B25="Manual"),"Manual",G25-B25)</f>
        <v/>
      </c>
      <c r="R25">
        <f>IF(OR(L25="Manual",G25="Manual"),"Manual",L25-G25)</f>
        <v/>
      </c>
    </row>
    <row r="26" spans="1:23">
      <c r="A26" s="89" t="s">
        <v>115</v>
      </c>
      <c r="B26" s="191">
        <f>VLOOKUP(A26,Análisis!B:P,14,0)</f>
        <v/>
      </c>
      <c r="C26">
        <f>VLOOKUP(A26,'[1]CAMBIOS REALIZADOS'!$C:$F,3,0)</f>
        <v/>
      </c>
      <c r="D26">
        <f>VLOOKUP(A26,'[1]CAMBIOS REALIZADOS'!$C:$F,4,0)</f>
        <v/>
      </c>
      <c r="E26">
        <f>IF(OR(B26="Manual",B26=0),0,IF(D26="Sin Cambios",B26-C26,B26-D26))</f>
        <v/>
      </c>
      <c r="F26" s="189">
        <f>IF(E26&lt;0,"Menor modelo",IF(E26&gt;0,"Mayor modelo","Igual"))</f>
        <v/>
      </c>
      <c r="G26" s="191">
        <f>VLOOKUP(A26,Análisis!B:AB,26,0)</f>
        <v/>
      </c>
      <c r="H26">
        <f>VLOOKUP(A26,'[1]CAMBIOS REALIZADOS'!$C:$I,6,0)</f>
        <v/>
      </c>
      <c r="I26">
        <f>VLOOKUP(A26,'[1]CAMBIOS REALIZADOS'!$C:$I,7,0)</f>
        <v/>
      </c>
      <c r="J26">
        <f>IF(OR(G26="Manual",G26=0),0,IF(I26="Sin Cambios",G26-H26,G26-I26))</f>
        <v/>
      </c>
      <c r="K26" s="189">
        <f>IF(J26&lt;0,"Menor modelo",IF(J26&gt;0,"Mayor modelo","Igual"))</f>
        <v/>
      </c>
      <c r="L26" s="191">
        <f>VLOOKUP(A26,Análisis!B:AN,38,0)</f>
        <v/>
      </c>
      <c r="M26">
        <f>VLOOKUP(A26,'[1]CAMBIOS REALIZADOS'!$C:$L,9,0)</f>
        <v/>
      </c>
      <c r="N26">
        <f>VLOOKUP(A26,'[1]CAMBIOS REALIZADOS'!$C:$L,10,0)</f>
        <v/>
      </c>
      <c r="O26">
        <f>IF(OR(L26="Manual",L26=0),0,IF(N26="Sin Cambios",L26-M26,L26-N26))</f>
        <v/>
      </c>
      <c r="P26" s="189">
        <f>IF(O26&lt;0,"Menor modelo",IF(O26&gt;0,"Mayor modelo","Igual"))</f>
        <v/>
      </c>
      <c r="Q26">
        <f>IF(OR(G26="Manual",B26="Manual"),"Manual",G26-B26)</f>
        <v/>
      </c>
      <c r="R26">
        <f>IF(OR(L26="Manual",G26="Manual"),"Manual",L26-G26)</f>
        <v/>
      </c>
      <c r="T26" s="202" t="s">
        <v>383</v>
      </c>
      <c r="U26">
        <f>COUNTIF(R:R,0)</f>
        <v/>
      </c>
    </row>
    <row r="27" spans="1:23">
      <c r="A27" s="89" t="s">
        <v>110</v>
      </c>
      <c r="B27" s="191">
        <f>VLOOKUP(A27,Análisis!B:P,14,0)</f>
        <v/>
      </c>
      <c r="C27">
        <f>VLOOKUP(A27,'[1]CAMBIOS REALIZADOS'!$C:$F,3,0)</f>
        <v/>
      </c>
      <c r="D27">
        <f>VLOOKUP(A27,'[1]CAMBIOS REALIZADOS'!$C:$F,4,0)</f>
        <v/>
      </c>
      <c r="E27">
        <f>IF(OR(B27="Manual",B27=0),0,IF(D27="Sin Cambios",B27-C27,B27-D27))</f>
        <v/>
      </c>
      <c r="F27" s="189">
        <f>IF(E27&lt;0,"Menor modelo",IF(E27&gt;0,"Mayor modelo","Igual"))</f>
        <v/>
      </c>
      <c r="G27" s="191">
        <f>VLOOKUP(A27,Análisis!B:AB,26,0)</f>
        <v/>
      </c>
      <c r="H27">
        <f>VLOOKUP(A27,'[1]CAMBIOS REALIZADOS'!$C:$I,6,0)</f>
        <v/>
      </c>
      <c r="I27">
        <f>VLOOKUP(A27,'[1]CAMBIOS REALIZADOS'!$C:$I,7,0)</f>
        <v/>
      </c>
      <c r="J27">
        <f>IF(OR(G27="Manual",G27=0),0,IF(I27="Sin Cambios",G27-H27,G27-I27))</f>
        <v/>
      </c>
      <c r="K27" s="189">
        <f>IF(J27&lt;0,"Menor modelo",IF(J27&gt;0,"Mayor modelo","Igual"))</f>
        <v/>
      </c>
      <c r="L27" s="191">
        <f>VLOOKUP(A27,Análisis!B:AN,38,0)</f>
        <v/>
      </c>
      <c r="M27">
        <f>VLOOKUP(A27,'[1]CAMBIOS REALIZADOS'!$C:$L,9,0)</f>
        <v/>
      </c>
      <c r="N27">
        <f>VLOOKUP(A27,'[1]CAMBIOS REALIZADOS'!$C:$L,10,0)</f>
        <v/>
      </c>
      <c r="O27">
        <f>IF(OR(L27="Manual",L27=0),0,IF(N27="Sin Cambios",L27-M27,L27-N27))</f>
        <v/>
      </c>
      <c r="P27" s="189">
        <f>IF(O27&lt;0,"Menor modelo",IF(O27&gt;0,"Mayor modelo","Igual"))</f>
        <v/>
      </c>
      <c r="Q27">
        <f>IF(OR(G27="Manual",B27="Manual"),"Manual",G27-B27)</f>
        <v/>
      </c>
      <c r="R27">
        <f>IF(OR(L27="Manual",G27="Manual"),"Manual",L27-G27)</f>
        <v/>
      </c>
      <c r="T27" s="202" t="s">
        <v>384</v>
      </c>
      <c r="U27">
        <f>COUNTIF(Q:Q,0)</f>
        <v/>
      </c>
    </row>
    <row r="28" spans="1:23">
      <c r="A28" s="89" t="s">
        <v>114</v>
      </c>
      <c r="B28" s="191">
        <f>VLOOKUP(A28,Análisis!B:P,14,0)</f>
        <v/>
      </c>
      <c r="C28">
        <f>VLOOKUP(A28,'[1]CAMBIOS REALIZADOS'!$C:$F,3,0)</f>
        <v/>
      </c>
      <c r="D28">
        <f>VLOOKUP(A28,'[1]CAMBIOS REALIZADOS'!$C:$F,4,0)</f>
        <v/>
      </c>
      <c r="E28">
        <f>IF(OR(B28="Manual",B28=0),0,IF(D28="Sin Cambios",B28-C28,B28-D28))</f>
        <v/>
      </c>
      <c r="F28" s="189">
        <f>IF(E28&lt;0,"Menor modelo",IF(E28&gt;0,"Mayor modelo","Igual"))</f>
        <v/>
      </c>
      <c r="G28" s="191">
        <f>VLOOKUP(A28,Análisis!B:AB,26,0)</f>
        <v/>
      </c>
      <c r="H28">
        <f>VLOOKUP(A28,'[1]CAMBIOS REALIZADOS'!$C:$I,6,0)</f>
        <v/>
      </c>
      <c r="I28">
        <f>VLOOKUP(A28,'[1]CAMBIOS REALIZADOS'!$C:$I,7,0)</f>
        <v/>
      </c>
      <c r="J28">
        <f>IF(OR(G28="Manual",G28=0),0,IF(I28="Sin Cambios",G28-H28,G28-I28))</f>
        <v/>
      </c>
      <c r="K28" s="189">
        <f>IF(J28&lt;0,"Menor modelo",IF(J28&gt;0,"Mayor modelo","Igual"))</f>
        <v/>
      </c>
      <c r="L28" s="191">
        <f>VLOOKUP(A28,Análisis!B:AN,38,0)</f>
        <v/>
      </c>
      <c r="M28">
        <f>VLOOKUP(A28,'[1]CAMBIOS REALIZADOS'!$C:$L,9,0)</f>
        <v/>
      </c>
      <c r="N28">
        <f>VLOOKUP(A28,'[1]CAMBIOS REALIZADOS'!$C:$L,10,0)</f>
        <v/>
      </c>
      <c r="O28">
        <f>IF(OR(L28="Manual",L28=0),0,IF(N28="Sin Cambios",L28-M28,L28-N28))</f>
        <v/>
      </c>
      <c r="P28" s="189">
        <f>IF(O28&lt;0,"Menor modelo",IF(O28&gt;0,"Mayor modelo","Igual"))</f>
        <v/>
      </c>
      <c r="Q28">
        <f>IF(OR(G28="Manual",B28="Manual"),"Manual",G28-B28)</f>
        <v/>
      </c>
      <c r="R28">
        <f>IF(OR(L28="Manual",G28="Manual"),"Manual",L28-G28)</f>
        <v/>
      </c>
    </row>
    <row r="29" spans="1:23">
      <c r="A29" s="89" t="s">
        <v>127</v>
      </c>
      <c r="B29" s="191">
        <f>VLOOKUP(A29,Análisis!B:P,14,0)</f>
        <v/>
      </c>
      <c r="C29">
        <f>VLOOKUP(A29,'[1]CAMBIOS REALIZADOS'!$C:$F,3,0)</f>
        <v/>
      </c>
      <c r="D29">
        <f>VLOOKUP(A29,'[1]CAMBIOS REALIZADOS'!$C:$F,4,0)</f>
        <v/>
      </c>
      <c r="E29">
        <f>IF(OR(B29="Manual",B29=0),0,IF(D29="Sin Cambios",B29-C29,B29-D29))</f>
        <v/>
      </c>
      <c r="F29" s="189">
        <f>IF(E29&lt;0,"Menor modelo",IF(E29&gt;0,"Mayor modelo","Igual"))</f>
        <v/>
      </c>
      <c r="G29" s="191">
        <f>VLOOKUP(A29,Análisis!B:AB,26,0)</f>
        <v/>
      </c>
      <c r="H29">
        <f>VLOOKUP(A29,'[1]CAMBIOS REALIZADOS'!$C:$I,6,0)</f>
        <v/>
      </c>
      <c r="I29">
        <f>VLOOKUP(A29,'[1]CAMBIOS REALIZADOS'!$C:$I,7,0)</f>
        <v/>
      </c>
      <c r="J29">
        <f>IF(OR(G29="Manual",G29=0),0,IF(I29="Sin Cambios",G29-H29,G29-I29))</f>
        <v/>
      </c>
      <c r="K29" s="189">
        <f>IF(J29&lt;0,"Menor modelo",IF(J29&gt;0,"Mayor modelo","Igual"))</f>
        <v/>
      </c>
      <c r="L29" s="191">
        <f>VLOOKUP(A29,Análisis!B:AN,38,0)</f>
        <v/>
      </c>
      <c r="M29">
        <f>VLOOKUP(A29,'[1]CAMBIOS REALIZADOS'!$C:$L,9,0)</f>
        <v/>
      </c>
      <c r="N29">
        <f>VLOOKUP(A29,'[1]CAMBIOS REALIZADOS'!$C:$L,10,0)</f>
        <v/>
      </c>
      <c r="O29">
        <f>IF(OR(L29="Manual",L29=0),0,IF(N29="Sin Cambios",L29-M29,L29-N29))</f>
        <v/>
      </c>
      <c r="P29" s="189">
        <f>IF(O29&lt;0,"Menor modelo",IF(O29&gt;0,"Mayor modelo","Igual"))</f>
        <v/>
      </c>
      <c r="Q29">
        <f>IF(OR(G29="Manual",B29="Manual"),"Manual",G29-B29)</f>
        <v/>
      </c>
      <c r="R29">
        <f>IF(OR(L29="Manual",G29="Manual"),"Manual",L29-G29)</f>
        <v/>
      </c>
    </row>
    <row r="30" spans="1:23">
      <c r="A30" s="89" t="s">
        <v>106</v>
      </c>
      <c r="B30" s="191">
        <f>VLOOKUP(A30,Análisis!B:P,14,0)</f>
        <v/>
      </c>
      <c r="C30">
        <f>VLOOKUP(A30,'[1]CAMBIOS REALIZADOS'!$C:$F,3,0)</f>
        <v/>
      </c>
      <c r="D30">
        <f>VLOOKUP(A30,'[1]CAMBIOS REALIZADOS'!$C:$F,4,0)</f>
        <v/>
      </c>
      <c r="E30">
        <f>IF(OR(B30="Manual",B30=0),0,IF(D30="Sin Cambios",B30-C30,B30-D30))</f>
        <v/>
      </c>
      <c r="F30" s="189">
        <f>IF(E30&lt;0,"Menor modelo",IF(E30&gt;0,"Mayor modelo","Igual"))</f>
        <v/>
      </c>
      <c r="G30" s="191">
        <f>VLOOKUP(A30,Análisis!B:AB,26,0)</f>
        <v/>
      </c>
      <c r="H30">
        <f>VLOOKUP(A30,'[1]CAMBIOS REALIZADOS'!$C:$I,6,0)</f>
        <v/>
      </c>
      <c r="I30">
        <f>VLOOKUP(A30,'[1]CAMBIOS REALIZADOS'!$C:$I,7,0)</f>
        <v/>
      </c>
      <c r="J30">
        <f>IF(OR(G30="Manual",G30=0),0,IF(I30="Sin Cambios",G30-H30,G30-I30))</f>
        <v/>
      </c>
      <c r="K30" s="189">
        <f>IF(J30&lt;0,"Menor modelo",IF(J30&gt;0,"Mayor modelo","Igual"))</f>
        <v/>
      </c>
      <c r="L30" s="191">
        <f>VLOOKUP(A30,Análisis!B:AN,38,0)</f>
        <v/>
      </c>
      <c r="M30">
        <f>VLOOKUP(A30,'[1]CAMBIOS REALIZADOS'!$C:$L,9,0)</f>
        <v/>
      </c>
      <c r="N30">
        <f>VLOOKUP(A30,'[1]CAMBIOS REALIZADOS'!$C:$L,10,0)</f>
        <v/>
      </c>
      <c r="O30">
        <f>IF(OR(L30="Manual",L30=0),0,IF(N30="Sin Cambios",L30-M30,L30-N30))</f>
        <v/>
      </c>
      <c r="P30" s="189">
        <f>IF(O30&lt;0,"Menor modelo",IF(O30&gt;0,"Mayor modelo","Igual"))</f>
        <v/>
      </c>
      <c r="Q30">
        <f>IF(OR(G30="Manual",B30="Manual"),"Manual",G30-B30)</f>
        <v/>
      </c>
      <c r="R30">
        <f>IF(OR(L30="Manual",G30="Manual"),"Manual",L30-G30)</f>
        <v/>
      </c>
    </row>
    <row r="31" spans="1:23">
      <c r="A31" s="89" t="s">
        <v>108</v>
      </c>
      <c r="B31" s="191">
        <f>VLOOKUP(A31,Análisis!B:P,14,0)</f>
        <v/>
      </c>
      <c r="C31">
        <f>VLOOKUP(A31,'[1]CAMBIOS REALIZADOS'!$C:$F,3,0)</f>
        <v/>
      </c>
      <c r="D31">
        <f>VLOOKUP(A31,'[1]CAMBIOS REALIZADOS'!$C:$F,4,0)</f>
        <v/>
      </c>
      <c r="E31">
        <f>IF(OR(B31="Manual",B31=0),0,IF(D31="Sin Cambios",B31-C31,B31-D31))</f>
        <v/>
      </c>
      <c r="F31" s="189">
        <f>IF(E31&lt;0,"Menor modelo",IF(E31&gt;0,"Mayor modelo","Igual"))</f>
        <v/>
      </c>
      <c r="G31" s="191">
        <f>VLOOKUP(A31,Análisis!B:AB,26,0)</f>
        <v/>
      </c>
      <c r="H31">
        <f>VLOOKUP(A31,'[1]CAMBIOS REALIZADOS'!$C:$I,6,0)</f>
        <v/>
      </c>
      <c r="I31">
        <f>VLOOKUP(A31,'[1]CAMBIOS REALIZADOS'!$C:$I,7,0)</f>
        <v/>
      </c>
      <c r="J31">
        <f>IF(OR(G31="Manual",G31=0),0,IF(I31="Sin Cambios",G31-H31,G31-I31))</f>
        <v/>
      </c>
      <c r="K31" s="189">
        <f>IF(J31&lt;0,"Menor modelo",IF(J31&gt;0,"Mayor modelo","Igual"))</f>
        <v/>
      </c>
      <c r="L31" s="191">
        <f>VLOOKUP(A31,Análisis!B:AN,38,0)</f>
        <v/>
      </c>
      <c r="M31">
        <f>VLOOKUP(A31,'[1]CAMBIOS REALIZADOS'!$C:$L,9,0)</f>
        <v/>
      </c>
      <c r="N31">
        <f>VLOOKUP(A31,'[1]CAMBIOS REALIZADOS'!$C:$L,10,0)</f>
        <v/>
      </c>
      <c r="O31">
        <f>IF(OR(L31="Manual",L31=0),0,IF(N31="Sin Cambios",L31-M31,L31-N31))</f>
        <v/>
      </c>
      <c r="P31" s="189">
        <f>IF(O31&lt;0,"Menor modelo",IF(O31&gt;0,"Mayor modelo","Igual"))</f>
        <v/>
      </c>
      <c r="Q31">
        <f>IF(OR(G31="Manual",B31="Manual"),"Manual",G31-B31)</f>
        <v/>
      </c>
      <c r="R31">
        <f>IF(OR(L31="Manual",G31="Manual"),"Manual",L31-G31)</f>
        <v/>
      </c>
    </row>
    <row r="32" spans="1:23">
      <c r="A32" s="89" t="s">
        <v>150</v>
      </c>
      <c r="B32" s="191">
        <f>VLOOKUP(A32,Análisis!B:P,14,0)</f>
        <v/>
      </c>
      <c r="C32">
        <f>VLOOKUP(A32,'[1]CAMBIOS REALIZADOS'!$C:$F,3,0)</f>
        <v/>
      </c>
      <c r="D32">
        <f>VLOOKUP(A32,'[1]CAMBIOS REALIZADOS'!$C:$F,4,0)</f>
        <v/>
      </c>
      <c r="E32">
        <f>IF(OR(B32="Manual",B32=0),0,IF(D32="Sin Cambios",B32-C32,B32-D32))</f>
        <v/>
      </c>
      <c r="F32" s="189">
        <f>IF(E32&lt;0,"Menor modelo",IF(E32&gt;0,"Mayor modelo","Igual"))</f>
        <v/>
      </c>
      <c r="G32" s="191">
        <f>VLOOKUP(A32,Análisis!B:AB,26,0)</f>
        <v/>
      </c>
      <c r="H32">
        <f>VLOOKUP(A32,'[1]CAMBIOS REALIZADOS'!$C:$I,6,0)</f>
        <v/>
      </c>
      <c r="I32">
        <f>VLOOKUP(A32,'[1]CAMBIOS REALIZADOS'!$C:$I,7,0)</f>
        <v/>
      </c>
      <c r="J32">
        <f>IF(OR(G32="Manual",G32=0),0,IF(I32="Sin Cambios",G32-H32,G32-I32))</f>
        <v/>
      </c>
      <c r="K32" s="189">
        <f>IF(J32&lt;0,"Menor modelo",IF(J32&gt;0,"Mayor modelo","Igual"))</f>
        <v/>
      </c>
      <c r="L32" s="191">
        <f>VLOOKUP(A32,Análisis!B:AN,38,0)</f>
        <v/>
      </c>
      <c r="M32">
        <f>VLOOKUP(A32,'[1]CAMBIOS REALIZADOS'!$C:$L,9,0)</f>
        <v/>
      </c>
      <c r="N32">
        <f>VLOOKUP(A32,'[1]CAMBIOS REALIZADOS'!$C:$L,10,0)</f>
        <v/>
      </c>
      <c r="O32">
        <f>IF(OR(L32="Manual",L32=0),0,IF(N32="Sin Cambios",L32-M32,L32-N32))</f>
        <v/>
      </c>
      <c r="P32" s="189">
        <f>IF(O32&lt;0,"Menor modelo",IF(O32&gt;0,"Mayor modelo","Igual"))</f>
        <v/>
      </c>
      <c r="Q32">
        <f>IF(OR(G32="Manual",B32="Manual"),"Manual",G32-B32)</f>
        <v/>
      </c>
      <c r="R32">
        <f>IF(OR(L32="Manual",G32="Manual"),"Manual",L32-G32)</f>
        <v/>
      </c>
    </row>
    <row r="33" spans="1:23">
      <c r="A33" s="89" t="s">
        <v>118</v>
      </c>
      <c r="B33" s="191">
        <f>VLOOKUP(A33,Análisis!B:P,14,0)</f>
        <v/>
      </c>
      <c r="C33">
        <f>VLOOKUP(A33,'[1]CAMBIOS REALIZADOS'!$C:$F,3,0)</f>
        <v/>
      </c>
      <c r="D33">
        <f>VLOOKUP(A33,'[1]CAMBIOS REALIZADOS'!$C:$F,4,0)</f>
        <v/>
      </c>
      <c r="E33">
        <f>IF(OR(B33="Manual",B33=0),0,IF(D33="Sin Cambios",B33-C33,B33-D33))</f>
        <v/>
      </c>
      <c r="F33" s="189">
        <f>IF(E33&lt;0,"Menor modelo",IF(E33&gt;0,"Mayor modelo","Igual"))</f>
        <v/>
      </c>
      <c r="G33" s="191">
        <f>VLOOKUP(A33,Análisis!B:AB,26,0)</f>
        <v/>
      </c>
      <c r="H33">
        <f>VLOOKUP(A33,'[1]CAMBIOS REALIZADOS'!$C:$I,6,0)</f>
        <v/>
      </c>
      <c r="I33">
        <f>VLOOKUP(A33,'[1]CAMBIOS REALIZADOS'!$C:$I,7,0)</f>
        <v/>
      </c>
      <c r="J33">
        <f>IF(OR(G33="Manual",G33=0),0,IF(I33="Sin Cambios",G33-H33,G33-I33))</f>
        <v/>
      </c>
      <c r="K33" s="189">
        <f>IF(J33&lt;0,"Menor modelo",IF(J33&gt;0,"Mayor modelo","Igual"))</f>
        <v/>
      </c>
      <c r="L33" s="191">
        <f>VLOOKUP(A33,Análisis!B:AN,38,0)</f>
        <v/>
      </c>
      <c r="M33">
        <f>VLOOKUP(A33,'[1]CAMBIOS REALIZADOS'!$C:$L,9,0)</f>
        <v/>
      </c>
      <c r="N33">
        <f>VLOOKUP(A33,'[1]CAMBIOS REALIZADOS'!$C:$L,10,0)</f>
        <v/>
      </c>
      <c r="O33">
        <f>IF(OR(L33="Manual",L33=0),0,IF(N33="Sin Cambios",L33-M33,L33-N33))</f>
        <v/>
      </c>
      <c r="P33" s="189">
        <f>IF(O33&lt;0,"Menor modelo",IF(O33&gt;0,"Mayor modelo","Igual"))</f>
        <v/>
      </c>
      <c r="Q33">
        <f>IF(OR(G33="Manual",B33="Manual"),"Manual",G33-B33)</f>
        <v/>
      </c>
      <c r="R33">
        <f>IF(OR(L33="Manual",G33="Manual"),"Manual",L33-G33)</f>
        <v/>
      </c>
    </row>
    <row r="34" spans="1:23">
      <c r="A34" s="89" t="s">
        <v>146</v>
      </c>
      <c r="B34" s="191">
        <f>VLOOKUP(A34,Análisis!B:P,14,0)</f>
        <v/>
      </c>
      <c r="C34">
        <f>VLOOKUP(A34,'[1]CAMBIOS REALIZADOS'!$C:$F,3,0)</f>
        <v/>
      </c>
      <c r="D34">
        <f>VLOOKUP(A34,'[1]CAMBIOS REALIZADOS'!$C:$F,4,0)</f>
        <v/>
      </c>
      <c r="E34">
        <f>IF(OR(B34="Manual",B34=0),0,IF(D34="Sin Cambios",B34-C34,B34-D34))</f>
        <v/>
      </c>
      <c r="F34" s="189">
        <f>IF(E34&lt;0,"Menor modelo",IF(E34&gt;0,"Mayor modelo","Igual"))</f>
        <v/>
      </c>
      <c r="G34" s="191">
        <f>VLOOKUP(A34,Análisis!B:AB,26,0)</f>
        <v/>
      </c>
      <c r="H34">
        <f>VLOOKUP(A34,'[1]CAMBIOS REALIZADOS'!$C:$I,6,0)</f>
        <v/>
      </c>
      <c r="I34">
        <f>VLOOKUP(A34,'[1]CAMBIOS REALIZADOS'!$C:$I,7,0)</f>
        <v/>
      </c>
      <c r="J34">
        <f>IF(OR(G34="Manual",G34=0),0,IF(I34="Sin Cambios",G34-H34,G34-I34))</f>
        <v/>
      </c>
      <c r="K34" s="189">
        <f>IF(J34&lt;0,"Menor modelo",IF(J34&gt;0,"Mayor modelo","Igual"))</f>
        <v/>
      </c>
      <c r="L34" s="191">
        <f>VLOOKUP(A34,Análisis!B:AN,38,0)</f>
        <v/>
      </c>
      <c r="M34">
        <f>VLOOKUP(A34,'[1]CAMBIOS REALIZADOS'!$C:$L,9,0)</f>
        <v/>
      </c>
      <c r="N34">
        <f>VLOOKUP(A34,'[1]CAMBIOS REALIZADOS'!$C:$L,10,0)</f>
        <v/>
      </c>
      <c r="O34">
        <f>IF(OR(L34="Manual",L34=0),0,IF(N34="Sin Cambios",L34-M34,L34-N34))</f>
        <v/>
      </c>
      <c r="P34" s="189">
        <f>IF(O34&lt;0,"Menor modelo",IF(O34&gt;0,"Mayor modelo","Igual"))</f>
        <v/>
      </c>
      <c r="Q34">
        <f>IF(OR(G34="Manual",B34="Manual"),"Manual",G34-B34)</f>
        <v/>
      </c>
      <c r="R34">
        <f>IF(OR(L34="Manual",G34="Manual"),"Manual",L34-G34)</f>
        <v/>
      </c>
    </row>
    <row r="35" spans="1:23">
      <c r="A35" s="89" t="s">
        <v>124</v>
      </c>
      <c r="B35" s="191">
        <f>VLOOKUP(A35,Análisis!B:P,14,0)</f>
        <v/>
      </c>
      <c r="C35">
        <f>VLOOKUP(A35,'[1]CAMBIOS REALIZADOS'!$C:$F,3,0)</f>
        <v/>
      </c>
      <c r="D35">
        <f>VLOOKUP(A35,'[1]CAMBIOS REALIZADOS'!$C:$F,4,0)</f>
        <v/>
      </c>
      <c r="E35">
        <f>IF(OR(B35="Manual",B35=0),0,IF(D35="Sin Cambios",B35-C35,B35-D35))</f>
        <v/>
      </c>
      <c r="F35" s="189">
        <f>IF(E35&lt;0,"Menor modelo",IF(E35&gt;0,"Mayor modelo","Igual"))</f>
        <v/>
      </c>
      <c r="G35" s="191">
        <f>VLOOKUP(A35,Análisis!B:AB,26,0)</f>
        <v/>
      </c>
      <c r="H35">
        <f>VLOOKUP(A35,'[1]CAMBIOS REALIZADOS'!$C:$I,6,0)</f>
        <v/>
      </c>
      <c r="I35">
        <f>VLOOKUP(A35,'[1]CAMBIOS REALIZADOS'!$C:$I,7,0)</f>
        <v/>
      </c>
      <c r="J35">
        <f>IF(OR(G35="Manual",G35=0),0,IF(I35="Sin Cambios",G35-H35,G35-I35))</f>
        <v/>
      </c>
      <c r="K35" s="189">
        <f>IF(J35&lt;0,"Menor modelo",IF(J35&gt;0,"Mayor modelo","Igual"))</f>
        <v/>
      </c>
      <c r="L35" s="191">
        <f>VLOOKUP(A35,Análisis!B:AN,38,0)</f>
        <v/>
      </c>
      <c r="M35">
        <f>VLOOKUP(A35,'[1]CAMBIOS REALIZADOS'!$C:$L,9,0)</f>
        <v/>
      </c>
      <c r="N35">
        <f>VLOOKUP(A35,'[1]CAMBIOS REALIZADOS'!$C:$L,10,0)</f>
        <v/>
      </c>
      <c r="O35">
        <f>IF(OR(L35="Manual",L35=0),0,IF(N35="Sin Cambios",L35-M35,L35-N35))</f>
        <v/>
      </c>
      <c r="P35" s="189">
        <f>IF(O35&lt;0,"Menor modelo",IF(O35&gt;0,"Mayor modelo","Igual"))</f>
        <v/>
      </c>
      <c r="Q35">
        <f>IF(OR(G35="Manual",B35="Manual"),"Manual",G35-B35)</f>
        <v/>
      </c>
      <c r="R35">
        <f>IF(OR(L35="Manual",G35="Manual"),"Manual",L35-G35)</f>
        <v/>
      </c>
    </row>
    <row r="36" spans="1:23">
      <c r="A36" s="89" t="s">
        <v>270</v>
      </c>
      <c r="B36" s="191">
        <f>VLOOKUP(A36,Análisis!B:P,14,0)</f>
        <v/>
      </c>
      <c r="C36">
        <f>VLOOKUP(A36,'[1]CAMBIOS REALIZADOS'!$C:$F,3,0)</f>
        <v/>
      </c>
      <c r="D36">
        <f>VLOOKUP(A36,'[1]CAMBIOS REALIZADOS'!$C:$F,4,0)</f>
        <v/>
      </c>
      <c r="E36">
        <f>IF(OR(B36="Manual",B36=0),0,IF(D36="Sin Cambios",B36-C36,B36-D36))</f>
        <v/>
      </c>
      <c r="F36" s="189">
        <f>IF(E36&lt;0,"Menor modelo",IF(E36&gt;0,"Mayor modelo","Igual"))</f>
        <v/>
      </c>
      <c r="G36" s="191">
        <f>VLOOKUP(A36,Análisis!B:AB,26,0)</f>
        <v/>
      </c>
      <c r="H36">
        <f>VLOOKUP(A36,'[1]CAMBIOS REALIZADOS'!$C:$I,6,0)</f>
        <v/>
      </c>
      <c r="I36">
        <f>VLOOKUP(A36,'[1]CAMBIOS REALIZADOS'!$C:$I,7,0)</f>
        <v/>
      </c>
      <c r="J36">
        <f>IF(OR(G36="Manual",G36=0),0,IF(I36="Sin Cambios",G36-H36,G36-I36))</f>
        <v/>
      </c>
      <c r="K36" s="189">
        <f>IF(J36&lt;0,"Menor modelo",IF(J36&gt;0,"Mayor modelo","Igual"))</f>
        <v/>
      </c>
      <c r="L36" s="191">
        <f>VLOOKUP(A36,Análisis!B:AN,38,0)</f>
        <v/>
      </c>
      <c r="M36">
        <f>VLOOKUP(A36,'[1]CAMBIOS REALIZADOS'!$C:$L,9,0)</f>
        <v/>
      </c>
      <c r="N36">
        <f>VLOOKUP(A36,'[1]CAMBIOS REALIZADOS'!$C:$L,10,0)</f>
        <v/>
      </c>
      <c r="O36">
        <f>IF(OR(L36="Manual",L36=0),0,IF(N36="Sin Cambios",L36-M36,L36-N36))</f>
        <v/>
      </c>
      <c r="P36" s="189">
        <f>IF(O36&lt;0,"Menor modelo",IF(O36&gt;0,"Mayor modelo","Igual"))</f>
        <v/>
      </c>
      <c r="Q36">
        <f>IF(OR(G36="Manual",B36="Manual"),"Manual",G36-B36)</f>
        <v/>
      </c>
      <c r="R36">
        <f>IF(OR(L36="Manual",G36="Manual"),"Manual",L36-G36)</f>
        <v/>
      </c>
    </row>
    <row r="37" spans="1:23">
      <c r="A37" s="89" t="s">
        <v>120</v>
      </c>
      <c r="B37" s="191">
        <f>VLOOKUP(A37,Análisis!B:P,14,0)</f>
        <v/>
      </c>
      <c r="C37">
        <f>VLOOKUP(A37,'[1]CAMBIOS REALIZADOS'!$C:$F,3,0)</f>
        <v/>
      </c>
      <c r="D37">
        <f>VLOOKUP(A37,'[1]CAMBIOS REALIZADOS'!$C:$F,4,0)</f>
        <v/>
      </c>
      <c r="E37">
        <f>IF(OR(B37="Manual",B37=0),0,IF(D37="Sin Cambios",B37-C37,B37-D37))</f>
        <v/>
      </c>
      <c r="F37" s="189">
        <f>IF(E37&lt;0,"Menor modelo",IF(E37&gt;0,"Mayor modelo","Igual"))</f>
        <v/>
      </c>
      <c r="G37" s="191">
        <f>VLOOKUP(A37,Análisis!B:AB,26,0)</f>
        <v/>
      </c>
      <c r="H37">
        <f>VLOOKUP(A37,'[1]CAMBIOS REALIZADOS'!$C:$I,6,0)</f>
        <v/>
      </c>
      <c r="I37">
        <f>VLOOKUP(A37,'[1]CAMBIOS REALIZADOS'!$C:$I,7,0)</f>
        <v/>
      </c>
      <c r="J37">
        <f>IF(OR(G37="Manual",G37=0),0,IF(I37="Sin Cambios",G37-H37,G37-I37))</f>
        <v/>
      </c>
      <c r="K37" s="189">
        <f>IF(J37&lt;0,"Menor modelo",IF(J37&gt;0,"Mayor modelo","Igual"))</f>
        <v/>
      </c>
      <c r="L37" s="191">
        <f>VLOOKUP(A37,Análisis!B:AN,38,0)</f>
        <v/>
      </c>
      <c r="M37">
        <f>VLOOKUP(A37,'[1]CAMBIOS REALIZADOS'!$C:$L,9,0)</f>
        <v/>
      </c>
      <c r="N37">
        <f>VLOOKUP(A37,'[1]CAMBIOS REALIZADOS'!$C:$L,10,0)</f>
        <v/>
      </c>
      <c r="O37">
        <f>IF(OR(L37="Manual",L37=0),0,IF(N37="Sin Cambios",L37-M37,L37-N37))</f>
        <v/>
      </c>
      <c r="P37" s="189">
        <f>IF(O37&lt;0,"Menor modelo",IF(O37&gt;0,"Mayor modelo","Igual"))</f>
        <v/>
      </c>
      <c r="Q37">
        <f>IF(OR(G37="Manual",B37="Manual"),"Manual",G37-B37)</f>
        <v/>
      </c>
      <c r="R37">
        <f>IF(OR(L37="Manual",G37="Manual"),"Manual",L37-G37)</f>
        <v/>
      </c>
    </row>
    <row r="38" spans="1:23">
      <c r="A38" s="89" t="s">
        <v>117</v>
      </c>
      <c r="B38" s="191">
        <f>VLOOKUP(A38,Análisis!B:P,14,0)</f>
        <v/>
      </c>
      <c r="C38">
        <f>VLOOKUP(A38,'[1]CAMBIOS REALIZADOS'!$C:$F,3,0)</f>
        <v/>
      </c>
      <c r="D38">
        <f>VLOOKUP(A38,'[1]CAMBIOS REALIZADOS'!$C:$F,4,0)</f>
        <v/>
      </c>
      <c r="E38">
        <f>IF(OR(B38="Manual",B38=0),0,IF(D38="Sin Cambios",B38-C38,B38-D38))</f>
        <v/>
      </c>
      <c r="F38" s="189">
        <f>IF(E38&lt;0,"Menor modelo",IF(E38&gt;0,"Mayor modelo","Igual"))</f>
        <v/>
      </c>
      <c r="G38" s="191">
        <f>VLOOKUP(A38,Análisis!B:AB,26,0)</f>
        <v/>
      </c>
      <c r="H38">
        <f>VLOOKUP(A38,'[1]CAMBIOS REALIZADOS'!$C:$I,6,0)</f>
        <v/>
      </c>
      <c r="I38">
        <f>VLOOKUP(A38,'[1]CAMBIOS REALIZADOS'!$C:$I,7,0)</f>
        <v/>
      </c>
      <c r="J38">
        <f>IF(OR(G38="Manual",G38=0),0,IF(I38="Sin Cambios",G38-H38,G38-I38))</f>
        <v/>
      </c>
      <c r="K38" s="189">
        <f>IF(J38&lt;0,"Menor modelo",IF(J38&gt;0,"Mayor modelo","Igual"))</f>
        <v/>
      </c>
      <c r="L38" s="191">
        <f>VLOOKUP(A38,Análisis!B:AN,38,0)</f>
        <v/>
      </c>
      <c r="M38">
        <f>VLOOKUP(A38,'[1]CAMBIOS REALIZADOS'!$C:$L,9,0)</f>
        <v/>
      </c>
      <c r="N38">
        <f>VLOOKUP(A38,'[1]CAMBIOS REALIZADOS'!$C:$L,10,0)</f>
        <v/>
      </c>
      <c r="O38">
        <f>IF(OR(L38="Manual",L38=0),0,IF(N38="Sin Cambios",L38-M38,L38-N38))</f>
        <v/>
      </c>
      <c r="P38" s="189">
        <f>IF(O38&lt;0,"Menor modelo",IF(O38&gt;0,"Mayor modelo","Igual"))</f>
        <v/>
      </c>
      <c r="Q38">
        <f>IF(OR(G38="Manual",B38="Manual"),"Manual",G38-B38)</f>
        <v/>
      </c>
      <c r="R38">
        <f>IF(OR(L38="Manual",G38="Manual"),"Manual",L38-G38)</f>
        <v/>
      </c>
    </row>
    <row r="39" spans="1:23">
      <c r="A39" s="89" t="s">
        <v>107</v>
      </c>
      <c r="B39" s="191">
        <f>VLOOKUP(A39,Análisis!B:P,14,0)</f>
        <v/>
      </c>
      <c r="C39">
        <f>VLOOKUP(A39,'[1]CAMBIOS REALIZADOS'!$C:$F,3,0)</f>
        <v/>
      </c>
      <c r="D39">
        <f>VLOOKUP(A39,'[1]CAMBIOS REALIZADOS'!$C:$F,4,0)</f>
        <v/>
      </c>
      <c r="E39">
        <f>IF(OR(B39="Manual",B39=0),0,IF(D39="Sin Cambios",B39-C39,B39-D39))</f>
        <v/>
      </c>
      <c r="F39" s="189">
        <f>IF(E39&lt;0,"Menor modelo",IF(E39&gt;0,"Mayor modelo","Igual"))</f>
        <v/>
      </c>
      <c r="G39" s="191">
        <f>VLOOKUP(A39,Análisis!B:AB,26,0)</f>
        <v/>
      </c>
      <c r="H39">
        <f>VLOOKUP(A39,'[1]CAMBIOS REALIZADOS'!$C:$I,6,0)</f>
        <v/>
      </c>
      <c r="I39">
        <f>VLOOKUP(A39,'[1]CAMBIOS REALIZADOS'!$C:$I,7,0)</f>
        <v/>
      </c>
      <c r="J39">
        <f>IF(OR(G39="Manual",G39=0),0,IF(I39="Sin Cambios",G39-H39,G39-I39))</f>
        <v/>
      </c>
      <c r="K39" s="189">
        <f>IF(J39&lt;0,"Menor modelo",IF(J39&gt;0,"Mayor modelo","Igual"))</f>
        <v/>
      </c>
      <c r="L39" s="191">
        <f>VLOOKUP(A39,Análisis!B:AN,38,0)</f>
        <v/>
      </c>
      <c r="M39">
        <f>VLOOKUP(A39,'[1]CAMBIOS REALIZADOS'!$C:$L,9,0)</f>
        <v/>
      </c>
      <c r="N39">
        <f>VLOOKUP(A39,'[1]CAMBIOS REALIZADOS'!$C:$L,10,0)</f>
        <v/>
      </c>
      <c r="O39">
        <f>IF(OR(L39="Manual",L39=0),0,IF(N39="Sin Cambios",L39-M39,L39-N39))</f>
        <v/>
      </c>
      <c r="P39" s="189">
        <f>IF(O39&lt;0,"Menor modelo",IF(O39&gt;0,"Mayor modelo","Igual"))</f>
        <v/>
      </c>
      <c r="Q39">
        <f>IF(OR(G39="Manual",B39="Manual"),"Manual",G39-B39)</f>
        <v/>
      </c>
      <c r="R39">
        <f>IF(OR(L39="Manual",G39="Manual"),"Manual",L39-G39)</f>
        <v/>
      </c>
    </row>
    <row r="40" spans="1:23">
      <c r="A40" s="89" t="s">
        <v>142</v>
      </c>
      <c r="B40" s="191">
        <f>VLOOKUP(A40,Análisis!B:P,14,0)</f>
        <v/>
      </c>
      <c r="C40">
        <f>VLOOKUP(A40,'[1]CAMBIOS REALIZADOS'!$C:$F,3,0)</f>
        <v/>
      </c>
      <c r="D40">
        <f>VLOOKUP(A40,'[1]CAMBIOS REALIZADOS'!$C:$F,4,0)</f>
        <v/>
      </c>
      <c r="E40">
        <f>IF(OR(B40="Manual",B40=0),0,IF(D40="Sin Cambios",B40-C40,B40-D40))</f>
        <v/>
      </c>
      <c r="F40" s="189">
        <f>IF(E40&lt;0,"Menor modelo",IF(E40&gt;0,"Mayor modelo","Igual"))</f>
        <v/>
      </c>
      <c r="G40" s="191">
        <f>VLOOKUP(A40,Análisis!B:AB,26,0)</f>
        <v/>
      </c>
      <c r="H40">
        <f>VLOOKUP(A40,'[1]CAMBIOS REALIZADOS'!$C:$I,6,0)</f>
        <v/>
      </c>
      <c r="I40">
        <f>VLOOKUP(A40,'[1]CAMBIOS REALIZADOS'!$C:$I,7,0)</f>
        <v/>
      </c>
      <c r="J40">
        <f>IF(OR(G40="Manual",G40=0),0,IF(I40="Sin Cambios",G40-H40,G40-I40))</f>
        <v/>
      </c>
      <c r="K40" s="189">
        <f>IF(J40&lt;0,"Menor modelo",IF(J40&gt;0,"Mayor modelo","Igual"))</f>
        <v/>
      </c>
      <c r="L40" s="191">
        <f>VLOOKUP(A40,Análisis!B:AN,38,0)</f>
        <v/>
      </c>
      <c r="M40">
        <f>VLOOKUP(A40,'[1]CAMBIOS REALIZADOS'!$C:$L,9,0)</f>
        <v/>
      </c>
      <c r="N40">
        <f>VLOOKUP(A40,'[1]CAMBIOS REALIZADOS'!$C:$L,10,0)</f>
        <v/>
      </c>
      <c r="O40">
        <f>IF(OR(L40="Manual",L40=0),0,IF(N40="Sin Cambios",L40-M40,L40-N40))</f>
        <v/>
      </c>
      <c r="P40" s="189">
        <f>IF(O40&lt;0,"Menor modelo",IF(O40&gt;0,"Mayor modelo","Igual"))</f>
        <v/>
      </c>
      <c r="Q40">
        <f>IF(OR(G40="Manual",B40="Manual"),"Manual",G40-B40)</f>
        <v/>
      </c>
      <c r="R40">
        <f>IF(OR(L40="Manual",G40="Manual"),"Manual",L40-G40)</f>
        <v/>
      </c>
    </row>
    <row r="41" spans="1:23">
      <c r="A41" s="89" t="s">
        <v>131</v>
      </c>
      <c r="B41" s="191">
        <f>VLOOKUP(A41,Análisis!B:P,14,0)</f>
        <v/>
      </c>
      <c r="C41">
        <f>VLOOKUP(A41,'[1]CAMBIOS REALIZADOS'!$C:$F,3,0)</f>
        <v/>
      </c>
      <c r="D41">
        <f>VLOOKUP(A41,'[1]CAMBIOS REALIZADOS'!$C:$F,4,0)</f>
        <v/>
      </c>
      <c r="E41">
        <f>IF(OR(B41="Manual",B41=0),0,IF(D41="Sin Cambios",B41-C41,B41-D41))</f>
        <v/>
      </c>
      <c r="F41" s="189">
        <f>IF(E41&lt;0,"Menor modelo",IF(E41&gt;0,"Mayor modelo","Igual"))</f>
        <v/>
      </c>
      <c r="G41" s="191">
        <f>VLOOKUP(A41,Análisis!B:AB,26,0)</f>
        <v/>
      </c>
      <c r="H41">
        <f>VLOOKUP(A41,'[1]CAMBIOS REALIZADOS'!$C:$I,6,0)</f>
        <v/>
      </c>
      <c r="I41">
        <f>VLOOKUP(A41,'[1]CAMBIOS REALIZADOS'!$C:$I,7,0)</f>
        <v/>
      </c>
      <c r="J41">
        <f>IF(OR(G41="Manual",G41=0),0,IF(I41="Sin Cambios",G41-H41,G41-I41))</f>
        <v/>
      </c>
      <c r="K41" s="189">
        <f>IF(J41&lt;0,"Menor modelo",IF(J41&gt;0,"Mayor modelo","Igual"))</f>
        <v/>
      </c>
      <c r="L41" s="191">
        <f>VLOOKUP(A41,Análisis!B:AN,38,0)</f>
        <v/>
      </c>
      <c r="M41">
        <f>VLOOKUP(A41,'[1]CAMBIOS REALIZADOS'!$C:$L,9,0)</f>
        <v/>
      </c>
      <c r="N41">
        <f>VLOOKUP(A41,'[1]CAMBIOS REALIZADOS'!$C:$L,10,0)</f>
        <v/>
      </c>
      <c r="O41">
        <f>IF(OR(L41="Manual",L41=0),0,IF(N41="Sin Cambios",L41-M41,L41-N41))</f>
        <v/>
      </c>
      <c r="P41" s="189">
        <f>IF(O41&lt;0,"Menor modelo",IF(O41&gt;0,"Mayor modelo","Igual"))</f>
        <v/>
      </c>
      <c r="Q41">
        <f>IF(OR(G41="Manual",B41="Manual"),"Manual",G41-B41)</f>
        <v/>
      </c>
      <c r="R41">
        <f>IF(OR(L41="Manual",G41="Manual"),"Manual",L41-G41)</f>
        <v/>
      </c>
    </row>
    <row r="42" spans="1:23">
      <c r="A42" s="89" t="s">
        <v>144</v>
      </c>
      <c r="B42" s="191">
        <f>VLOOKUP(A42,Análisis!B:P,14,0)</f>
        <v/>
      </c>
      <c r="C42">
        <f>VLOOKUP(A42,'[1]CAMBIOS REALIZADOS'!$C:$F,3,0)</f>
        <v/>
      </c>
      <c r="D42">
        <f>VLOOKUP(A42,'[1]CAMBIOS REALIZADOS'!$C:$F,4,0)</f>
        <v/>
      </c>
      <c r="E42">
        <f>IF(OR(B42="Manual",B42=0),0,IF(D42="Sin Cambios",B42-C42,B42-D42))</f>
        <v/>
      </c>
      <c r="F42" s="189">
        <f>IF(E42&lt;0,"Menor modelo",IF(E42&gt;0,"Mayor modelo","Igual"))</f>
        <v/>
      </c>
      <c r="G42" s="191">
        <f>VLOOKUP(A42,Análisis!B:AB,26,0)</f>
        <v/>
      </c>
      <c r="H42">
        <f>VLOOKUP(A42,'[1]CAMBIOS REALIZADOS'!$C:$I,6,0)</f>
        <v/>
      </c>
      <c r="I42">
        <f>VLOOKUP(A42,'[1]CAMBIOS REALIZADOS'!$C:$I,7,0)</f>
        <v/>
      </c>
      <c r="J42">
        <f>IF(OR(G42="Manual",G42=0),0,IF(I42="Sin Cambios",G42-H42,G42-I42))</f>
        <v/>
      </c>
      <c r="K42" s="189">
        <f>IF(J42&lt;0,"Menor modelo",IF(J42&gt;0,"Mayor modelo","Igual"))</f>
        <v/>
      </c>
      <c r="L42" s="191">
        <f>VLOOKUP(A42,Análisis!B:AN,38,0)</f>
        <v/>
      </c>
      <c r="M42">
        <f>VLOOKUP(A42,'[1]CAMBIOS REALIZADOS'!$C:$L,9,0)</f>
        <v/>
      </c>
      <c r="N42">
        <f>VLOOKUP(A42,'[1]CAMBIOS REALIZADOS'!$C:$L,10,0)</f>
        <v/>
      </c>
      <c r="O42">
        <f>IF(OR(L42="Manual",L42=0),0,IF(N42="Sin Cambios",L42-M42,L42-N42))</f>
        <v/>
      </c>
      <c r="P42" s="189">
        <f>IF(O42&lt;0,"Menor modelo",IF(O42&gt;0,"Mayor modelo","Igual"))</f>
        <v/>
      </c>
      <c r="Q42">
        <f>IF(OR(G42="Manual",B42="Manual"),"Manual",G42-B42)</f>
        <v/>
      </c>
      <c r="R42">
        <f>IF(OR(L42="Manual",G42="Manual"),"Manual",L42-G42)</f>
        <v/>
      </c>
    </row>
    <row r="43" spans="1:23">
      <c r="A43" s="89" t="s">
        <v>123</v>
      </c>
      <c r="B43" s="191">
        <f>VLOOKUP(A43,Análisis!B:P,14,0)</f>
        <v/>
      </c>
      <c r="C43">
        <f>VLOOKUP(A43,'[1]CAMBIOS REALIZADOS'!$C:$F,3,0)</f>
        <v/>
      </c>
      <c r="D43">
        <f>VLOOKUP(A43,'[1]CAMBIOS REALIZADOS'!$C:$F,4,0)</f>
        <v/>
      </c>
      <c r="F43" s="189">
        <f>IF(E43&lt;0,"Menor modelo",IF(E43&gt;0,"Mayor modelo","Igual"))</f>
        <v/>
      </c>
      <c r="G43" s="191">
        <f>VLOOKUP(A43,Análisis!B:AB,26,0)</f>
        <v/>
      </c>
      <c r="H43">
        <f>VLOOKUP(A43,'[1]CAMBIOS REALIZADOS'!$C:$I,6,0)</f>
        <v/>
      </c>
      <c r="I43">
        <f>VLOOKUP(A43,'[1]CAMBIOS REALIZADOS'!$C:$I,7,0)</f>
        <v/>
      </c>
      <c r="K43" s="189">
        <f>IF(J43&lt;0,"Menor modelo",IF(J43&gt;0,"Mayor modelo","Igual"))</f>
        <v/>
      </c>
      <c r="L43" s="191">
        <f>VLOOKUP(A43,Análisis!B:AN,38,0)</f>
        <v/>
      </c>
      <c r="M43">
        <f>VLOOKUP(A43,'[1]CAMBIOS REALIZADOS'!$C:$L,9,0)</f>
        <v/>
      </c>
      <c r="N43">
        <f>VLOOKUP(A43,'[1]CAMBIOS REALIZADOS'!$C:$L,10,0)</f>
        <v/>
      </c>
      <c r="P43" s="189">
        <f>IF(O43&lt;0,"Menor modelo",IF(O43&gt;0,"Mayor modelo","Igual"))</f>
        <v/>
      </c>
      <c r="Q43">
        <f>IF(OR(G43="Manual",B43="Manual"),"Manual",G43-B43)</f>
        <v/>
      </c>
      <c r="R43">
        <f>IF(OR(L43="Manual",G43="Manual"),"Manual",L43-G43)</f>
        <v/>
      </c>
    </row>
    <row r="44" spans="1:23">
      <c r="A44" s="89" t="s">
        <v>129</v>
      </c>
      <c r="B44" s="191">
        <f>VLOOKUP(A44,Análisis!B:P,14,0)</f>
        <v/>
      </c>
      <c r="C44">
        <f>VLOOKUP(A44,'[1]CAMBIOS REALIZADOS'!$C:$F,3,0)</f>
        <v/>
      </c>
      <c r="D44">
        <f>VLOOKUP(A44,'[1]CAMBIOS REALIZADOS'!$C:$F,4,0)</f>
        <v/>
      </c>
      <c r="E44">
        <f>IF(OR(B44="Manual",B44=0),0,IF(D44="Sin Cambios",B44-C44,B44-D44))</f>
        <v/>
      </c>
      <c r="F44" s="189">
        <f>IF(E44&lt;0,"Menor modelo",IF(E44&gt;0,"Mayor modelo","Igual"))</f>
        <v/>
      </c>
      <c r="G44" s="191">
        <f>VLOOKUP(A44,Análisis!B:AB,26,0)</f>
        <v/>
      </c>
      <c r="H44">
        <f>VLOOKUP(A44,'[1]CAMBIOS REALIZADOS'!$C:$I,6,0)</f>
        <v/>
      </c>
      <c r="I44">
        <f>VLOOKUP(A44,'[1]CAMBIOS REALIZADOS'!$C:$I,7,0)</f>
        <v/>
      </c>
      <c r="J44">
        <f>IF(OR(G44="Manual",G44=0),0,IF(I44="Sin Cambios",G44-H44,G44-I44))</f>
        <v/>
      </c>
      <c r="K44" s="189">
        <f>IF(J44&lt;0,"Menor modelo",IF(J44&gt;0,"Mayor modelo","Igual"))</f>
        <v/>
      </c>
      <c r="L44" s="191">
        <f>VLOOKUP(A44,Análisis!B:AN,38,0)</f>
        <v/>
      </c>
      <c r="M44">
        <f>VLOOKUP(A44,'[1]CAMBIOS REALIZADOS'!$C:$L,9,0)</f>
        <v/>
      </c>
      <c r="N44">
        <f>VLOOKUP(A44,'[1]CAMBIOS REALIZADOS'!$C:$L,10,0)</f>
        <v/>
      </c>
      <c r="P44" s="189">
        <f>IF(O44&lt;0,"Menor modelo",IF(O44&gt;0,"Mayor modelo","Igual"))</f>
        <v/>
      </c>
      <c r="Q44">
        <f>IF(OR(G44="Manual",B44="Manual"),"Manual",G44-B44)</f>
        <v/>
      </c>
      <c r="R44">
        <f>IF(OR(L44="Manual",G44="Manual"),"Manual",L44-G44)</f>
        <v/>
      </c>
    </row>
    <row r="45" spans="1:23">
      <c r="A45" s="89" t="s">
        <v>85</v>
      </c>
      <c r="B45" s="191">
        <f>VLOOKUP(A45,Análisis!B:P,14,0)</f>
        <v/>
      </c>
      <c r="C45">
        <f>VLOOKUP(A45,'[1]CAMBIOS REALIZADOS'!$C:$F,3,0)</f>
        <v/>
      </c>
      <c r="D45">
        <f>VLOOKUP(A45,'[1]CAMBIOS REALIZADOS'!$C:$F,4,0)</f>
        <v/>
      </c>
      <c r="E45">
        <f>IF(OR(B45="Manual",B45=0),0,IF(D45="Sin Cambios",B45-C45,B45-D45))</f>
        <v/>
      </c>
      <c r="F45" s="189">
        <f>IF(E45&lt;0,"Menor modelo",IF(E45&gt;0,"Mayor modelo","Igual"))</f>
        <v/>
      </c>
      <c r="G45" s="191">
        <f>VLOOKUP(A45,Análisis!B:AB,26,0)</f>
        <v/>
      </c>
      <c r="H45">
        <f>VLOOKUP(A45,'[1]CAMBIOS REALIZADOS'!$C:$I,6,0)</f>
        <v/>
      </c>
      <c r="I45">
        <f>VLOOKUP(A45,'[1]CAMBIOS REALIZADOS'!$C:$I,7,0)</f>
        <v/>
      </c>
      <c r="J45">
        <f>IF(OR(G45="Manual",G45=0),0,IF(I45="Sin Cambios",G45-H45,G45-I45))</f>
        <v/>
      </c>
      <c r="K45" s="189">
        <f>IF(J45&lt;0,"Menor modelo",IF(J45&gt;0,"Mayor modelo","Igual"))</f>
        <v/>
      </c>
      <c r="L45" s="191">
        <f>VLOOKUP(A45,Análisis!B:AN,38,0)</f>
        <v/>
      </c>
      <c r="M45">
        <f>VLOOKUP(A45,'[1]CAMBIOS REALIZADOS'!$C:$L,9,0)</f>
        <v/>
      </c>
      <c r="N45">
        <f>VLOOKUP(A45,'[1]CAMBIOS REALIZADOS'!$C:$L,10,0)</f>
        <v/>
      </c>
      <c r="O45">
        <f>IF(OR(L45="Manual",L45=0),0,IF(N45="Sin Cambios",L45-M45,L45-N45))</f>
        <v/>
      </c>
      <c r="P45" s="189">
        <f>IF(O45&lt;0,"Menor modelo",IF(O45&gt;0,"Mayor modelo","Igual"))</f>
        <v/>
      </c>
      <c r="Q45">
        <f>IF(OR(G45="Manual",B45="Manual"),"Manual",G45-B45)</f>
        <v/>
      </c>
      <c r="R45">
        <f>IF(OR(L45="Manual",G45="Manual"),"Manual",L45-G45)</f>
        <v/>
      </c>
    </row>
    <row r="46" spans="1:23">
      <c r="A46" s="89" t="s">
        <v>37</v>
      </c>
      <c r="B46" s="191">
        <f>VLOOKUP(A46,Análisis!B:P,14,0)</f>
        <v/>
      </c>
      <c r="C46">
        <f>VLOOKUP(A46,'[1]CAMBIOS REALIZADOS'!$C:$F,3,0)</f>
        <v/>
      </c>
      <c r="D46">
        <f>VLOOKUP(A46,'[1]CAMBIOS REALIZADOS'!$C:$F,4,0)</f>
        <v/>
      </c>
      <c r="E46">
        <f>IF(OR(B46="Manual",B46=0),0,IF(D46="Sin Cambios",B46-C46,B46-D46))</f>
        <v/>
      </c>
      <c r="F46" s="189">
        <f>IF(E46&lt;0,"Menor modelo",IF(E46&gt;0,"Mayor modelo","Igual"))</f>
        <v/>
      </c>
      <c r="G46" s="191">
        <f>VLOOKUP(A46,Análisis!B:AB,26,0)</f>
        <v/>
      </c>
      <c r="H46">
        <f>VLOOKUP(A46,'[1]CAMBIOS REALIZADOS'!$C:$I,6,0)</f>
        <v/>
      </c>
      <c r="I46">
        <f>VLOOKUP(A46,'[1]CAMBIOS REALIZADOS'!$C:$I,7,0)</f>
        <v/>
      </c>
      <c r="J46">
        <f>IF(OR(G46="Manual",G46=0),0,IF(I46="Sin Cambios",G46-H46,G46-I46))</f>
        <v/>
      </c>
      <c r="K46" s="189">
        <f>IF(J46&lt;0,"Menor modelo",IF(J46&gt;0,"Mayor modelo","Igual"))</f>
        <v/>
      </c>
      <c r="L46" s="191">
        <f>VLOOKUP(A46,Análisis!B:AN,38,0)</f>
        <v/>
      </c>
      <c r="M46">
        <f>VLOOKUP(A46,'[1]CAMBIOS REALIZADOS'!$C:$L,9,0)</f>
        <v/>
      </c>
      <c r="N46">
        <f>VLOOKUP(A46,'[1]CAMBIOS REALIZADOS'!$C:$L,10,0)</f>
        <v/>
      </c>
      <c r="O46">
        <f>IF(OR(L46="Manual",L46=0),0,IF(N46="Sin Cambios",L46-M46,L46-N46))</f>
        <v/>
      </c>
      <c r="P46" s="189">
        <f>IF(O46&lt;0,"Menor modelo",IF(O46&gt;0,"Mayor modelo","Igual"))</f>
        <v/>
      </c>
      <c r="Q46">
        <f>IF(OR(G46="Manual",B46="Manual"),"Manual",G46-B46)</f>
        <v/>
      </c>
      <c r="R46">
        <f>IF(OR(L46="Manual",G46="Manual"),"Manual",L46-G46)</f>
        <v/>
      </c>
    </row>
    <row r="47" spans="1:23">
      <c r="A47" s="89" t="s">
        <v>222</v>
      </c>
      <c r="B47" s="191">
        <f>VLOOKUP(A47,Análisis!B:P,14,0)</f>
        <v/>
      </c>
      <c r="C47">
        <f>VLOOKUP(A47,'[1]CAMBIOS REALIZADOS'!$C:$F,3,0)</f>
        <v/>
      </c>
      <c r="D47">
        <f>VLOOKUP(A47,'[1]CAMBIOS REALIZADOS'!$C:$F,4,0)</f>
        <v/>
      </c>
      <c r="E47">
        <f>IF(OR(B47="Manual",B47=0),0,IF(D47="Sin Cambios",B47-C47,B47-D47))</f>
        <v/>
      </c>
      <c r="F47" s="189">
        <f>IF(E47&lt;0,"Menor modelo",IF(E47&gt;0,"Mayor modelo","Igual"))</f>
        <v/>
      </c>
      <c r="G47" s="191">
        <f>VLOOKUP(A47,Análisis!B:AB,26,0)</f>
        <v/>
      </c>
      <c r="H47">
        <f>VLOOKUP(A47,'[1]CAMBIOS REALIZADOS'!$C:$I,6,0)</f>
        <v/>
      </c>
      <c r="I47">
        <f>VLOOKUP(A47,'[1]CAMBIOS REALIZADOS'!$C:$I,7,0)</f>
        <v/>
      </c>
      <c r="J47">
        <f>IF(OR(G47="Manual",G47=0),0,IF(I47="Sin Cambios",G47-H47,G47-I47))</f>
        <v/>
      </c>
      <c r="K47" s="189">
        <f>IF(J47&lt;0,"Menor modelo",IF(J47&gt;0,"Mayor modelo","Igual"))</f>
        <v/>
      </c>
      <c r="L47" s="191">
        <f>VLOOKUP(A47,Análisis!B:AN,38,0)</f>
        <v/>
      </c>
      <c r="M47">
        <f>VLOOKUP(A47,'[1]CAMBIOS REALIZADOS'!$C:$L,9,0)</f>
        <v/>
      </c>
      <c r="N47">
        <f>VLOOKUP(A47,'[1]CAMBIOS REALIZADOS'!$C:$L,10,0)</f>
        <v/>
      </c>
      <c r="O47">
        <f>IF(OR(L47="Manual",L47=0),0,IF(N47="Sin Cambios",L47-M47,L47-N47))</f>
        <v/>
      </c>
      <c r="P47" s="189">
        <f>IF(O47&lt;0,"Menor modelo",IF(O47&gt;0,"Mayor modelo","Igual"))</f>
        <v/>
      </c>
      <c r="Q47">
        <f>IF(OR(G47="Manual",B47="Manual"),"Manual",G47-B47)</f>
        <v/>
      </c>
      <c r="R47">
        <f>IF(OR(L47="Manual",G47="Manual"),"Manual",L47-G47)</f>
        <v/>
      </c>
    </row>
    <row r="48" spans="1:23">
      <c r="A48" s="89" t="s">
        <v>83</v>
      </c>
      <c r="B48" s="191">
        <f>VLOOKUP(A48,Análisis!B:P,14,0)</f>
        <v/>
      </c>
      <c r="C48">
        <f>VLOOKUP(A48,'[1]CAMBIOS REALIZADOS'!$C:$F,3,0)</f>
        <v/>
      </c>
      <c r="D48">
        <f>VLOOKUP(A48,'[1]CAMBIOS REALIZADOS'!$C:$F,4,0)</f>
        <v/>
      </c>
      <c r="E48">
        <f>IF(OR(B48="Manual",B48=0),0,IF(D48="Sin Cambios",B48-C48,B48-D48))</f>
        <v/>
      </c>
      <c r="F48" s="189">
        <f>IF(E48&lt;0,"Menor modelo",IF(E48&gt;0,"Mayor modelo","Igual"))</f>
        <v/>
      </c>
      <c r="G48" s="191">
        <f>VLOOKUP(A48,Análisis!B:AB,26,0)</f>
        <v/>
      </c>
      <c r="H48">
        <f>VLOOKUP(A48,'[1]CAMBIOS REALIZADOS'!$C:$I,6,0)</f>
        <v/>
      </c>
      <c r="I48">
        <f>VLOOKUP(A48,'[1]CAMBIOS REALIZADOS'!$C:$I,7,0)</f>
        <v/>
      </c>
      <c r="J48">
        <f>IF(OR(G48="Manual",G48=0),0,IF(I48="Sin Cambios",G48-H48,G48-I48))</f>
        <v/>
      </c>
      <c r="K48" s="189">
        <f>IF(J48&lt;0,"Menor modelo",IF(J48&gt;0,"Mayor modelo","Igual"))</f>
        <v/>
      </c>
      <c r="L48" s="191">
        <f>VLOOKUP(A48,Análisis!B:AN,38,0)</f>
        <v/>
      </c>
      <c r="M48">
        <f>VLOOKUP(A48,'[1]CAMBIOS REALIZADOS'!$C:$L,9,0)</f>
        <v/>
      </c>
      <c r="N48">
        <f>VLOOKUP(A48,'[1]CAMBIOS REALIZADOS'!$C:$L,10,0)</f>
        <v/>
      </c>
      <c r="O48">
        <f>IF(OR(L48="Manual",L48=0),0,IF(N48="Sin Cambios",L48-M48,L48-N48))</f>
        <v/>
      </c>
      <c r="P48" s="189">
        <f>IF(O48&lt;0,"Menor modelo",IF(O48&gt;0,"Mayor modelo","Igual"))</f>
        <v/>
      </c>
      <c r="Q48">
        <f>IF(OR(G48="Manual",B48="Manual"),"Manual",G48-B48)</f>
        <v/>
      </c>
      <c r="R48">
        <f>IF(OR(L48="Manual",G48="Manual"),"Manual",L48-G48)</f>
        <v/>
      </c>
    </row>
    <row r="49" spans="1:23">
      <c r="A49" s="89" t="s">
        <v>98</v>
      </c>
      <c r="B49" s="191">
        <f>VLOOKUP(A49,Análisis!B:P,14,0)</f>
        <v/>
      </c>
      <c r="C49">
        <f>VLOOKUP(A49,'[1]CAMBIOS REALIZADOS'!$C:$F,3,0)</f>
        <v/>
      </c>
      <c r="D49">
        <f>VLOOKUP(A49,'[1]CAMBIOS REALIZADOS'!$C:$F,4,0)</f>
        <v/>
      </c>
      <c r="E49">
        <f>IF(OR(B49="Manual",B49=0),0,IF(D49="Sin Cambios",B49-C49,B49-D49))</f>
        <v/>
      </c>
      <c r="F49" s="189">
        <f>IF(E49&lt;0,"Menor modelo",IF(E49&gt;0,"Mayor modelo","Igual"))</f>
        <v/>
      </c>
      <c r="G49" s="191">
        <f>VLOOKUP(A49,Análisis!B:AB,26,0)</f>
        <v/>
      </c>
      <c r="H49">
        <f>VLOOKUP(A49,'[1]CAMBIOS REALIZADOS'!$C:$I,6,0)</f>
        <v/>
      </c>
      <c r="I49">
        <f>VLOOKUP(A49,'[1]CAMBIOS REALIZADOS'!$C:$I,7,0)</f>
        <v/>
      </c>
      <c r="J49">
        <f>IF(OR(G49="Manual",G49=0),0,IF(I49="Sin Cambios",G49-H49,G49-I49))</f>
        <v/>
      </c>
      <c r="K49" s="189">
        <f>IF(J49&lt;0,"Menor modelo",IF(J49&gt;0,"Mayor modelo","Igual"))</f>
        <v/>
      </c>
      <c r="L49" s="191">
        <f>VLOOKUP(A49,Análisis!B:AN,38,0)</f>
        <v/>
      </c>
      <c r="M49">
        <f>VLOOKUP(A49,'[1]CAMBIOS REALIZADOS'!$C:$L,9,0)</f>
        <v/>
      </c>
      <c r="N49">
        <f>VLOOKUP(A49,'[1]CAMBIOS REALIZADOS'!$C:$L,10,0)</f>
        <v/>
      </c>
      <c r="O49">
        <f>IF(OR(L49="Manual",L49=0),0,IF(N49="Sin Cambios",L49-M49,L49-N49))</f>
        <v/>
      </c>
      <c r="P49" s="189">
        <f>IF(O49&lt;0,"Menor modelo",IF(O49&gt;0,"Mayor modelo","Igual"))</f>
        <v/>
      </c>
      <c r="Q49">
        <f>IF(OR(G49="Manual",B49="Manual"),"Manual",G49-B49)</f>
        <v/>
      </c>
      <c r="R49">
        <f>IF(OR(L49="Manual",G49="Manual"),"Manual",L49-G49)</f>
        <v/>
      </c>
    </row>
    <row r="50" spans="1:23">
      <c r="A50" s="89" t="s">
        <v>104</v>
      </c>
      <c r="B50" s="191">
        <f>VLOOKUP(A50,Análisis!B:P,14,0)</f>
        <v/>
      </c>
      <c r="C50">
        <f>VLOOKUP(A50,'[1]CAMBIOS REALIZADOS'!$C:$F,3,0)</f>
        <v/>
      </c>
      <c r="D50">
        <f>VLOOKUP(A50,'[1]CAMBIOS REALIZADOS'!$C:$F,4,0)</f>
        <v/>
      </c>
      <c r="E50">
        <f>IF(OR(B50="Manual",B50=0),0,IF(D50="Sin Cambios",B50-C50,B50-D50))</f>
        <v/>
      </c>
      <c r="F50" s="189">
        <f>IF(E50&lt;0,"Menor modelo",IF(E50&gt;0,"Mayor modelo","Igual"))</f>
        <v/>
      </c>
      <c r="G50" s="191">
        <f>VLOOKUP(A50,Análisis!B:AB,26,0)</f>
        <v/>
      </c>
      <c r="H50">
        <f>VLOOKUP(A50,'[1]CAMBIOS REALIZADOS'!$C:$I,6,0)</f>
        <v/>
      </c>
      <c r="I50">
        <f>VLOOKUP(A50,'[1]CAMBIOS REALIZADOS'!$C:$I,7,0)</f>
        <v/>
      </c>
      <c r="J50">
        <f>IF(OR(G50="Manual",G50=0),0,IF(I50="Sin Cambios",G50-H50,G50-I50))</f>
        <v/>
      </c>
      <c r="K50" s="189">
        <f>IF(J50&lt;0,"Menor modelo",IF(J50&gt;0,"Mayor modelo","Igual"))</f>
        <v/>
      </c>
      <c r="L50" s="191">
        <f>VLOOKUP(A50,Análisis!B:AN,38,0)</f>
        <v/>
      </c>
      <c r="M50">
        <f>VLOOKUP(A50,'[1]CAMBIOS REALIZADOS'!$C:$L,9,0)</f>
        <v/>
      </c>
      <c r="N50">
        <f>VLOOKUP(A50,'[1]CAMBIOS REALIZADOS'!$C:$L,10,0)</f>
        <v/>
      </c>
      <c r="O50">
        <f>IF(OR(L50="Manual",L50=0),0,IF(N50="Sin Cambios",L50-M50,L50-N50))</f>
        <v/>
      </c>
      <c r="P50" s="189">
        <f>IF(O50&lt;0,"Menor modelo",IF(O50&gt;0,"Mayor modelo","Igual"))</f>
        <v/>
      </c>
      <c r="Q50">
        <f>IF(OR(G50="Manual",B50="Manual"),"Manual",G50-B50)</f>
        <v/>
      </c>
      <c r="R50">
        <f>IF(OR(L50="Manual",G50="Manual"),"Manual",L50-G50)</f>
        <v/>
      </c>
    </row>
    <row r="51" spans="1:23">
      <c r="A51" s="89" t="s">
        <v>61</v>
      </c>
      <c r="B51" s="191">
        <f>VLOOKUP(A51,Análisis!B:P,14,0)</f>
        <v/>
      </c>
      <c r="C51">
        <f>VLOOKUP(A51,'[1]CAMBIOS REALIZADOS'!$C:$F,3,0)</f>
        <v/>
      </c>
      <c r="D51">
        <f>VLOOKUP(A51,'[1]CAMBIOS REALIZADOS'!$C:$F,4,0)</f>
        <v/>
      </c>
      <c r="E51">
        <f>IF(OR(B51="Manual",B51=0),0,IF(D51="Sin Cambios",B51-C51,B51-D51))</f>
        <v/>
      </c>
      <c r="F51" s="189">
        <f>IF(E51&lt;0,"Menor modelo",IF(E51&gt;0,"Mayor modelo","Igual"))</f>
        <v/>
      </c>
      <c r="G51" s="191">
        <f>VLOOKUP(A51,Análisis!B:AB,26,0)</f>
        <v/>
      </c>
      <c r="H51">
        <f>VLOOKUP(A51,'[1]CAMBIOS REALIZADOS'!$C:$I,6,0)</f>
        <v/>
      </c>
      <c r="I51">
        <f>VLOOKUP(A51,'[1]CAMBIOS REALIZADOS'!$C:$I,7,0)</f>
        <v/>
      </c>
      <c r="J51">
        <f>IF(OR(G51="Manual",G51=0),0,IF(I51="Sin Cambios",G51-H51,G51-I51))</f>
        <v/>
      </c>
      <c r="K51" s="189">
        <f>IF(J51&lt;0,"Menor modelo",IF(J51&gt;0,"Mayor modelo","Igual"))</f>
        <v/>
      </c>
      <c r="L51" s="191">
        <f>VLOOKUP(A51,Análisis!B:AN,38,0)</f>
        <v/>
      </c>
      <c r="M51">
        <f>VLOOKUP(A51,'[1]CAMBIOS REALIZADOS'!$C:$L,9,0)</f>
        <v/>
      </c>
      <c r="N51">
        <f>VLOOKUP(A51,'[1]CAMBIOS REALIZADOS'!$C:$L,10,0)</f>
        <v/>
      </c>
      <c r="O51">
        <f>IF(OR(L51="Manual",L51=0),0,IF(N51="Sin Cambios",L51-M51,L51-N51))</f>
        <v/>
      </c>
      <c r="P51" s="189">
        <f>IF(O51&lt;0,"Menor modelo",IF(O51&gt;0,"Mayor modelo","Igual"))</f>
        <v/>
      </c>
      <c r="Q51">
        <f>IF(OR(G51="Manual",B51="Manual"),"Manual",G51-B51)</f>
        <v/>
      </c>
      <c r="R51">
        <f>IF(OR(L51="Manual",G51="Manual"),"Manual",L51-G51)</f>
        <v/>
      </c>
    </row>
    <row r="52" spans="1:23">
      <c r="A52" s="89" t="s">
        <v>231</v>
      </c>
      <c r="B52" s="191">
        <f>VLOOKUP(A52,Análisis!B:P,14,0)</f>
        <v/>
      </c>
      <c r="C52">
        <f>VLOOKUP(A52,'[1]CAMBIOS REALIZADOS'!$C:$F,3,0)</f>
        <v/>
      </c>
      <c r="D52">
        <f>VLOOKUP(A52,'[1]CAMBIOS REALIZADOS'!$C:$F,4,0)</f>
        <v/>
      </c>
      <c r="E52">
        <f>IF(OR(B52="Manual",B52=0),0,IF(D52="Sin Cambios",B52-C52,B52-D52))</f>
        <v/>
      </c>
      <c r="F52" s="189">
        <f>IF(E52&lt;0,"Menor modelo",IF(E52&gt;0,"Mayor modelo","Igual"))</f>
        <v/>
      </c>
      <c r="G52" s="191">
        <f>VLOOKUP(A52,Análisis!B:AB,26,0)</f>
        <v/>
      </c>
      <c r="H52">
        <f>VLOOKUP(A52,'[1]CAMBIOS REALIZADOS'!$C:$I,6,0)</f>
        <v/>
      </c>
      <c r="I52">
        <f>VLOOKUP(A52,'[1]CAMBIOS REALIZADOS'!$C:$I,7,0)</f>
        <v/>
      </c>
      <c r="J52">
        <f>IF(OR(G52="Manual",G52=0),0,IF(I52="Sin Cambios",G52-H52,G52-I52))</f>
        <v/>
      </c>
      <c r="K52" s="189">
        <f>IF(J52&lt;0,"Menor modelo",IF(J52&gt;0,"Mayor modelo","Igual"))</f>
        <v/>
      </c>
      <c r="L52" s="191">
        <f>VLOOKUP(A52,Análisis!B:AN,38,0)</f>
        <v/>
      </c>
      <c r="M52">
        <f>VLOOKUP(A52,'[1]CAMBIOS REALIZADOS'!$C:$L,9,0)</f>
        <v/>
      </c>
      <c r="N52">
        <f>VLOOKUP(A52,'[1]CAMBIOS REALIZADOS'!$C:$L,10,0)</f>
        <v/>
      </c>
      <c r="O52">
        <f>IF(OR(L52="Manual",L52=0),0,IF(N52="Sin Cambios",L52-M52,L52-N52))</f>
        <v/>
      </c>
      <c r="P52" s="189">
        <f>IF(O52&lt;0,"Menor modelo",IF(O52&gt;0,"Mayor modelo","Igual"))</f>
        <v/>
      </c>
      <c r="Q52">
        <f>IF(OR(G52="Manual",B52="Manual"),"Manual",G52-B52)</f>
        <v/>
      </c>
      <c r="R52">
        <f>IF(OR(L52="Manual",G52="Manual"),"Manual",L52-G52)</f>
        <v/>
      </c>
    </row>
    <row r="53" spans="1:23">
      <c r="A53" s="89" t="s">
        <v>54</v>
      </c>
      <c r="B53" s="191">
        <f>VLOOKUP(A53,Análisis!B:P,14,0)</f>
        <v/>
      </c>
      <c r="C53">
        <f>VLOOKUP(A53,'[1]CAMBIOS REALIZADOS'!$C:$F,3,0)</f>
        <v/>
      </c>
      <c r="D53">
        <f>VLOOKUP(A53,'[1]CAMBIOS REALIZADOS'!$C:$F,4,0)</f>
        <v/>
      </c>
      <c r="E53">
        <f>IF(OR(B53="Manual",B53=0),0,IF(D53="Sin Cambios",B53-C53,B53-D53))</f>
        <v/>
      </c>
      <c r="F53" s="189">
        <f>IF(E53&lt;0,"Menor modelo",IF(E53&gt;0,"Mayor modelo","Igual"))</f>
        <v/>
      </c>
      <c r="G53" s="191">
        <f>VLOOKUP(A53,Análisis!B:AB,26,0)</f>
        <v/>
      </c>
      <c r="H53">
        <f>VLOOKUP(A53,'[1]CAMBIOS REALIZADOS'!$C:$I,6,0)</f>
        <v/>
      </c>
      <c r="I53">
        <f>VLOOKUP(A53,'[1]CAMBIOS REALIZADOS'!$C:$I,7,0)</f>
        <v/>
      </c>
      <c r="J53">
        <f>IF(OR(G53="Manual",G53=0),0,IF(I53="Sin Cambios",G53-H53,G53-I53))</f>
        <v/>
      </c>
      <c r="K53" s="189">
        <f>IF(J53&lt;0,"Menor modelo",IF(J53&gt;0,"Mayor modelo","Igual"))</f>
        <v/>
      </c>
      <c r="L53" s="191">
        <f>VLOOKUP(A53,Análisis!B:AN,38,0)</f>
        <v/>
      </c>
      <c r="M53">
        <f>VLOOKUP(A53,'[1]CAMBIOS REALIZADOS'!$C:$L,9,0)</f>
        <v/>
      </c>
      <c r="N53">
        <f>VLOOKUP(A53,'[1]CAMBIOS REALIZADOS'!$C:$L,10,0)</f>
        <v/>
      </c>
      <c r="O53">
        <f>IF(OR(L53="Manual",L53=0),0,IF(N53="Sin Cambios",L53-M53,L53-N53))</f>
        <v/>
      </c>
      <c r="P53" s="189">
        <f>IF(O53&lt;0,"Menor modelo",IF(O53&gt;0,"Mayor modelo","Igual"))</f>
        <v/>
      </c>
      <c r="Q53">
        <f>IF(OR(G53="Manual",B53="Manual"),"Manual",G53-B53)</f>
        <v/>
      </c>
      <c r="R53">
        <f>IF(OR(L53="Manual",G53="Manual"),"Manual",L53-G53)</f>
        <v/>
      </c>
    </row>
    <row r="54" spans="1:23">
      <c r="A54" s="89" t="s">
        <v>70</v>
      </c>
      <c r="B54" s="191">
        <f>VLOOKUP(A54,Análisis!B:P,14,0)</f>
        <v/>
      </c>
      <c r="C54">
        <f>VLOOKUP(A54,'[1]CAMBIOS REALIZADOS'!$C:$F,3,0)</f>
        <v/>
      </c>
      <c r="D54">
        <f>VLOOKUP(A54,'[1]CAMBIOS REALIZADOS'!$C:$F,4,0)</f>
        <v/>
      </c>
      <c r="E54">
        <f>IF(OR(B54="Manual",B54=0),0,IF(D54="Sin Cambios",B54-C54,B54-D54))</f>
        <v/>
      </c>
      <c r="F54" s="189">
        <f>IF(E54&lt;0,"Menor modelo",IF(E54&gt;0,"Mayor modelo","Igual"))</f>
        <v/>
      </c>
      <c r="G54" s="191">
        <f>VLOOKUP(A54,Análisis!B:AB,26,0)</f>
        <v/>
      </c>
      <c r="H54">
        <f>VLOOKUP(A54,'[1]CAMBIOS REALIZADOS'!$C:$I,6,0)</f>
        <v/>
      </c>
      <c r="I54">
        <f>VLOOKUP(A54,'[1]CAMBIOS REALIZADOS'!$C:$I,7,0)</f>
        <v/>
      </c>
      <c r="J54">
        <f>IF(OR(G54="Manual",G54=0),0,IF(I54="Sin Cambios",G54-H54,G54-I54))</f>
        <v/>
      </c>
      <c r="K54" s="189">
        <f>IF(J54&lt;0,"Menor modelo",IF(J54&gt;0,"Mayor modelo","Igual"))</f>
        <v/>
      </c>
      <c r="L54" s="191">
        <f>VLOOKUP(A54,Análisis!B:AN,38,0)</f>
        <v/>
      </c>
      <c r="M54">
        <f>VLOOKUP(A54,'[1]CAMBIOS REALIZADOS'!$C:$L,9,0)</f>
        <v/>
      </c>
      <c r="N54">
        <f>VLOOKUP(A54,'[1]CAMBIOS REALIZADOS'!$C:$L,10,0)</f>
        <v/>
      </c>
      <c r="O54">
        <f>IF(OR(L54="Manual",L54=0),0,IF(N54="Sin Cambios",L54-M54,L54-N54))</f>
        <v/>
      </c>
      <c r="P54" s="189">
        <f>IF(O54&lt;0,"Menor modelo",IF(O54&gt;0,"Mayor modelo","Igual"))</f>
        <v/>
      </c>
      <c r="Q54">
        <f>IF(OR(G54="Manual",B54="Manual"),"Manual",G54-B54)</f>
        <v/>
      </c>
      <c r="R54">
        <f>IF(OR(L54="Manual",G54="Manual"),"Manual",L54-G54)</f>
        <v/>
      </c>
    </row>
    <row r="55" spans="1:23">
      <c r="A55" s="89" t="s">
        <v>250</v>
      </c>
      <c r="B55" s="191">
        <f>VLOOKUP(A55,Análisis!B:P,14,0)</f>
        <v/>
      </c>
      <c r="C55">
        <f>VLOOKUP(A55,'[1]CAMBIOS REALIZADOS'!$C:$F,3,0)</f>
        <v/>
      </c>
      <c r="D55">
        <f>VLOOKUP(A55,'[1]CAMBIOS REALIZADOS'!$C:$F,4,0)</f>
        <v/>
      </c>
      <c r="E55">
        <f>IF(OR(B55="Manual",B55=0),0,IF(D55="Sin Cambios",B55-C55,B55-D55))</f>
        <v/>
      </c>
      <c r="F55" s="189">
        <f>IF(E55&lt;0,"Menor modelo",IF(E55&gt;0,"Mayor modelo","Igual"))</f>
        <v/>
      </c>
      <c r="G55" s="191">
        <f>VLOOKUP(A55,Análisis!B:AB,26,0)</f>
        <v/>
      </c>
      <c r="H55">
        <f>VLOOKUP(A55,'[1]CAMBIOS REALIZADOS'!$C:$I,6,0)</f>
        <v/>
      </c>
      <c r="I55">
        <f>VLOOKUP(A55,'[1]CAMBIOS REALIZADOS'!$C:$I,7,0)</f>
        <v/>
      </c>
      <c r="J55">
        <f>IF(OR(G55="Manual",G55=0),0,IF(I55="Sin Cambios",G55-H55,G55-I55))</f>
        <v/>
      </c>
      <c r="K55" s="189">
        <f>IF(J55&lt;0,"Menor modelo",IF(J55&gt;0,"Mayor modelo","Igual"))</f>
        <v/>
      </c>
      <c r="L55" s="191">
        <f>VLOOKUP(A55,Análisis!B:AN,38,0)</f>
        <v/>
      </c>
      <c r="M55">
        <f>VLOOKUP(A55,'[1]CAMBIOS REALIZADOS'!$C:$L,9,0)</f>
        <v/>
      </c>
      <c r="N55">
        <f>VLOOKUP(A55,'[1]CAMBIOS REALIZADOS'!$C:$L,10,0)</f>
        <v/>
      </c>
      <c r="O55">
        <f>IF(OR(L55="Manual",L55=0),0,IF(N55="Sin Cambios",L55-M55,L55-N55))</f>
        <v/>
      </c>
      <c r="P55" s="189">
        <f>IF(O55&lt;0,"Menor modelo",IF(O55&gt;0,"Mayor modelo","Igual"))</f>
        <v/>
      </c>
      <c r="Q55">
        <f>IF(OR(G55="Manual",B55="Manual"),"Manual",G55-B55)</f>
        <v/>
      </c>
      <c r="R55">
        <f>IF(OR(L55="Manual",G55="Manual"),"Manual",L55-G55)</f>
        <v/>
      </c>
    </row>
    <row r="56" spans="1:23">
      <c r="A56" s="89" t="s">
        <v>65</v>
      </c>
      <c r="B56" s="191">
        <f>VLOOKUP(A56,Análisis!B:P,14,0)</f>
        <v/>
      </c>
      <c r="C56">
        <f>VLOOKUP(A56,'[1]CAMBIOS REALIZADOS'!$C:$F,3,0)</f>
        <v/>
      </c>
      <c r="D56">
        <f>VLOOKUP(A56,'[1]CAMBIOS REALIZADOS'!$C:$F,4,0)</f>
        <v/>
      </c>
      <c r="E56">
        <f>IF(OR(B56="Manual",B56=0),0,IF(D56="Sin Cambios",B56-C56,B56-D56))</f>
        <v/>
      </c>
      <c r="F56" s="189">
        <f>IF(E56&lt;0,"Menor modelo",IF(E56&gt;0,"Mayor modelo","Igual"))</f>
        <v/>
      </c>
      <c r="G56" s="191">
        <f>VLOOKUP(A56,Análisis!B:AB,26,0)</f>
        <v/>
      </c>
      <c r="H56">
        <f>VLOOKUP(A56,'[1]CAMBIOS REALIZADOS'!$C:$I,6,0)</f>
        <v/>
      </c>
      <c r="I56">
        <f>VLOOKUP(A56,'[1]CAMBIOS REALIZADOS'!$C:$I,7,0)</f>
        <v/>
      </c>
      <c r="J56">
        <f>IF(OR(G56="Manual",G56=0),0,IF(I56="Sin Cambios",G56-H56,G56-I56))</f>
        <v/>
      </c>
      <c r="K56" s="189">
        <f>IF(J56&lt;0,"Menor modelo",IF(J56&gt;0,"Mayor modelo","Igual"))</f>
        <v/>
      </c>
      <c r="L56" s="191">
        <f>VLOOKUP(A56,Análisis!B:AN,38,0)</f>
        <v/>
      </c>
      <c r="M56">
        <f>VLOOKUP(A56,'[1]CAMBIOS REALIZADOS'!$C:$L,9,0)</f>
        <v/>
      </c>
      <c r="N56">
        <f>VLOOKUP(A56,'[1]CAMBIOS REALIZADOS'!$C:$L,10,0)</f>
        <v/>
      </c>
      <c r="O56">
        <f>IF(OR(L56="Manual",L56=0),0,IF(N56="Sin Cambios",L56-M56,L56-N56))</f>
        <v/>
      </c>
      <c r="P56" s="189">
        <f>IF(O56&lt;0,"Menor modelo",IF(O56&gt;0,"Mayor modelo","Igual"))</f>
        <v/>
      </c>
      <c r="Q56">
        <f>IF(OR(G56="Manual",B56="Manual"),"Manual",G56-B56)</f>
        <v/>
      </c>
      <c r="R56">
        <f>IF(OR(L56="Manual",G56="Manual"),"Manual",L56-G56)</f>
        <v/>
      </c>
    </row>
    <row r="57" spans="1:23">
      <c r="A57" s="89" t="s">
        <v>52</v>
      </c>
      <c r="B57" s="191">
        <f>VLOOKUP(A57,Análisis!B:P,14,0)</f>
        <v/>
      </c>
      <c r="C57">
        <f>VLOOKUP(A57,'[1]CAMBIOS REALIZADOS'!$C:$F,3,0)</f>
        <v/>
      </c>
      <c r="D57">
        <f>VLOOKUP(A57,'[1]CAMBIOS REALIZADOS'!$C:$F,4,0)</f>
        <v/>
      </c>
      <c r="E57">
        <f>IF(OR(B57="Manual",B57=0),0,IF(D57="Sin Cambios",B57-C57,B57-D57))</f>
        <v/>
      </c>
      <c r="F57" s="189">
        <f>IF(E57&lt;0,"Menor modelo",IF(E57&gt;0,"Mayor modelo","Igual"))</f>
        <v/>
      </c>
      <c r="G57" s="191">
        <f>VLOOKUP(A57,Análisis!B:AB,26,0)</f>
        <v/>
      </c>
      <c r="H57">
        <f>VLOOKUP(A57,'[1]CAMBIOS REALIZADOS'!$C:$I,6,0)</f>
        <v/>
      </c>
      <c r="I57">
        <f>VLOOKUP(A57,'[1]CAMBIOS REALIZADOS'!$C:$I,7,0)</f>
        <v/>
      </c>
      <c r="J57">
        <f>IF(OR(G57="Manual",G57=0),0,IF(I57="Sin Cambios",G57-H57,G57-I57))</f>
        <v/>
      </c>
      <c r="K57" s="189">
        <f>IF(J57&lt;0,"Menor modelo",IF(J57&gt;0,"Mayor modelo","Igual"))</f>
        <v/>
      </c>
      <c r="L57" s="191">
        <f>VLOOKUP(A57,Análisis!B:AN,38,0)</f>
        <v/>
      </c>
      <c r="M57">
        <f>VLOOKUP(A57,'[1]CAMBIOS REALIZADOS'!$C:$L,9,0)</f>
        <v/>
      </c>
      <c r="N57">
        <f>VLOOKUP(A57,'[1]CAMBIOS REALIZADOS'!$C:$L,10,0)</f>
        <v/>
      </c>
      <c r="O57">
        <f>IF(OR(L57="Manual",L57=0),0,IF(N57="Sin Cambios",L57-M57,L57-N57))</f>
        <v/>
      </c>
      <c r="P57" s="189">
        <f>IF(O57&lt;0,"Menor modelo",IF(O57&gt;0,"Mayor modelo","Igual"))</f>
        <v/>
      </c>
      <c r="Q57">
        <f>IF(OR(G57="Manual",B57="Manual"),"Manual",G57-B57)</f>
        <v/>
      </c>
      <c r="R57">
        <f>IF(OR(L57="Manual",G57="Manual"),"Manual",L57-G57)</f>
        <v/>
      </c>
    </row>
    <row r="58" spans="1:23">
      <c r="A58" s="89" t="s">
        <v>66</v>
      </c>
      <c r="B58" s="191">
        <f>VLOOKUP(A58,Análisis!B:P,14,0)</f>
        <v/>
      </c>
      <c r="C58">
        <f>VLOOKUP(A58,'[1]CAMBIOS REALIZADOS'!$C:$F,3,0)</f>
        <v/>
      </c>
      <c r="D58">
        <f>VLOOKUP(A58,'[1]CAMBIOS REALIZADOS'!$C:$F,4,0)</f>
        <v/>
      </c>
      <c r="E58">
        <f>IF(OR(B58="Manual",B58=0),0,IF(D58="Sin Cambios",B58-C58,B58-D58))</f>
        <v/>
      </c>
      <c r="F58" s="189">
        <f>IF(E58&lt;0,"Menor modelo",IF(E58&gt;0,"Mayor modelo","Igual"))</f>
        <v/>
      </c>
      <c r="G58" s="191">
        <f>VLOOKUP(A58,Análisis!B:AB,26,0)</f>
        <v/>
      </c>
      <c r="H58">
        <f>VLOOKUP(A58,'[1]CAMBIOS REALIZADOS'!$C:$I,6,0)</f>
        <v/>
      </c>
      <c r="I58">
        <f>VLOOKUP(A58,'[1]CAMBIOS REALIZADOS'!$C:$I,7,0)</f>
        <v/>
      </c>
      <c r="J58">
        <f>IF(OR(G58="Manual",G58=0),0,IF(I58="Sin Cambios",G58-H58,G58-I58))</f>
        <v/>
      </c>
      <c r="K58" s="189">
        <f>IF(J58&lt;0,"Menor modelo",IF(J58&gt;0,"Mayor modelo","Igual"))</f>
        <v/>
      </c>
      <c r="L58" s="191">
        <f>VLOOKUP(A58,Análisis!B:AN,38,0)</f>
        <v/>
      </c>
      <c r="M58">
        <f>VLOOKUP(A58,'[1]CAMBIOS REALIZADOS'!$C:$L,9,0)</f>
        <v/>
      </c>
      <c r="N58">
        <f>VLOOKUP(A58,'[1]CAMBIOS REALIZADOS'!$C:$L,10,0)</f>
        <v/>
      </c>
      <c r="O58">
        <f>IF(OR(L58="Manual",L58=0),0,IF(N58="Sin Cambios",L58-M58,L58-N58))</f>
        <v/>
      </c>
      <c r="P58" s="189">
        <f>IF(O58&lt;0,"Menor modelo",IF(O58&gt;0,"Mayor modelo","Igual"))</f>
        <v/>
      </c>
      <c r="Q58">
        <f>IF(OR(G58="Manual",B58="Manual"),"Manual",G58-B58)</f>
        <v/>
      </c>
      <c r="R58">
        <f>IF(OR(L58="Manual",G58="Manual"),"Manual",L58-G58)</f>
        <v/>
      </c>
    </row>
    <row r="59" spans="1:23">
      <c r="A59" s="89" t="s">
        <v>224</v>
      </c>
      <c r="B59" s="191">
        <f>VLOOKUP(A59,Análisis!B:P,14,0)</f>
        <v/>
      </c>
      <c r="C59">
        <f>VLOOKUP(A59,'[1]CAMBIOS REALIZADOS'!$C:$F,3,0)</f>
        <v/>
      </c>
      <c r="D59">
        <f>VLOOKUP(A59,'[1]CAMBIOS REALIZADOS'!$C:$F,4,0)</f>
        <v/>
      </c>
      <c r="E59">
        <f>IF(OR(B59="Manual",B59=0),0,IF(D59="Sin Cambios",B59-C59,B59-D59))</f>
        <v/>
      </c>
      <c r="F59" s="189">
        <f>IF(E59&lt;0,"Menor modelo",IF(E59&gt;0,"Mayor modelo","Igual"))</f>
        <v/>
      </c>
      <c r="G59" s="191">
        <f>VLOOKUP(A59,Análisis!B:AB,26,0)</f>
        <v/>
      </c>
      <c r="H59">
        <f>VLOOKUP(A59,'[1]CAMBIOS REALIZADOS'!$C:$I,6,0)</f>
        <v/>
      </c>
      <c r="I59">
        <f>VLOOKUP(A59,'[1]CAMBIOS REALIZADOS'!$C:$I,7,0)</f>
        <v/>
      </c>
      <c r="J59">
        <f>IF(OR(G59="Manual",G59=0),0,IF(I59="Sin Cambios",G59-H59,G59-I59))</f>
        <v/>
      </c>
      <c r="K59" s="189">
        <f>IF(J59&lt;0,"Menor modelo",IF(J59&gt;0,"Mayor modelo","Igual"))</f>
        <v/>
      </c>
      <c r="L59" s="191">
        <f>VLOOKUP(A59,Análisis!B:AN,38,0)</f>
        <v/>
      </c>
      <c r="M59">
        <f>VLOOKUP(A59,'[1]CAMBIOS REALIZADOS'!$C:$L,9,0)</f>
        <v/>
      </c>
      <c r="N59">
        <f>VLOOKUP(A59,'[1]CAMBIOS REALIZADOS'!$C:$L,10,0)</f>
        <v/>
      </c>
      <c r="O59">
        <f>IF(OR(L59="Manual",L59=0),0,IF(N59="Sin Cambios",L59-M59,L59-N59))</f>
        <v/>
      </c>
      <c r="P59" s="189">
        <f>IF(O59&lt;0,"Menor modelo",IF(O59&gt;0,"Mayor modelo","Igual"))</f>
        <v/>
      </c>
      <c r="Q59">
        <f>IF(OR(G59="Manual",B59="Manual"),"Manual",G59-B59)</f>
        <v/>
      </c>
      <c r="R59">
        <f>IF(OR(L59="Manual",G59="Manual"),"Manual",L59-G59)</f>
        <v/>
      </c>
    </row>
    <row r="60" spans="1:23">
      <c r="A60" s="89" t="s">
        <v>45</v>
      </c>
      <c r="B60" s="191">
        <f>VLOOKUP(A60,Análisis!B:P,14,0)</f>
        <v/>
      </c>
      <c r="C60">
        <f>VLOOKUP(A60,'[1]CAMBIOS REALIZADOS'!$C:$F,3,0)</f>
        <v/>
      </c>
      <c r="D60">
        <f>VLOOKUP(A60,'[1]CAMBIOS REALIZADOS'!$C:$F,4,0)</f>
        <v/>
      </c>
      <c r="E60">
        <f>IF(OR(B60="Manual",B60=0),0,IF(D60="Sin Cambios",B60-C60,B60-D60))</f>
        <v/>
      </c>
      <c r="F60" s="189">
        <f>IF(E60&lt;0,"Menor modelo",IF(E60&gt;0,"Mayor modelo","Igual"))</f>
        <v/>
      </c>
      <c r="G60" s="191">
        <f>VLOOKUP(A60,Análisis!B:AB,26,0)</f>
        <v/>
      </c>
      <c r="H60">
        <f>VLOOKUP(A60,'[1]CAMBIOS REALIZADOS'!$C:$I,6,0)</f>
        <v/>
      </c>
      <c r="I60">
        <f>VLOOKUP(A60,'[1]CAMBIOS REALIZADOS'!$C:$I,7,0)</f>
        <v/>
      </c>
      <c r="J60">
        <f>IF(OR(G60="Manual",G60=0),0,IF(I60="Sin Cambios",G60-H60,G60-I60))</f>
        <v/>
      </c>
      <c r="K60" s="189">
        <f>IF(J60&lt;0,"Menor modelo",IF(J60&gt;0,"Mayor modelo","Igual"))</f>
        <v/>
      </c>
      <c r="L60" s="191">
        <f>VLOOKUP(A60,Análisis!B:AN,38,0)</f>
        <v/>
      </c>
      <c r="M60">
        <f>VLOOKUP(A60,'[1]CAMBIOS REALIZADOS'!$C:$L,9,0)</f>
        <v/>
      </c>
      <c r="N60">
        <f>VLOOKUP(A60,'[1]CAMBIOS REALIZADOS'!$C:$L,10,0)</f>
        <v/>
      </c>
      <c r="O60">
        <f>IF(OR(L60="Manual",L60=0),0,IF(N60="Sin Cambios",L60-M60,L60-N60))</f>
        <v/>
      </c>
      <c r="P60" s="189">
        <f>IF(O60&lt;0,"Menor modelo",IF(O60&gt;0,"Mayor modelo","Igual"))</f>
        <v/>
      </c>
      <c r="Q60">
        <f>IF(OR(G60="Manual",B60="Manual"),"Manual",G60-B60)</f>
        <v/>
      </c>
      <c r="R60">
        <f>IF(OR(L60="Manual",G60="Manual"),"Manual",L60-G60)</f>
        <v/>
      </c>
    </row>
    <row r="61" spans="1:23">
      <c r="A61" s="89" t="s">
        <v>80</v>
      </c>
      <c r="B61" s="191">
        <f>VLOOKUP(A61,Análisis!B:P,14,0)</f>
        <v/>
      </c>
      <c r="C61">
        <f>VLOOKUP(A61,'[1]CAMBIOS REALIZADOS'!$C:$F,3,0)</f>
        <v/>
      </c>
      <c r="D61">
        <f>VLOOKUP(A61,'[1]CAMBIOS REALIZADOS'!$C:$F,4,0)</f>
        <v/>
      </c>
      <c r="E61">
        <f>IF(OR(B61="Manual",B61=0),0,IF(D61="Sin Cambios",B61-C61,B61-D61))</f>
        <v/>
      </c>
      <c r="F61" s="189">
        <f>IF(E61&lt;0,"Menor modelo",IF(E61&gt;0,"Mayor modelo","Igual"))</f>
        <v/>
      </c>
      <c r="G61" s="191">
        <f>VLOOKUP(A61,Análisis!B:AB,26,0)</f>
        <v/>
      </c>
      <c r="H61">
        <f>VLOOKUP(A61,'[1]CAMBIOS REALIZADOS'!$C:$I,6,0)</f>
        <v/>
      </c>
      <c r="I61">
        <f>VLOOKUP(A61,'[1]CAMBIOS REALIZADOS'!$C:$I,7,0)</f>
        <v/>
      </c>
      <c r="J61">
        <f>IF(OR(G61="Manual",G61=0),0,IF(I61="Sin Cambios",G61-H61,G61-I61))</f>
        <v/>
      </c>
      <c r="K61" s="189">
        <f>IF(J61&lt;0,"Menor modelo",IF(J61&gt;0,"Mayor modelo","Igual"))</f>
        <v/>
      </c>
      <c r="L61" s="191">
        <f>VLOOKUP(A61,Análisis!B:AN,38,0)</f>
        <v/>
      </c>
      <c r="M61">
        <f>VLOOKUP(A61,'[1]CAMBIOS REALIZADOS'!$C:$L,9,0)</f>
        <v/>
      </c>
      <c r="N61">
        <f>VLOOKUP(A61,'[1]CAMBIOS REALIZADOS'!$C:$L,10,0)</f>
        <v/>
      </c>
      <c r="O61">
        <f>IF(OR(L61="Manual",L61=0),0,IF(N61="Sin Cambios",L61-M61,L61-N61))</f>
        <v/>
      </c>
      <c r="P61" s="189">
        <f>IF(O61&lt;0,"Menor modelo",IF(O61&gt;0,"Mayor modelo","Igual"))</f>
        <v/>
      </c>
      <c r="Q61">
        <f>IF(OR(G61="Manual",B61="Manual"),"Manual",G61-B61)</f>
        <v/>
      </c>
      <c r="R61">
        <f>IF(OR(L61="Manual",G61="Manual"),"Manual",L61-G61)</f>
        <v/>
      </c>
    </row>
    <row r="62" spans="1:23">
      <c r="A62" s="89" t="s">
        <v>256</v>
      </c>
      <c r="B62" s="191">
        <f>VLOOKUP(A62,Análisis!B:P,14,0)</f>
        <v/>
      </c>
      <c r="C62">
        <f>VLOOKUP(A62,'[1]CAMBIOS REALIZADOS'!$C:$F,3,0)</f>
        <v/>
      </c>
      <c r="D62">
        <f>VLOOKUP(A62,'[1]CAMBIOS REALIZADOS'!$C:$F,4,0)</f>
        <v/>
      </c>
      <c r="E62">
        <f>IF(OR(B62="Manual",B62=0),0,IF(D62="Sin Cambios",B62-C62,B62-D62))</f>
        <v/>
      </c>
      <c r="F62" s="189">
        <f>IF(E62&lt;0,"Menor modelo",IF(E62&gt;0,"Mayor modelo","Igual"))</f>
        <v/>
      </c>
      <c r="G62" s="191">
        <f>VLOOKUP(A62,Análisis!B:AB,26,0)</f>
        <v/>
      </c>
      <c r="H62">
        <f>VLOOKUP(A62,'[1]CAMBIOS REALIZADOS'!$C:$I,6,0)</f>
        <v/>
      </c>
      <c r="I62">
        <f>VLOOKUP(A62,'[1]CAMBIOS REALIZADOS'!$C:$I,7,0)</f>
        <v/>
      </c>
      <c r="J62">
        <f>IF(OR(G62="Manual",G62=0),0,IF(I62="Sin Cambios",G62-H62,G62-I62))</f>
        <v/>
      </c>
      <c r="K62" s="189">
        <f>IF(J62&lt;0,"Menor modelo",IF(J62&gt;0,"Mayor modelo","Igual"))</f>
        <v/>
      </c>
      <c r="L62" s="191">
        <f>VLOOKUP(A62,Análisis!B:AN,38,0)</f>
        <v/>
      </c>
      <c r="M62">
        <f>VLOOKUP(A62,'[1]CAMBIOS REALIZADOS'!$C:$L,9,0)</f>
        <v/>
      </c>
      <c r="N62">
        <f>VLOOKUP(A62,'[1]CAMBIOS REALIZADOS'!$C:$L,10,0)</f>
        <v/>
      </c>
      <c r="O62">
        <f>IF(OR(L62="Manual",L62=0),0,IF(N62="Sin Cambios",L62-M62,L62-N62))</f>
        <v/>
      </c>
      <c r="P62" s="189">
        <f>IF(O62&lt;0,"Menor modelo",IF(O62&gt;0,"Mayor modelo","Igual"))</f>
        <v/>
      </c>
      <c r="Q62">
        <f>IF(OR(G62="Manual",B62="Manual"),"Manual",G62-B62)</f>
        <v/>
      </c>
      <c r="R62">
        <f>IF(OR(L62="Manual",G62="Manual"),"Manual",L62-G62)</f>
        <v/>
      </c>
    </row>
    <row r="63" spans="1:23">
      <c r="A63" s="89" t="s">
        <v>42</v>
      </c>
      <c r="B63" s="191">
        <f>VLOOKUP(A63,Análisis!B:P,14,0)</f>
        <v/>
      </c>
      <c r="C63">
        <f>VLOOKUP(A63,'[1]CAMBIOS REALIZADOS'!$C:$F,3,0)</f>
        <v/>
      </c>
      <c r="D63">
        <f>VLOOKUP(A63,'[1]CAMBIOS REALIZADOS'!$C:$F,4,0)</f>
        <v/>
      </c>
      <c r="E63">
        <f>IF(OR(B63="Manual",B63=0),0,IF(D63="Sin Cambios",B63-C63,B63-D63))</f>
        <v/>
      </c>
      <c r="F63" s="189">
        <f>IF(E63&lt;0,"Menor modelo",IF(E63&gt;0,"Mayor modelo","Igual"))</f>
        <v/>
      </c>
      <c r="G63" s="191">
        <f>VLOOKUP(A63,Análisis!B:AB,26,0)</f>
        <v/>
      </c>
      <c r="H63">
        <f>VLOOKUP(A63,'[1]CAMBIOS REALIZADOS'!$C:$I,6,0)</f>
        <v/>
      </c>
      <c r="I63">
        <f>VLOOKUP(A63,'[1]CAMBIOS REALIZADOS'!$C:$I,7,0)</f>
        <v/>
      </c>
      <c r="J63">
        <f>IF(OR(G63="Manual",G63=0),0,IF(I63="Sin Cambios",G63-H63,G63-I63))</f>
        <v/>
      </c>
      <c r="K63" s="189">
        <f>IF(J63&lt;0,"Menor modelo",IF(J63&gt;0,"Mayor modelo","Igual"))</f>
        <v/>
      </c>
      <c r="L63" s="191">
        <f>VLOOKUP(A63,Análisis!B:AN,38,0)</f>
        <v/>
      </c>
      <c r="M63">
        <f>VLOOKUP(A63,'[1]CAMBIOS REALIZADOS'!$C:$L,9,0)</f>
        <v/>
      </c>
      <c r="N63">
        <f>VLOOKUP(A63,'[1]CAMBIOS REALIZADOS'!$C:$L,10,0)</f>
        <v/>
      </c>
      <c r="O63">
        <f>IF(OR(L63="Manual",L63=0),0,IF(N63="Sin Cambios",L63-M63,L63-N63))</f>
        <v/>
      </c>
      <c r="P63" s="189">
        <f>IF(O63&lt;0,"Menor modelo",IF(O63&gt;0,"Mayor modelo","Igual"))</f>
        <v/>
      </c>
      <c r="Q63">
        <f>IF(OR(G63="Manual",B63="Manual"),"Manual",G63-B63)</f>
        <v/>
      </c>
      <c r="R63">
        <f>IF(OR(L63="Manual",G63="Manual"),"Manual",L63-G63)</f>
        <v/>
      </c>
    </row>
    <row r="64" spans="1:23">
      <c r="A64" s="89" t="s">
        <v>94</v>
      </c>
      <c r="B64" s="191">
        <f>VLOOKUP(A64,Análisis!B:P,14,0)</f>
        <v/>
      </c>
      <c r="C64">
        <f>VLOOKUP(A64,'[1]CAMBIOS REALIZADOS'!$C:$F,3,0)</f>
        <v/>
      </c>
      <c r="D64">
        <f>VLOOKUP(A64,'[1]CAMBIOS REALIZADOS'!$C:$F,4,0)</f>
        <v/>
      </c>
      <c r="E64">
        <f>IF(OR(B64="Manual",B64=0),0,IF(D64="Sin Cambios",B64-C64,B64-D64))</f>
        <v/>
      </c>
      <c r="F64" s="189">
        <f>IF(E64&lt;0,"Menor modelo",IF(E64&gt;0,"Mayor modelo","Igual"))</f>
        <v/>
      </c>
      <c r="G64" s="191">
        <f>VLOOKUP(A64,Análisis!B:AB,26,0)</f>
        <v/>
      </c>
      <c r="H64">
        <f>VLOOKUP(A64,'[1]CAMBIOS REALIZADOS'!$C:$I,6,0)</f>
        <v/>
      </c>
      <c r="I64">
        <f>VLOOKUP(A64,'[1]CAMBIOS REALIZADOS'!$C:$I,7,0)</f>
        <v/>
      </c>
      <c r="J64">
        <f>IF(OR(G64="Manual",G64=0),0,IF(I64="Sin Cambios",G64-H64,G64-I64))</f>
        <v/>
      </c>
      <c r="K64" s="189">
        <f>IF(J64&lt;0,"Menor modelo",IF(J64&gt;0,"Mayor modelo","Igual"))</f>
        <v/>
      </c>
      <c r="L64" s="191">
        <f>VLOOKUP(A64,Análisis!B:AN,38,0)</f>
        <v/>
      </c>
      <c r="M64">
        <f>VLOOKUP(A64,'[1]CAMBIOS REALIZADOS'!$C:$L,9,0)</f>
        <v/>
      </c>
      <c r="N64">
        <f>VLOOKUP(A64,'[1]CAMBIOS REALIZADOS'!$C:$L,10,0)</f>
        <v/>
      </c>
      <c r="O64">
        <f>IF(OR(L64="Manual",L64=0),0,IF(N64="Sin Cambios",L64-M64,L64-N64))</f>
        <v/>
      </c>
      <c r="P64" s="189">
        <f>IF(O64&lt;0,"Menor modelo",IF(O64&gt;0,"Mayor modelo","Igual"))</f>
        <v/>
      </c>
      <c r="Q64">
        <f>IF(OR(G64="Manual",B64="Manual"),"Manual",G64-B64)</f>
        <v/>
      </c>
      <c r="R64">
        <f>IF(OR(L64="Manual",G64="Manual"),"Manual",L64-G64)</f>
        <v/>
      </c>
    </row>
    <row r="65" spans="1:23">
      <c r="A65" s="89" t="s">
        <v>84</v>
      </c>
      <c r="B65" s="191">
        <f>VLOOKUP(A65,Análisis!B:P,14,0)</f>
        <v/>
      </c>
      <c r="C65">
        <f>VLOOKUP(A65,'[1]CAMBIOS REALIZADOS'!$C:$F,3,0)</f>
        <v/>
      </c>
      <c r="D65">
        <f>VLOOKUP(A65,'[1]CAMBIOS REALIZADOS'!$C:$F,4,0)</f>
        <v/>
      </c>
      <c r="E65">
        <f>IF(OR(B65="Manual",B65=0),0,IF(D65="Sin Cambios",B65-C65,B65-D65))</f>
        <v/>
      </c>
      <c r="F65" s="189">
        <f>IF(E65&lt;0,"Menor modelo",IF(E65&gt;0,"Mayor modelo","Igual"))</f>
        <v/>
      </c>
      <c r="G65" s="191">
        <f>VLOOKUP(A65,Análisis!B:AB,26,0)</f>
        <v/>
      </c>
      <c r="H65">
        <f>VLOOKUP(A65,'[1]CAMBIOS REALIZADOS'!$C:$I,6,0)</f>
        <v/>
      </c>
      <c r="I65">
        <f>VLOOKUP(A65,'[1]CAMBIOS REALIZADOS'!$C:$I,7,0)</f>
        <v/>
      </c>
      <c r="J65">
        <f>IF(OR(G65="Manual",G65=0),0,IF(I65="Sin Cambios",G65-H65,G65-I65))</f>
        <v/>
      </c>
      <c r="K65" s="189">
        <f>IF(J65&lt;0,"Menor modelo",IF(J65&gt;0,"Mayor modelo","Igual"))</f>
        <v/>
      </c>
      <c r="L65" s="191">
        <f>VLOOKUP(A65,Análisis!B:AN,38,0)</f>
        <v/>
      </c>
      <c r="M65">
        <f>VLOOKUP(A65,'[1]CAMBIOS REALIZADOS'!$C:$L,9,0)</f>
        <v/>
      </c>
      <c r="N65">
        <f>VLOOKUP(A65,'[1]CAMBIOS REALIZADOS'!$C:$L,10,0)</f>
        <v/>
      </c>
      <c r="O65">
        <f>IF(OR(L65="Manual",L65=0),0,IF(N65="Sin Cambios",L65-M65,L65-N65))</f>
        <v/>
      </c>
      <c r="P65" s="189">
        <f>IF(O65&lt;0,"Menor modelo",IF(O65&gt;0,"Mayor modelo","Igual"))</f>
        <v/>
      </c>
      <c r="Q65">
        <f>IF(OR(G65="Manual",B65="Manual"),"Manual",G65-B65)</f>
        <v/>
      </c>
      <c r="R65">
        <f>IF(OR(L65="Manual",G65="Manual"),"Manual",L65-G65)</f>
        <v/>
      </c>
    </row>
    <row r="66" spans="1:23">
      <c r="A66" s="89" t="s">
        <v>95</v>
      </c>
      <c r="B66" s="191">
        <f>VLOOKUP(A66,Análisis!B:P,14,0)</f>
        <v/>
      </c>
      <c r="C66">
        <f>VLOOKUP(A66,'[1]CAMBIOS REALIZADOS'!$C:$F,3,0)</f>
        <v/>
      </c>
      <c r="D66">
        <f>VLOOKUP(A66,'[1]CAMBIOS REALIZADOS'!$C:$F,4,0)</f>
        <v/>
      </c>
      <c r="E66">
        <f>IF(OR(B66="Manual",B66=0),0,IF(D66="Sin Cambios",B66-C66,B66-D66))</f>
        <v/>
      </c>
      <c r="F66" s="189">
        <f>IF(E66&lt;0,"Menor modelo",IF(E66&gt;0,"Mayor modelo","Igual"))</f>
        <v/>
      </c>
      <c r="G66" s="191">
        <f>VLOOKUP(A66,Análisis!B:AB,26,0)</f>
        <v/>
      </c>
      <c r="H66">
        <f>VLOOKUP(A66,'[1]CAMBIOS REALIZADOS'!$C:$I,6,0)</f>
        <v/>
      </c>
      <c r="I66">
        <f>VLOOKUP(A66,'[1]CAMBIOS REALIZADOS'!$C:$I,7,0)</f>
        <v/>
      </c>
      <c r="J66">
        <f>IF(OR(G66="Manual",G66=0),0,IF(I66="Sin Cambios",G66-H66,G66-I66))</f>
        <v/>
      </c>
      <c r="K66" s="189">
        <f>IF(J66&lt;0,"Menor modelo",IF(J66&gt;0,"Mayor modelo","Igual"))</f>
        <v/>
      </c>
      <c r="L66" s="191">
        <f>VLOOKUP(A66,Análisis!B:AN,38,0)</f>
        <v/>
      </c>
      <c r="M66">
        <f>VLOOKUP(A66,'[1]CAMBIOS REALIZADOS'!$C:$L,9,0)</f>
        <v/>
      </c>
      <c r="N66">
        <f>VLOOKUP(A66,'[1]CAMBIOS REALIZADOS'!$C:$L,10,0)</f>
        <v/>
      </c>
      <c r="O66">
        <f>IF(OR(L66="Manual",L66=0),0,IF(N66="Sin Cambios",L66-M66,L66-N66))</f>
        <v/>
      </c>
      <c r="P66" s="189">
        <f>IF(O66&lt;0,"Menor modelo",IF(O66&gt;0,"Mayor modelo","Igual"))</f>
        <v/>
      </c>
      <c r="Q66">
        <f>IF(OR(G66="Manual",B66="Manual"),"Manual",G66-B66)</f>
        <v/>
      </c>
      <c r="R66">
        <f>IF(OR(L66="Manual",G66="Manual"),"Manual",L66-G66)</f>
        <v/>
      </c>
    </row>
    <row r="67" spans="1:23">
      <c r="A67" s="89" t="s">
        <v>50</v>
      </c>
      <c r="B67" s="191">
        <f>VLOOKUP(A67,Análisis!B:P,14,0)</f>
        <v/>
      </c>
      <c r="C67">
        <f>VLOOKUP(A67,'[1]CAMBIOS REALIZADOS'!$C:$F,3,0)</f>
        <v/>
      </c>
      <c r="D67">
        <f>VLOOKUP(A67,'[1]CAMBIOS REALIZADOS'!$C:$F,4,0)</f>
        <v/>
      </c>
      <c r="E67">
        <f>IF(OR(B67="Manual",B67=0),0,IF(D67="Sin Cambios",B67-C67,B67-D67))</f>
        <v/>
      </c>
      <c r="F67" s="189">
        <f>IF(E67&lt;0,"Menor modelo",IF(E67&gt;0,"Mayor modelo","Igual"))</f>
        <v/>
      </c>
      <c r="G67" s="191">
        <f>VLOOKUP(A67,Análisis!B:AB,26,0)</f>
        <v/>
      </c>
      <c r="H67">
        <f>VLOOKUP(A67,'[1]CAMBIOS REALIZADOS'!$C:$I,6,0)</f>
        <v/>
      </c>
      <c r="I67">
        <f>VLOOKUP(A67,'[1]CAMBIOS REALIZADOS'!$C:$I,7,0)</f>
        <v/>
      </c>
      <c r="J67">
        <f>IF(OR(G67="Manual",G67=0),0,IF(I67="Sin Cambios",G67-H67,G67-I67))</f>
        <v/>
      </c>
      <c r="K67" s="189">
        <f>IF(J67&lt;0,"Menor modelo",IF(J67&gt;0,"Mayor modelo","Igual"))</f>
        <v/>
      </c>
      <c r="L67" s="191">
        <f>VLOOKUP(A67,Análisis!B:AN,38,0)</f>
        <v/>
      </c>
      <c r="M67">
        <f>VLOOKUP(A67,'[1]CAMBIOS REALIZADOS'!$C:$L,9,0)</f>
        <v/>
      </c>
      <c r="N67">
        <f>VLOOKUP(A67,'[1]CAMBIOS REALIZADOS'!$C:$L,10,0)</f>
        <v/>
      </c>
      <c r="O67">
        <f>IF(OR(L67="Manual",L67=0),0,IF(N67="Sin Cambios",L67-M67,L67-N67))</f>
        <v/>
      </c>
      <c r="P67" s="189">
        <f>IF(O67&lt;0,"Menor modelo",IF(O67&gt;0,"Mayor modelo","Igual"))</f>
        <v/>
      </c>
      <c r="Q67">
        <f>IF(OR(G67="Manual",B67="Manual"),"Manual",G67-B67)</f>
        <v/>
      </c>
      <c r="R67">
        <f>IF(OR(L67="Manual",G67="Manual"),"Manual",L67-G67)</f>
        <v/>
      </c>
    </row>
    <row r="68" spans="1:23">
      <c r="A68" s="89" t="s">
        <v>100</v>
      </c>
      <c r="B68" s="191">
        <f>VLOOKUP(A68,Análisis!B:P,14,0)</f>
        <v/>
      </c>
      <c r="C68">
        <f>VLOOKUP(A68,'[1]CAMBIOS REALIZADOS'!$C:$F,3,0)</f>
        <v/>
      </c>
      <c r="D68">
        <f>VLOOKUP(A68,'[1]CAMBIOS REALIZADOS'!$C:$F,4,0)</f>
        <v/>
      </c>
      <c r="E68">
        <f>IF(OR(B68="Manual",B68=0),0,IF(D68="Sin Cambios",B68-C68,B68-D68))</f>
        <v/>
      </c>
      <c r="F68" s="189">
        <f>IF(E68&lt;0,"Menor modelo",IF(E68&gt;0,"Mayor modelo","Igual"))</f>
        <v/>
      </c>
      <c r="G68" s="191">
        <f>VLOOKUP(A68,Análisis!B:AB,26,0)</f>
        <v/>
      </c>
      <c r="H68">
        <f>VLOOKUP(A68,'[1]CAMBIOS REALIZADOS'!$C:$I,6,0)</f>
        <v/>
      </c>
      <c r="I68">
        <f>VLOOKUP(A68,'[1]CAMBIOS REALIZADOS'!$C:$I,7,0)</f>
        <v/>
      </c>
      <c r="J68">
        <f>IF(OR(G68="Manual",G68=0),0,IF(I68="Sin Cambios",G68-H68,G68-I68))</f>
        <v/>
      </c>
      <c r="K68" s="189">
        <f>IF(J68&lt;0,"Menor modelo",IF(J68&gt;0,"Mayor modelo","Igual"))</f>
        <v/>
      </c>
      <c r="L68" s="191">
        <f>VLOOKUP(A68,Análisis!B:AN,38,0)</f>
        <v/>
      </c>
      <c r="M68">
        <f>VLOOKUP(A68,'[1]CAMBIOS REALIZADOS'!$C:$L,9,0)</f>
        <v/>
      </c>
      <c r="N68">
        <f>VLOOKUP(A68,'[1]CAMBIOS REALIZADOS'!$C:$L,10,0)</f>
        <v/>
      </c>
      <c r="O68">
        <f>IF(OR(L68="Manual",L68=0),0,IF(N68="Sin Cambios",L68-M68,L68-N68))</f>
        <v/>
      </c>
      <c r="P68" s="189">
        <f>IF(O68&lt;0,"Menor modelo",IF(O68&gt;0,"Mayor modelo","Igual"))</f>
        <v/>
      </c>
      <c r="Q68">
        <f>IF(OR(G68="Manual",B68="Manual"),"Manual",G68-B68)</f>
        <v/>
      </c>
      <c r="R68">
        <f>IF(OR(L68="Manual",G68="Manual"),"Manual",L68-G68)</f>
        <v/>
      </c>
    </row>
    <row r="69" spans="1:23">
      <c r="A69" s="89" t="s">
        <v>74</v>
      </c>
      <c r="B69" s="191">
        <f>VLOOKUP(A69,Análisis!B:P,14,0)</f>
        <v/>
      </c>
      <c r="C69">
        <f>VLOOKUP(A69,'[1]CAMBIOS REALIZADOS'!$C:$F,3,0)</f>
        <v/>
      </c>
      <c r="D69">
        <f>VLOOKUP(A69,'[1]CAMBIOS REALIZADOS'!$C:$F,4,0)</f>
        <v/>
      </c>
      <c r="E69">
        <f>IF(OR(B69="Manual",B69=0),0,IF(D69="Sin Cambios",B69-C69,B69-D69))</f>
        <v/>
      </c>
      <c r="F69" s="189">
        <f>IF(E69&lt;0,"Menor modelo",IF(E69&gt;0,"Mayor modelo","Igual"))</f>
        <v/>
      </c>
      <c r="G69" s="191">
        <f>VLOOKUP(A69,Análisis!B:AB,26,0)</f>
        <v/>
      </c>
      <c r="H69">
        <f>VLOOKUP(A69,'[1]CAMBIOS REALIZADOS'!$C:$I,6,0)</f>
        <v/>
      </c>
      <c r="I69">
        <f>VLOOKUP(A69,'[1]CAMBIOS REALIZADOS'!$C:$I,7,0)</f>
        <v/>
      </c>
      <c r="J69">
        <f>IF(OR(G69="Manual",G69=0),0,IF(I69="Sin Cambios",G69-H69,G69-I69))</f>
        <v/>
      </c>
      <c r="K69" s="189">
        <f>IF(J69&lt;0,"Menor modelo",IF(J69&gt;0,"Mayor modelo","Igual"))</f>
        <v/>
      </c>
      <c r="L69" s="191">
        <f>VLOOKUP(A69,Análisis!B:AN,38,0)</f>
        <v/>
      </c>
      <c r="M69">
        <f>VLOOKUP(A69,'[1]CAMBIOS REALIZADOS'!$C:$L,9,0)</f>
        <v/>
      </c>
      <c r="N69">
        <f>VLOOKUP(A69,'[1]CAMBIOS REALIZADOS'!$C:$L,10,0)</f>
        <v/>
      </c>
      <c r="O69">
        <f>IF(OR(L69="Manual",L69=0),0,IF(N69="Sin Cambios",L69-M69,L69-N69))</f>
        <v/>
      </c>
      <c r="P69" s="189">
        <f>IF(O69&lt;0,"Menor modelo",IF(O69&gt;0,"Mayor modelo","Igual"))</f>
        <v/>
      </c>
      <c r="Q69">
        <f>IF(OR(G69="Manual",B69="Manual"),"Manual",G69-B69)</f>
        <v/>
      </c>
      <c r="R69">
        <f>IF(OR(L69="Manual",G69="Manual"),"Manual",L69-G69)</f>
        <v/>
      </c>
    </row>
    <row r="70" spans="1:23">
      <c r="A70" s="89" t="s">
        <v>82</v>
      </c>
      <c r="B70" s="191">
        <f>VLOOKUP(A70,Análisis!B:P,14,0)</f>
        <v/>
      </c>
      <c r="C70">
        <f>VLOOKUP(A70,'[1]CAMBIOS REALIZADOS'!$C:$F,3,0)</f>
        <v/>
      </c>
      <c r="D70">
        <f>VLOOKUP(A70,'[1]CAMBIOS REALIZADOS'!$C:$F,4,0)</f>
        <v/>
      </c>
      <c r="E70">
        <f>IF(OR(B70="Manual",B70=0),0,IF(D70="Sin Cambios",B70-C70,B70-D70))</f>
        <v/>
      </c>
      <c r="F70" s="189">
        <f>IF(E70&lt;0,"Menor modelo",IF(E70&gt;0,"Mayor modelo","Igual"))</f>
        <v/>
      </c>
      <c r="G70" s="191">
        <f>VLOOKUP(A70,Análisis!B:AB,26,0)</f>
        <v/>
      </c>
      <c r="H70">
        <f>VLOOKUP(A70,'[1]CAMBIOS REALIZADOS'!$C:$I,6,0)</f>
        <v/>
      </c>
      <c r="I70">
        <f>VLOOKUP(A70,'[1]CAMBIOS REALIZADOS'!$C:$I,7,0)</f>
        <v/>
      </c>
      <c r="J70">
        <f>IF(OR(G70="Manual",G70=0),0,IF(I70="Sin Cambios",G70-H70,G70-I70))</f>
        <v/>
      </c>
      <c r="K70" s="189">
        <f>IF(J70&lt;0,"Menor modelo",IF(J70&gt;0,"Mayor modelo","Igual"))</f>
        <v/>
      </c>
      <c r="L70" s="191">
        <f>VLOOKUP(A70,Análisis!B:AN,38,0)</f>
        <v/>
      </c>
      <c r="M70">
        <f>VLOOKUP(A70,'[1]CAMBIOS REALIZADOS'!$C:$L,9,0)</f>
        <v/>
      </c>
      <c r="N70">
        <f>VLOOKUP(A70,'[1]CAMBIOS REALIZADOS'!$C:$L,10,0)</f>
        <v/>
      </c>
      <c r="O70">
        <f>IF(OR(L70="Manual",L70=0),0,IF(N70="Sin Cambios",L70-M70,L70-N70))</f>
        <v/>
      </c>
      <c r="P70" s="189">
        <f>IF(O70&lt;0,"Menor modelo",IF(O70&gt;0,"Mayor modelo","Igual"))</f>
        <v/>
      </c>
      <c r="Q70">
        <f>IF(OR(G70="Manual",B70="Manual"),"Manual",G70-B70)</f>
        <v/>
      </c>
      <c r="R70">
        <f>IF(OR(L70="Manual",G70="Manual"),"Manual",L70-G70)</f>
        <v/>
      </c>
    </row>
    <row r="71" spans="1:23">
      <c r="A71" s="89" t="s">
        <v>72</v>
      </c>
      <c r="B71" s="191">
        <f>VLOOKUP(A71,Análisis!B:P,14,0)</f>
        <v/>
      </c>
      <c r="C71">
        <f>VLOOKUP(A71,'[1]CAMBIOS REALIZADOS'!$C:$F,3,0)</f>
        <v/>
      </c>
      <c r="D71">
        <f>VLOOKUP(A71,'[1]CAMBIOS REALIZADOS'!$C:$F,4,0)</f>
        <v/>
      </c>
      <c r="E71">
        <f>IF(OR(B71="Manual",B71=0),0,IF(D71="Sin Cambios",B71-C71,B71-D71))</f>
        <v/>
      </c>
      <c r="F71" s="189">
        <f>IF(E71&lt;0,"Menor modelo",IF(E71&gt;0,"Mayor modelo","Igual"))</f>
        <v/>
      </c>
      <c r="G71" s="191">
        <f>VLOOKUP(A71,Análisis!B:AB,26,0)</f>
        <v/>
      </c>
      <c r="H71">
        <f>VLOOKUP(A71,'[1]CAMBIOS REALIZADOS'!$C:$I,6,0)</f>
        <v/>
      </c>
      <c r="I71">
        <f>VLOOKUP(A71,'[1]CAMBIOS REALIZADOS'!$C:$I,7,0)</f>
        <v/>
      </c>
      <c r="J71">
        <f>IF(OR(G71="Manual",G71=0),0,IF(I71="Sin Cambios",G71-H71,G71-I71))</f>
        <v/>
      </c>
      <c r="K71" s="189">
        <f>IF(J71&lt;0,"Menor modelo",IF(J71&gt;0,"Mayor modelo","Igual"))</f>
        <v/>
      </c>
      <c r="L71" s="191">
        <f>VLOOKUP(A71,Análisis!B:AN,38,0)</f>
        <v/>
      </c>
      <c r="M71">
        <f>VLOOKUP(A71,'[1]CAMBIOS REALIZADOS'!$C:$L,9,0)</f>
        <v/>
      </c>
      <c r="N71">
        <f>VLOOKUP(A71,'[1]CAMBIOS REALIZADOS'!$C:$L,10,0)</f>
        <v/>
      </c>
      <c r="O71">
        <f>IF(OR(L71="Manual",L71=0),0,IF(N71="Sin Cambios",L71-M71,L71-N71))</f>
        <v/>
      </c>
      <c r="P71" s="189">
        <f>IF(O71&lt;0,"Menor modelo",IF(O71&gt;0,"Mayor modelo","Igual"))</f>
        <v/>
      </c>
      <c r="Q71">
        <f>IF(OR(G71="Manual",B71="Manual"),"Manual",G71-B71)</f>
        <v/>
      </c>
      <c r="R71">
        <f>IF(OR(L71="Manual",G71="Manual"),"Manual",L71-G71)</f>
        <v/>
      </c>
    </row>
    <row r="72" spans="1:23">
      <c r="A72" s="89" t="s">
        <v>91</v>
      </c>
      <c r="B72" s="191">
        <f>VLOOKUP(A72,Análisis!B:P,14,0)</f>
        <v/>
      </c>
      <c r="C72">
        <f>VLOOKUP(A72,'[1]CAMBIOS REALIZADOS'!$C:$F,3,0)</f>
        <v/>
      </c>
      <c r="D72">
        <f>VLOOKUP(A72,'[1]CAMBIOS REALIZADOS'!$C:$F,4,0)</f>
        <v/>
      </c>
      <c r="E72">
        <f>IF(OR(B72="Manual",B72=0),0,IF(D72="Sin Cambios",B72-C72,B72-D72))</f>
        <v/>
      </c>
      <c r="F72" s="189">
        <f>IF(E72&lt;0,"Menor modelo",IF(E72&gt;0,"Mayor modelo","Igual"))</f>
        <v/>
      </c>
      <c r="G72" s="191">
        <f>VLOOKUP(A72,Análisis!B:AB,26,0)</f>
        <v/>
      </c>
      <c r="H72">
        <f>VLOOKUP(A72,'[1]CAMBIOS REALIZADOS'!$C:$I,6,0)</f>
        <v/>
      </c>
      <c r="I72">
        <f>VLOOKUP(A72,'[1]CAMBIOS REALIZADOS'!$C:$I,7,0)</f>
        <v/>
      </c>
      <c r="J72">
        <f>IF(OR(G72="Manual",G72=0),0,IF(I72="Sin Cambios",G72-H72,G72-I72))</f>
        <v/>
      </c>
      <c r="K72" s="189">
        <f>IF(J72&lt;0,"Menor modelo",IF(J72&gt;0,"Mayor modelo","Igual"))</f>
        <v/>
      </c>
      <c r="L72" s="191">
        <f>VLOOKUP(A72,Análisis!B:AN,38,0)</f>
        <v/>
      </c>
      <c r="M72">
        <f>VLOOKUP(A72,'[1]CAMBIOS REALIZADOS'!$C:$L,9,0)</f>
        <v/>
      </c>
      <c r="N72">
        <f>VLOOKUP(A72,'[1]CAMBIOS REALIZADOS'!$C:$L,10,0)</f>
        <v/>
      </c>
      <c r="O72">
        <f>IF(OR(L72="Manual",L72=0),0,IF(N72="Sin Cambios",L72-M72,L72-N72))</f>
        <v/>
      </c>
      <c r="P72" s="189">
        <f>IF(O72&lt;0,"Menor modelo",IF(O72&gt;0,"Mayor modelo","Igual"))</f>
        <v/>
      </c>
      <c r="Q72">
        <f>IF(OR(G72="Manual",B72="Manual"),"Manual",G72-B72)</f>
        <v/>
      </c>
      <c r="R72">
        <f>IF(OR(L72="Manual",G72="Manual"),"Manual",L72-G72)</f>
        <v/>
      </c>
    </row>
    <row r="73" spans="1:23">
      <c r="A73" s="89" t="s">
        <v>64</v>
      </c>
      <c r="B73" s="191">
        <f>VLOOKUP(A73,Análisis!B:P,14,0)</f>
        <v/>
      </c>
      <c r="C73">
        <f>VLOOKUP(A73,'[1]CAMBIOS REALIZADOS'!$C:$F,3,0)</f>
        <v/>
      </c>
      <c r="D73">
        <f>VLOOKUP(A73,'[1]CAMBIOS REALIZADOS'!$C:$F,4,0)</f>
        <v/>
      </c>
      <c r="E73">
        <f>IF(OR(B73="Manual",B73=0),0,IF(D73="Sin Cambios",B73-C73,B73-D73))</f>
        <v/>
      </c>
      <c r="F73" s="189">
        <f>IF(E73&lt;0,"Menor modelo",IF(E73&gt;0,"Mayor modelo","Igual"))</f>
        <v/>
      </c>
      <c r="G73" s="191">
        <f>VLOOKUP(A73,Análisis!B:AB,26,0)</f>
        <v/>
      </c>
      <c r="H73">
        <f>VLOOKUP(A73,'[1]CAMBIOS REALIZADOS'!$C:$I,6,0)</f>
        <v/>
      </c>
      <c r="I73">
        <f>VLOOKUP(A73,'[1]CAMBIOS REALIZADOS'!$C:$I,7,0)</f>
        <v/>
      </c>
      <c r="J73">
        <f>IF(OR(G73="Manual",G73=0),0,IF(I73="Sin Cambios",G73-H73,G73-I73))</f>
        <v/>
      </c>
      <c r="K73" s="189">
        <f>IF(J73&lt;0,"Menor modelo",IF(J73&gt;0,"Mayor modelo","Igual"))</f>
        <v/>
      </c>
      <c r="L73" s="191">
        <f>VLOOKUP(A73,Análisis!B:AN,38,0)</f>
        <v/>
      </c>
      <c r="M73">
        <f>VLOOKUP(A73,'[1]CAMBIOS REALIZADOS'!$C:$L,9,0)</f>
        <v/>
      </c>
      <c r="N73">
        <f>VLOOKUP(A73,'[1]CAMBIOS REALIZADOS'!$C:$L,10,0)</f>
        <v/>
      </c>
      <c r="O73">
        <f>IF(OR(L73="Manual",L73=0),0,IF(N73="Sin Cambios",L73-M73,L73-N73))</f>
        <v/>
      </c>
      <c r="P73" s="189">
        <f>IF(O73&lt;0,"Menor modelo",IF(O73&gt;0,"Mayor modelo","Igual"))</f>
        <v/>
      </c>
      <c r="Q73">
        <f>IF(OR(G73="Manual",B73="Manual"),"Manual",G73-B73)</f>
        <v/>
      </c>
      <c r="R73">
        <f>IF(OR(L73="Manual",G73="Manual"),"Manual",L73-G73)</f>
        <v/>
      </c>
    </row>
    <row r="74" spans="1:23">
      <c r="A74" s="89" t="s">
        <v>79</v>
      </c>
      <c r="B74" s="191">
        <f>VLOOKUP(A74,Análisis!B:P,14,0)</f>
        <v/>
      </c>
      <c r="C74">
        <f>VLOOKUP(A74,'[1]CAMBIOS REALIZADOS'!$C:$F,3,0)</f>
        <v/>
      </c>
      <c r="D74">
        <f>VLOOKUP(A74,'[1]CAMBIOS REALIZADOS'!$C:$F,4,0)</f>
        <v/>
      </c>
      <c r="E74">
        <f>IF(OR(B74="Manual",B74=0),0,IF(D74="Sin Cambios",B74-C74,B74-D74))</f>
        <v/>
      </c>
      <c r="F74" s="189">
        <f>IF(E74&lt;0,"Menor modelo",IF(E74&gt;0,"Mayor modelo","Igual"))</f>
        <v/>
      </c>
      <c r="G74" s="191">
        <f>VLOOKUP(A74,Análisis!B:AB,26,0)</f>
        <v/>
      </c>
      <c r="H74">
        <f>VLOOKUP(A74,'[1]CAMBIOS REALIZADOS'!$C:$I,6,0)</f>
        <v/>
      </c>
      <c r="I74">
        <f>VLOOKUP(A74,'[1]CAMBIOS REALIZADOS'!$C:$I,7,0)</f>
        <v/>
      </c>
      <c r="J74">
        <f>IF(OR(G74="Manual",G74=0),0,IF(I74="Sin Cambios",G74-H74,G74-I74))</f>
        <v/>
      </c>
      <c r="K74" s="189">
        <f>IF(J74&lt;0,"Menor modelo",IF(J74&gt;0,"Mayor modelo","Igual"))</f>
        <v/>
      </c>
      <c r="L74" s="191">
        <f>VLOOKUP(A74,Análisis!B:AN,38,0)</f>
        <v/>
      </c>
      <c r="M74">
        <f>VLOOKUP(A74,'[1]CAMBIOS REALIZADOS'!$C:$L,9,0)</f>
        <v/>
      </c>
      <c r="N74">
        <f>VLOOKUP(A74,'[1]CAMBIOS REALIZADOS'!$C:$L,10,0)</f>
        <v/>
      </c>
      <c r="O74">
        <f>IF(OR(L74="Manual",L74=0),0,IF(N74="Sin Cambios",L74-M74,L74-N74))</f>
        <v/>
      </c>
      <c r="P74" s="189">
        <f>IF(O74&lt;0,"Menor modelo",IF(O74&gt;0,"Mayor modelo","Igual"))</f>
        <v/>
      </c>
      <c r="Q74">
        <f>IF(OR(G74="Manual",B74="Manual"),"Manual",G74-B74)</f>
        <v/>
      </c>
      <c r="R74">
        <f>IF(OR(L74="Manual",G74="Manual"),"Manual",L74-G74)</f>
        <v/>
      </c>
    </row>
    <row r="75" spans="1:23">
      <c r="A75" s="89" t="s">
        <v>67</v>
      </c>
      <c r="B75" s="191">
        <f>VLOOKUP(A75,Análisis!B:P,14,0)</f>
        <v/>
      </c>
      <c r="C75">
        <f>VLOOKUP(A75,'[1]CAMBIOS REALIZADOS'!$C:$F,3,0)</f>
        <v/>
      </c>
      <c r="D75">
        <f>VLOOKUP(A75,'[1]CAMBIOS REALIZADOS'!$C:$F,4,0)</f>
        <v/>
      </c>
      <c r="E75">
        <f>IF(OR(B75="Manual",B75=0),0,IF(D75="Sin Cambios",B75-C75,B75-D75))</f>
        <v/>
      </c>
      <c r="F75" s="189">
        <f>IF(E75&lt;0,"Menor modelo",IF(E75&gt;0,"Mayor modelo","Igual"))</f>
        <v/>
      </c>
      <c r="G75" s="191">
        <f>VLOOKUP(A75,Análisis!B:AB,26,0)</f>
        <v/>
      </c>
      <c r="H75">
        <f>VLOOKUP(A75,'[1]CAMBIOS REALIZADOS'!$C:$I,6,0)</f>
        <v/>
      </c>
      <c r="I75">
        <f>VLOOKUP(A75,'[1]CAMBIOS REALIZADOS'!$C:$I,7,0)</f>
        <v/>
      </c>
      <c r="J75">
        <f>IF(OR(G75="Manual",G75=0),0,IF(I75="Sin Cambios",G75-H75,G75-I75))</f>
        <v/>
      </c>
      <c r="K75" s="189">
        <f>IF(J75&lt;0,"Menor modelo",IF(J75&gt;0,"Mayor modelo","Igual"))</f>
        <v/>
      </c>
      <c r="L75" s="191">
        <f>VLOOKUP(A75,Análisis!B:AN,38,0)</f>
        <v/>
      </c>
      <c r="M75">
        <f>VLOOKUP(A75,'[1]CAMBIOS REALIZADOS'!$C:$L,9,0)</f>
        <v/>
      </c>
      <c r="N75">
        <f>VLOOKUP(A75,'[1]CAMBIOS REALIZADOS'!$C:$L,10,0)</f>
        <v/>
      </c>
      <c r="O75">
        <f>IF(OR(L75="Manual",L75=0),0,IF(N75="Sin Cambios",L75-M75,L75-N75))</f>
        <v/>
      </c>
      <c r="P75" s="189">
        <f>IF(O75&lt;0,"Menor modelo",IF(O75&gt;0,"Mayor modelo","Igual"))</f>
        <v/>
      </c>
      <c r="Q75">
        <f>IF(OR(G75="Manual",B75="Manual"),"Manual",G75-B75)</f>
        <v/>
      </c>
      <c r="R75">
        <f>IF(OR(L75="Manual",G75="Manual"),"Manual",L75-G75)</f>
        <v/>
      </c>
    </row>
    <row r="76" spans="1:23">
      <c r="A76" s="89" t="s">
        <v>81</v>
      </c>
      <c r="B76" s="191">
        <f>VLOOKUP(A76,Análisis!B:P,14,0)</f>
        <v/>
      </c>
      <c r="C76">
        <f>VLOOKUP(A76,'[1]CAMBIOS REALIZADOS'!$C:$F,3,0)</f>
        <v/>
      </c>
      <c r="D76">
        <f>VLOOKUP(A76,'[1]CAMBIOS REALIZADOS'!$C:$F,4,0)</f>
        <v/>
      </c>
      <c r="E76">
        <f>IF(OR(B76="Manual",B76=0),0,IF(D76="Sin Cambios",B76-C76,B76-D76))</f>
        <v/>
      </c>
      <c r="F76" s="189">
        <f>IF(E76&lt;0,"Menor modelo",IF(E76&gt;0,"Mayor modelo","Igual"))</f>
        <v/>
      </c>
      <c r="G76" s="191">
        <f>VLOOKUP(A76,Análisis!B:AB,26,0)</f>
        <v/>
      </c>
      <c r="H76">
        <f>VLOOKUP(A76,'[1]CAMBIOS REALIZADOS'!$C:$I,6,0)</f>
        <v/>
      </c>
      <c r="I76">
        <f>VLOOKUP(A76,'[1]CAMBIOS REALIZADOS'!$C:$I,7,0)</f>
        <v/>
      </c>
      <c r="J76">
        <f>IF(OR(G76="Manual",G76=0),0,IF(I76="Sin Cambios",G76-H76,G76-I76))</f>
        <v/>
      </c>
      <c r="K76" s="189">
        <f>IF(J76&lt;0,"Menor modelo",IF(J76&gt;0,"Mayor modelo","Igual"))</f>
        <v/>
      </c>
      <c r="L76" s="191">
        <f>VLOOKUP(A76,Análisis!B:AN,38,0)</f>
        <v/>
      </c>
      <c r="M76">
        <f>VLOOKUP(A76,'[1]CAMBIOS REALIZADOS'!$C:$L,9,0)</f>
        <v/>
      </c>
      <c r="N76">
        <f>VLOOKUP(A76,'[1]CAMBIOS REALIZADOS'!$C:$L,10,0)</f>
        <v/>
      </c>
      <c r="O76">
        <f>IF(OR(L76="Manual",L76=0),0,IF(N76="Sin Cambios",L76-M76,L76-N76))</f>
        <v/>
      </c>
      <c r="P76" s="189">
        <f>IF(O76&lt;0,"Menor modelo",IF(O76&gt;0,"Mayor modelo","Igual"))</f>
        <v/>
      </c>
      <c r="Q76">
        <f>IF(OR(G76="Manual",B76="Manual"),"Manual",G76-B76)</f>
        <v/>
      </c>
      <c r="R76">
        <f>IF(OR(L76="Manual",G76="Manual"),"Manual",L76-G76)</f>
        <v/>
      </c>
    </row>
    <row r="77" spans="1:23">
      <c r="A77" s="89" t="s">
        <v>48</v>
      </c>
      <c r="B77" s="191">
        <f>VLOOKUP(A77,Análisis!B:P,14,0)</f>
        <v/>
      </c>
      <c r="C77">
        <f>VLOOKUP(A77,'[1]CAMBIOS REALIZADOS'!$C:$F,3,0)</f>
        <v/>
      </c>
      <c r="D77">
        <f>VLOOKUP(A77,'[1]CAMBIOS REALIZADOS'!$C:$F,4,0)</f>
        <v/>
      </c>
      <c r="E77">
        <f>IF(OR(B77="Manual",B77=0),0,IF(D77="Sin Cambios",B77-C77,B77-D77))</f>
        <v/>
      </c>
      <c r="F77" s="189">
        <f>IF(E77&lt;0,"Menor modelo",IF(E77&gt;0,"Mayor modelo","Igual"))</f>
        <v/>
      </c>
      <c r="G77" s="191">
        <f>VLOOKUP(A77,Análisis!B:AB,26,0)</f>
        <v/>
      </c>
      <c r="H77">
        <f>VLOOKUP(A77,'[1]CAMBIOS REALIZADOS'!$C:$I,6,0)</f>
        <v/>
      </c>
      <c r="I77">
        <f>VLOOKUP(A77,'[1]CAMBIOS REALIZADOS'!$C:$I,7,0)</f>
        <v/>
      </c>
      <c r="J77">
        <f>IF(OR(G77="Manual",G77=0),0,IF(I77="Sin Cambios",G77-H77,G77-I77))</f>
        <v/>
      </c>
      <c r="K77" s="189">
        <f>IF(J77&lt;0,"Menor modelo",IF(J77&gt;0,"Mayor modelo","Igual"))</f>
        <v/>
      </c>
      <c r="L77" s="191">
        <f>VLOOKUP(A77,Análisis!B:AN,38,0)</f>
        <v/>
      </c>
      <c r="M77">
        <f>VLOOKUP(A77,'[1]CAMBIOS REALIZADOS'!$C:$L,9,0)</f>
        <v/>
      </c>
      <c r="N77">
        <f>VLOOKUP(A77,'[1]CAMBIOS REALIZADOS'!$C:$L,10,0)</f>
        <v/>
      </c>
      <c r="O77">
        <f>IF(OR(L77="Manual",L77=0),0,IF(N77="Sin Cambios",L77-M77,L77-N77))</f>
        <v/>
      </c>
      <c r="P77" s="189">
        <f>IF(O77&lt;0,"Menor modelo",IF(O77&gt;0,"Mayor modelo","Igual"))</f>
        <v/>
      </c>
      <c r="Q77">
        <f>IF(OR(G77="Manual",B77="Manual"),"Manual",G77-B77)</f>
        <v/>
      </c>
      <c r="R77">
        <f>IF(OR(L77="Manual",G77="Manual"),"Manual",L77-G77)</f>
        <v/>
      </c>
    </row>
    <row r="78" spans="1:23">
      <c r="A78" s="89" t="s">
        <v>130</v>
      </c>
      <c r="B78" s="191">
        <f>VLOOKUP(A78,Análisis!B:P,14,0)</f>
        <v/>
      </c>
      <c r="C78">
        <f>VLOOKUP(A78,'[1]CAMBIOS REALIZADOS'!$C:$F,3,0)</f>
        <v/>
      </c>
      <c r="D78">
        <f>VLOOKUP(A78,'[1]CAMBIOS REALIZADOS'!$C:$F,4,0)</f>
        <v/>
      </c>
      <c r="E78">
        <f>IF(OR(B78="Manual",B78=0),0,IF(D78="Sin Cambios",B78-C78,B78-D78))</f>
        <v/>
      </c>
      <c r="F78" s="189">
        <f>IF(E78&lt;0,"Menor modelo",IF(E78&gt;0,"Mayor modelo","Igual"))</f>
        <v/>
      </c>
      <c r="G78" s="191">
        <f>VLOOKUP(A78,Análisis!B:AB,26,0)</f>
        <v/>
      </c>
      <c r="H78">
        <f>VLOOKUP(A78,'[1]CAMBIOS REALIZADOS'!$C:$I,6,0)</f>
        <v/>
      </c>
      <c r="I78">
        <f>VLOOKUP(A78,'[1]CAMBIOS REALIZADOS'!$C:$I,7,0)</f>
        <v/>
      </c>
      <c r="J78">
        <f>IF(OR(G78="Manual",G78=0),0,IF(I78="Sin Cambios",G78-H78,G78-I78))</f>
        <v/>
      </c>
      <c r="K78" s="189">
        <f>IF(J78&lt;0,"Menor modelo",IF(J78&gt;0,"Mayor modelo","Igual"))</f>
        <v/>
      </c>
      <c r="L78" s="191">
        <f>VLOOKUP(A78,Análisis!B:AN,38,0)</f>
        <v/>
      </c>
      <c r="M78">
        <f>VLOOKUP(A78,'[1]CAMBIOS REALIZADOS'!$C:$L,9,0)</f>
        <v/>
      </c>
      <c r="N78">
        <f>VLOOKUP(A78,'[1]CAMBIOS REALIZADOS'!$C:$L,10,0)</f>
        <v/>
      </c>
      <c r="O78">
        <f>IF(OR(L78="Manual",L78=0),0,IF(N78="Sin Cambios",L78-M78,L78-N78))</f>
        <v/>
      </c>
      <c r="P78" s="189">
        <f>IF(O78&lt;0,"Menor modelo",IF(O78&gt;0,"Mayor modelo","Igual"))</f>
        <v/>
      </c>
      <c r="Q78">
        <f>IF(OR(G78="Manual",B78="Manual"),"Manual",G78-B78)</f>
        <v/>
      </c>
      <c r="R78">
        <f>IF(OR(L78="Manual",G78="Manual"),"Manual",L78-G78)</f>
        <v/>
      </c>
    </row>
    <row r="79" spans="1:23">
      <c r="A79" s="89" t="s">
        <v>76</v>
      </c>
      <c r="B79" s="191">
        <f>VLOOKUP(A79,Análisis!B:P,14,0)</f>
        <v/>
      </c>
      <c r="C79">
        <f>VLOOKUP(A79,'[1]CAMBIOS REALIZADOS'!$C:$F,3,0)</f>
        <v/>
      </c>
      <c r="D79">
        <f>VLOOKUP(A79,'[1]CAMBIOS REALIZADOS'!$C:$F,4,0)</f>
        <v/>
      </c>
      <c r="E79">
        <f>IF(OR(B79="Manual",B79=0),0,IF(D79="Sin Cambios",B79-C79,B79-D79))</f>
        <v/>
      </c>
      <c r="F79" s="189">
        <f>IF(E79&lt;0,"Menor modelo",IF(E79&gt;0,"Mayor modelo","Igual"))</f>
        <v/>
      </c>
      <c r="G79" s="191">
        <f>VLOOKUP(A79,Análisis!B:AB,26,0)</f>
        <v/>
      </c>
      <c r="H79">
        <f>VLOOKUP(A79,'[1]CAMBIOS REALIZADOS'!$C:$I,6,0)</f>
        <v/>
      </c>
      <c r="I79">
        <f>VLOOKUP(A79,'[1]CAMBIOS REALIZADOS'!$C:$I,7,0)</f>
        <v/>
      </c>
      <c r="J79">
        <f>IF(OR(G79="Manual",G79=0),0,IF(I79="Sin Cambios",G79-H79,G79-I79))</f>
        <v/>
      </c>
      <c r="K79" s="189">
        <f>IF(J79&lt;0,"Menor modelo",IF(J79&gt;0,"Mayor modelo","Igual"))</f>
        <v/>
      </c>
      <c r="L79" s="191">
        <f>VLOOKUP(A79,Análisis!B:AN,38,0)</f>
        <v/>
      </c>
      <c r="M79">
        <f>VLOOKUP(A79,'[1]CAMBIOS REALIZADOS'!$C:$L,9,0)</f>
        <v/>
      </c>
      <c r="N79">
        <f>VLOOKUP(A79,'[1]CAMBIOS REALIZADOS'!$C:$L,10,0)</f>
        <v/>
      </c>
      <c r="O79">
        <f>IF(OR(L79="Manual",L79=0),0,IF(N79="Sin Cambios",L79-M79,L79-N79))</f>
        <v/>
      </c>
      <c r="P79" s="189">
        <f>IF(O79&lt;0,"Menor modelo",IF(O79&gt;0,"Mayor modelo","Igual"))</f>
        <v/>
      </c>
      <c r="Q79">
        <f>IF(OR(G79="Manual",B79="Manual"),"Manual",G79-B79)</f>
        <v/>
      </c>
      <c r="R79">
        <f>IF(OR(L79="Manual",G79="Manual"),"Manual",L79-G79)</f>
        <v/>
      </c>
    </row>
    <row r="80" spans="1:23">
      <c r="A80" s="89" t="s">
        <v>88</v>
      </c>
      <c r="B80" s="191">
        <f>VLOOKUP(A80,Análisis!B:P,14,0)</f>
        <v/>
      </c>
      <c r="C80">
        <f>VLOOKUP(A80,'[1]CAMBIOS REALIZADOS'!$C:$F,3,0)</f>
        <v/>
      </c>
      <c r="D80">
        <f>VLOOKUP(A80,'[1]CAMBIOS REALIZADOS'!$C:$F,4,0)</f>
        <v/>
      </c>
      <c r="E80">
        <f>IF(OR(B80="Manual",B80=0),0,IF(D80="Sin Cambios",B80-C80,B80-D80))</f>
        <v/>
      </c>
      <c r="F80" s="189">
        <f>IF(E80&lt;0,"Menor modelo",IF(E80&gt;0,"Mayor modelo","Igual"))</f>
        <v/>
      </c>
      <c r="G80" s="191">
        <f>VLOOKUP(A80,Análisis!B:AB,26,0)</f>
        <v/>
      </c>
      <c r="H80">
        <f>VLOOKUP(A80,'[1]CAMBIOS REALIZADOS'!$C:$I,6,0)</f>
        <v/>
      </c>
      <c r="I80">
        <f>VLOOKUP(A80,'[1]CAMBIOS REALIZADOS'!$C:$I,7,0)</f>
        <v/>
      </c>
      <c r="J80">
        <f>IF(OR(G80="Manual",G80=0),0,IF(I80="Sin Cambios",G80-H80,G80-I80))</f>
        <v/>
      </c>
      <c r="K80" s="189">
        <f>IF(J80&lt;0,"Menor modelo",IF(J80&gt;0,"Mayor modelo","Igual"))</f>
        <v/>
      </c>
      <c r="L80" s="191">
        <f>VLOOKUP(A80,Análisis!B:AN,38,0)</f>
        <v/>
      </c>
      <c r="M80">
        <f>VLOOKUP(A80,'[1]CAMBIOS REALIZADOS'!$C:$L,9,0)</f>
        <v/>
      </c>
      <c r="N80">
        <f>VLOOKUP(A80,'[1]CAMBIOS REALIZADOS'!$C:$L,10,0)</f>
        <v/>
      </c>
      <c r="O80">
        <f>IF(OR(L80="Manual",L80=0),0,IF(N80="Sin Cambios",L80-M80,L80-N80))</f>
        <v/>
      </c>
      <c r="P80" s="189">
        <f>IF(O80&lt;0,"Menor modelo",IF(O80&gt;0,"Mayor modelo","Igual"))</f>
        <v/>
      </c>
      <c r="Q80">
        <f>IF(OR(G80="Manual",B80="Manual"),"Manual",G80-B80)</f>
        <v/>
      </c>
      <c r="R80">
        <f>IF(OR(L80="Manual",G80="Manual"),"Manual",L80-G80)</f>
        <v/>
      </c>
    </row>
    <row r="81" spans="1:23">
      <c r="A81" s="89" t="s">
        <v>97</v>
      </c>
      <c r="B81" s="191">
        <f>VLOOKUP(A81,Análisis!B:P,14,0)</f>
        <v/>
      </c>
      <c r="C81">
        <f>VLOOKUP(A81,'[1]CAMBIOS REALIZADOS'!$C:$F,3,0)</f>
        <v/>
      </c>
      <c r="D81">
        <f>VLOOKUP(A81,'[1]CAMBIOS REALIZADOS'!$C:$F,4,0)</f>
        <v/>
      </c>
      <c r="E81">
        <f>IF(OR(B81="Manual",B81=0),0,IF(D81="Sin Cambios",B81-C81,B81-D81))</f>
        <v/>
      </c>
      <c r="F81" s="189">
        <f>IF(E81&lt;0,"Menor modelo",IF(E81&gt;0,"Mayor modelo","Igual"))</f>
        <v/>
      </c>
      <c r="G81" s="191">
        <f>VLOOKUP(A81,Análisis!B:AB,26,0)</f>
        <v/>
      </c>
      <c r="H81">
        <f>VLOOKUP(A81,'[1]CAMBIOS REALIZADOS'!$C:$I,6,0)</f>
        <v/>
      </c>
      <c r="I81">
        <f>VLOOKUP(A81,'[1]CAMBIOS REALIZADOS'!$C:$I,7,0)</f>
        <v/>
      </c>
      <c r="J81">
        <f>IF(OR(G81="Manual",G81=0),0,IF(I81="Sin Cambios",G81-H81,G81-I81))</f>
        <v/>
      </c>
      <c r="K81" s="189">
        <f>IF(J81&lt;0,"Menor modelo",IF(J81&gt;0,"Mayor modelo","Igual"))</f>
        <v/>
      </c>
      <c r="L81" s="191">
        <f>VLOOKUP(A81,Análisis!B:AN,38,0)</f>
        <v/>
      </c>
      <c r="M81">
        <f>VLOOKUP(A81,'[1]CAMBIOS REALIZADOS'!$C:$L,9,0)</f>
        <v/>
      </c>
      <c r="N81">
        <f>VLOOKUP(A81,'[1]CAMBIOS REALIZADOS'!$C:$L,10,0)</f>
        <v/>
      </c>
      <c r="O81">
        <f>IF(OR(L81="Manual",L81=0),0,IF(N81="Sin Cambios",L81-M81,L81-N81))</f>
        <v/>
      </c>
      <c r="P81" s="189">
        <f>IF(O81&lt;0,"Menor modelo",IF(O81&gt;0,"Mayor modelo","Igual"))</f>
        <v/>
      </c>
      <c r="Q81">
        <f>IF(OR(G81="Manual",B81="Manual"),"Manual",G81-B81)</f>
        <v/>
      </c>
      <c r="R81">
        <f>IF(OR(L81="Manual",G81="Manual"),"Manual",L81-G81)</f>
        <v/>
      </c>
    </row>
    <row r="82" spans="1:23">
      <c r="A82" s="89" t="s">
        <v>53</v>
      </c>
      <c r="B82" s="191">
        <f>VLOOKUP(A82,Análisis!B:P,14,0)</f>
        <v/>
      </c>
      <c r="C82">
        <f>VLOOKUP(A82,'[1]CAMBIOS REALIZADOS'!$C:$F,3,0)</f>
        <v/>
      </c>
      <c r="D82">
        <f>VLOOKUP(A82,'[1]CAMBIOS REALIZADOS'!$C:$F,4,0)</f>
        <v/>
      </c>
      <c r="E82">
        <f>IF(OR(B82="Manual",B82=0),0,IF(D82="Sin Cambios",B82-C82,B82-D82))</f>
        <v/>
      </c>
      <c r="F82" s="189">
        <f>IF(E82&lt;0,"Menor modelo",IF(E82&gt;0,"Mayor modelo","Igual"))</f>
        <v/>
      </c>
      <c r="G82" s="191">
        <f>VLOOKUP(A82,Análisis!B:AB,26,0)</f>
        <v/>
      </c>
      <c r="H82">
        <f>VLOOKUP(A82,'[1]CAMBIOS REALIZADOS'!$C:$I,6,0)</f>
        <v/>
      </c>
      <c r="I82">
        <f>VLOOKUP(A82,'[1]CAMBIOS REALIZADOS'!$C:$I,7,0)</f>
        <v/>
      </c>
      <c r="J82">
        <f>IF(OR(G82="Manual",G82=0),0,IF(I82="Sin Cambios",G82-H82,G82-I82))</f>
        <v/>
      </c>
      <c r="K82" s="189">
        <f>IF(J82&lt;0,"Menor modelo",IF(J82&gt;0,"Mayor modelo","Igual"))</f>
        <v/>
      </c>
      <c r="L82" s="191">
        <f>VLOOKUP(A82,Análisis!B:AN,38,0)</f>
        <v/>
      </c>
      <c r="M82">
        <f>VLOOKUP(A82,'[1]CAMBIOS REALIZADOS'!$C:$L,9,0)</f>
        <v/>
      </c>
      <c r="N82">
        <f>VLOOKUP(A82,'[1]CAMBIOS REALIZADOS'!$C:$L,10,0)</f>
        <v/>
      </c>
      <c r="O82">
        <f>IF(OR(L82="Manual",L82=0),0,IF(N82="Sin Cambios",L82-M82,L82-N82))</f>
        <v/>
      </c>
      <c r="P82" s="189">
        <f>IF(O82&lt;0,"Menor modelo",IF(O82&gt;0,"Mayor modelo","Igual"))</f>
        <v/>
      </c>
      <c r="Q82">
        <f>IF(OR(G82="Manual",B82="Manual"),"Manual",G82-B82)</f>
        <v/>
      </c>
      <c r="R82">
        <f>IF(OR(L82="Manual",G82="Manual"),"Manual",L82-G82)</f>
        <v/>
      </c>
    </row>
    <row r="83" spans="1:23">
      <c r="A83" s="89" t="s">
        <v>57</v>
      </c>
      <c r="B83" s="191">
        <f>VLOOKUP(A83,Análisis!B:P,14,0)</f>
        <v/>
      </c>
      <c r="C83">
        <f>VLOOKUP(A83,'[1]CAMBIOS REALIZADOS'!$C:$F,3,0)</f>
        <v/>
      </c>
      <c r="D83">
        <f>VLOOKUP(A83,'[1]CAMBIOS REALIZADOS'!$C:$F,4,0)</f>
        <v/>
      </c>
      <c r="E83">
        <f>IF(OR(B83="Manual",B83=0),0,IF(D83="Sin Cambios",B83-C83,B83-D83))</f>
        <v/>
      </c>
      <c r="F83" s="189">
        <f>IF(E83&lt;0,"Menor modelo",IF(E83&gt;0,"Mayor modelo","Igual"))</f>
        <v/>
      </c>
      <c r="G83" s="191">
        <f>VLOOKUP(A83,Análisis!B:AB,26,0)</f>
        <v/>
      </c>
      <c r="H83">
        <f>VLOOKUP(A83,'[1]CAMBIOS REALIZADOS'!$C:$I,6,0)</f>
        <v/>
      </c>
      <c r="I83">
        <f>VLOOKUP(A83,'[1]CAMBIOS REALIZADOS'!$C:$I,7,0)</f>
        <v/>
      </c>
      <c r="J83">
        <f>IF(OR(G83="Manual",G83=0),0,IF(I83="Sin Cambios",G83-H83,G83-I83))</f>
        <v/>
      </c>
      <c r="K83" s="189">
        <f>IF(J83&lt;0,"Menor modelo",IF(J83&gt;0,"Mayor modelo","Igual"))</f>
        <v/>
      </c>
      <c r="L83" s="191">
        <f>VLOOKUP(A83,Análisis!B:AN,38,0)</f>
        <v/>
      </c>
      <c r="M83">
        <f>VLOOKUP(A83,'[1]CAMBIOS REALIZADOS'!$C:$L,9,0)</f>
        <v/>
      </c>
      <c r="N83">
        <f>VLOOKUP(A83,'[1]CAMBIOS REALIZADOS'!$C:$L,10,0)</f>
        <v/>
      </c>
      <c r="O83">
        <f>IF(OR(L83="Manual",L83=0),0,IF(N83="Sin Cambios",L83-M83,L83-N83))</f>
        <v/>
      </c>
      <c r="P83" s="189">
        <f>IF(O83&lt;0,"Menor modelo",IF(O83&gt;0,"Mayor modelo","Igual"))</f>
        <v/>
      </c>
      <c r="Q83">
        <f>IF(OR(G83="Manual",B83="Manual"),"Manual",G83-B83)</f>
        <v/>
      </c>
      <c r="R83">
        <f>IF(OR(L83="Manual",G83="Manual"),"Manual",L83-G83)</f>
        <v/>
      </c>
    </row>
    <row r="84" spans="1:23">
      <c r="A84" s="89" t="s">
        <v>55</v>
      </c>
      <c r="B84" s="191">
        <f>VLOOKUP(A84,Análisis!B:P,14,0)</f>
        <v/>
      </c>
      <c r="C84">
        <f>VLOOKUP(A84,'[1]CAMBIOS REALIZADOS'!$C:$F,3,0)</f>
        <v/>
      </c>
      <c r="D84">
        <f>VLOOKUP(A84,'[1]CAMBIOS REALIZADOS'!$C:$F,4,0)</f>
        <v/>
      </c>
      <c r="E84">
        <f>IF(OR(B84="Manual",B84=0),0,IF(D84="Sin Cambios",B84-C84,B84-D84))</f>
        <v/>
      </c>
      <c r="F84" s="189">
        <f>IF(E84&lt;0,"Menor modelo",IF(E84&gt;0,"Mayor modelo","Igual"))</f>
        <v/>
      </c>
      <c r="G84" s="191">
        <f>VLOOKUP(A84,Análisis!B:AB,26,0)</f>
        <v/>
      </c>
      <c r="H84">
        <f>VLOOKUP(A84,'[1]CAMBIOS REALIZADOS'!$C:$I,6,0)</f>
        <v/>
      </c>
      <c r="I84">
        <f>VLOOKUP(A84,'[1]CAMBIOS REALIZADOS'!$C:$I,7,0)</f>
        <v/>
      </c>
      <c r="J84">
        <f>IF(OR(G84="Manual",G84=0),0,IF(I84="Sin Cambios",G84-H84,G84-I84))</f>
        <v/>
      </c>
      <c r="K84" s="189">
        <f>IF(J84&lt;0,"Menor modelo",IF(J84&gt;0,"Mayor modelo","Igual"))</f>
        <v/>
      </c>
      <c r="L84" s="191">
        <f>VLOOKUP(A84,Análisis!B:AN,38,0)</f>
        <v/>
      </c>
      <c r="M84">
        <f>VLOOKUP(A84,'[1]CAMBIOS REALIZADOS'!$C:$L,9,0)</f>
        <v/>
      </c>
      <c r="N84">
        <f>VLOOKUP(A84,'[1]CAMBIOS REALIZADOS'!$C:$L,10,0)</f>
        <v/>
      </c>
      <c r="O84">
        <f>IF(OR(L84="Manual",L84=0),0,IF(N84="Sin Cambios",L84-M84,L84-N84))</f>
        <v/>
      </c>
      <c r="P84" s="189">
        <f>IF(O84&lt;0,"Menor modelo",IF(O84&gt;0,"Mayor modelo","Igual"))</f>
        <v/>
      </c>
      <c r="Q84">
        <f>IF(OR(G84="Manual",B84="Manual"),"Manual",G84-B84)</f>
        <v/>
      </c>
      <c r="R84">
        <f>IF(OR(L84="Manual",G84="Manual"),"Manual",L84-G84)</f>
        <v/>
      </c>
    </row>
    <row r="85" spans="1:23">
      <c r="A85" s="89" t="s">
        <v>103</v>
      </c>
      <c r="B85" s="191">
        <f>VLOOKUP(A85,Análisis!B:P,14,0)</f>
        <v/>
      </c>
      <c r="C85">
        <f>VLOOKUP(A85,'[1]CAMBIOS REALIZADOS'!$C:$F,3,0)</f>
        <v/>
      </c>
      <c r="D85">
        <f>VLOOKUP(A85,'[1]CAMBIOS REALIZADOS'!$C:$F,4,0)</f>
        <v/>
      </c>
      <c r="E85">
        <f>IF(OR(B85="Manual",B85=0),0,IF(D85="Sin Cambios",B85-C85,B85-D85))</f>
        <v/>
      </c>
      <c r="F85" s="189">
        <f>IF(E85&lt;0,"Menor modelo",IF(E85&gt;0,"Mayor modelo","Igual"))</f>
        <v/>
      </c>
      <c r="G85" s="191">
        <f>VLOOKUP(A85,Análisis!B:AB,26,0)</f>
        <v/>
      </c>
      <c r="H85">
        <f>VLOOKUP(A85,'[1]CAMBIOS REALIZADOS'!$C:$I,6,0)</f>
        <v/>
      </c>
      <c r="I85">
        <f>VLOOKUP(A85,'[1]CAMBIOS REALIZADOS'!$C:$I,7,0)</f>
        <v/>
      </c>
      <c r="J85">
        <f>IF(OR(G85="Manual",G85=0),0,IF(I85="Sin Cambios",G85-H85,G85-I85))</f>
        <v/>
      </c>
      <c r="K85" s="189">
        <f>IF(J85&lt;0,"Menor modelo",IF(J85&gt;0,"Mayor modelo","Igual"))</f>
        <v/>
      </c>
      <c r="L85" s="191">
        <f>VLOOKUP(A85,Análisis!B:AN,38,0)</f>
        <v/>
      </c>
      <c r="M85">
        <f>VLOOKUP(A85,'[1]CAMBIOS REALIZADOS'!$C:$L,9,0)</f>
        <v/>
      </c>
      <c r="N85">
        <f>VLOOKUP(A85,'[1]CAMBIOS REALIZADOS'!$C:$L,10,0)</f>
        <v/>
      </c>
      <c r="O85">
        <f>IF(OR(L85="Manual",L85=0),0,IF(N85="Sin Cambios",L85-M85,L85-N85))</f>
        <v/>
      </c>
      <c r="P85" s="189">
        <f>IF(O85&lt;0,"Menor modelo",IF(O85&gt;0,"Mayor modelo","Igual"))</f>
        <v/>
      </c>
      <c r="Q85">
        <f>IF(OR(G85="Manual",B85="Manual"),"Manual",G85-B85)</f>
        <v/>
      </c>
      <c r="R85">
        <f>IF(OR(L85="Manual",G85="Manual"),"Manual",L85-G85)</f>
        <v/>
      </c>
    </row>
    <row r="86" spans="1:23">
      <c r="A86" s="89" t="s">
        <v>60</v>
      </c>
      <c r="B86" s="191">
        <f>VLOOKUP(A86,Análisis!B:P,14,0)</f>
        <v/>
      </c>
      <c r="C86">
        <f>VLOOKUP(A86,'[1]CAMBIOS REALIZADOS'!$C:$F,3,0)</f>
        <v/>
      </c>
      <c r="D86">
        <f>VLOOKUP(A86,'[1]CAMBIOS REALIZADOS'!$C:$F,4,0)</f>
        <v/>
      </c>
      <c r="E86">
        <f>IF(OR(B86="Manual",B86=0),0,IF(D86="Sin Cambios",B86-C86,B86-D86))</f>
        <v/>
      </c>
      <c r="F86" s="189">
        <f>IF(E86&lt;0,"Menor modelo",IF(E86&gt;0,"Mayor modelo","Igual"))</f>
        <v/>
      </c>
      <c r="G86" s="191">
        <f>VLOOKUP(A86,Análisis!B:AB,26,0)</f>
        <v/>
      </c>
      <c r="H86">
        <f>VLOOKUP(A86,'[1]CAMBIOS REALIZADOS'!$C:$I,6,0)</f>
        <v/>
      </c>
      <c r="I86">
        <f>VLOOKUP(A86,'[1]CAMBIOS REALIZADOS'!$C:$I,7,0)</f>
        <v/>
      </c>
      <c r="J86">
        <f>IF(OR(G86="Manual",G86=0),0,IF(I86="Sin Cambios",G86-H86,G86-I86))</f>
        <v/>
      </c>
      <c r="K86" s="189">
        <f>IF(J86&lt;0,"Menor modelo",IF(J86&gt;0,"Mayor modelo","Igual"))</f>
        <v/>
      </c>
      <c r="L86" s="191">
        <f>VLOOKUP(A86,Análisis!B:AN,38,0)</f>
        <v/>
      </c>
      <c r="M86">
        <f>VLOOKUP(A86,'[1]CAMBIOS REALIZADOS'!$C:$L,9,0)</f>
        <v/>
      </c>
      <c r="N86">
        <f>VLOOKUP(A86,'[1]CAMBIOS REALIZADOS'!$C:$L,10,0)</f>
        <v/>
      </c>
      <c r="O86">
        <f>IF(OR(L86="Manual",L86=0),0,IF(N86="Sin Cambios",L86-M86,L86-N86))</f>
        <v/>
      </c>
      <c r="P86" s="189">
        <f>IF(O86&lt;0,"Menor modelo",IF(O86&gt;0,"Mayor modelo","Igual"))</f>
        <v/>
      </c>
      <c r="Q86">
        <f>IF(OR(G86="Manual",B86="Manual"),"Manual",G86-B86)</f>
        <v/>
      </c>
      <c r="R86">
        <f>IF(OR(L86="Manual",G86="Manual"),"Manual",L86-G86)</f>
        <v/>
      </c>
    </row>
    <row r="87" spans="1:23">
      <c r="A87" s="89" t="s">
        <v>59</v>
      </c>
      <c r="B87" s="191">
        <f>VLOOKUP(A87,Análisis!B:P,14,0)</f>
        <v/>
      </c>
      <c r="C87">
        <f>VLOOKUP(A87,'[1]CAMBIOS REALIZADOS'!$C:$F,3,0)</f>
        <v/>
      </c>
      <c r="D87">
        <f>VLOOKUP(A87,'[1]CAMBIOS REALIZADOS'!$C:$F,4,0)</f>
        <v/>
      </c>
      <c r="E87">
        <f>IF(OR(B87="Manual",B87=0),0,IF(D87="Sin Cambios",B87-C87,B87-D87))</f>
        <v/>
      </c>
      <c r="F87" s="189">
        <f>IF(E87&lt;0,"Menor modelo",IF(E87&gt;0,"Mayor modelo","Igual"))</f>
        <v/>
      </c>
      <c r="G87" s="191">
        <f>VLOOKUP(A87,Análisis!B:AB,26,0)</f>
        <v/>
      </c>
      <c r="H87">
        <f>VLOOKUP(A87,'[1]CAMBIOS REALIZADOS'!$C:$I,6,0)</f>
        <v/>
      </c>
      <c r="I87">
        <f>VLOOKUP(A87,'[1]CAMBIOS REALIZADOS'!$C:$I,7,0)</f>
        <v/>
      </c>
      <c r="J87">
        <f>IF(OR(G87="Manual",G87=0),0,IF(I87="Sin Cambios",G87-H87,G87-I87))</f>
        <v/>
      </c>
      <c r="K87" s="189">
        <f>IF(J87&lt;0,"Menor modelo",IF(J87&gt;0,"Mayor modelo","Igual"))</f>
        <v/>
      </c>
      <c r="L87" s="191">
        <f>VLOOKUP(A87,Análisis!B:AN,38,0)</f>
        <v/>
      </c>
      <c r="M87">
        <f>VLOOKUP(A87,'[1]CAMBIOS REALIZADOS'!$C:$L,9,0)</f>
        <v/>
      </c>
      <c r="N87">
        <f>VLOOKUP(A87,'[1]CAMBIOS REALIZADOS'!$C:$L,10,0)</f>
        <v/>
      </c>
      <c r="O87">
        <f>IF(OR(L87="Manual",L87=0),0,IF(N87="Sin Cambios",L87-M87,L87-N87))</f>
        <v/>
      </c>
      <c r="P87" s="189">
        <f>IF(O87&lt;0,"Menor modelo",IF(O87&gt;0,"Mayor modelo","Igual"))</f>
        <v/>
      </c>
      <c r="Q87">
        <f>IF(OR(G87="Manual",B87="Manual"),"Manual",G87-B87)</f>
        <v/>
      </c>
      <c r="R87">
        <f>IF(OR(L87="Manual",G87="Manual"),"Manual",L87-G87)</f>
        <v/>
      </c>
    </row>
    <row r="88" spans="1:23">
      <c r="A88" s="89" t="s">
        <v>78</v>
      </c>
      <c r="B88" s="191">
        <f>VLOOKUP(A88,Análisis!B:P,14,0)</f>
        <v/>
      </c>
      <c r="C88">
        <f>VLOOKUP(A88,'[1]CAMBIOS REALIZADOS'!$C:$F,3,0)</f>
        <v/>
      </c>
      <c r="D88">
        <f>VLOOKUP(A88,'[1]CAMBIOS REALIZADOS'!$C:$F,4,0)</f>
        <v/>
      </c>
      <c r="E88">
        <f>IF(OR(B88="Manual",B88=0),0,IF(D88="Sin Cambios",B88-C88,B88-D88))</f>
        <v/>
      </c>
      <c r="F88" s="189">
        <f>IF(E88&lt;0,"Menor modelo",IF(E88&gt;0,"Mayor modelo","Igual"))</f>
        <v/>
      </c>
      <c r="G88" s="191">
        <f>VLOOKUP(A88,Análisis!B:AB,26,0)</f>
        <v/>
      </c>
      <c r="H88">
        <f>VLOOKUP(A88,'[1]CAMBIOS REALIZADOS'!$C:$I,6,0)</f>
        <v/>
      </c>
      <c r="I88">
        <f>VLOOKUP(A88,'[1]CAMBIOS REALIZADOS'!$C:$I,7,0)</f>
        <v/>
      </c>
      <c r="J88">
        <f>IF(OR(G88="Manual",G88=0),0,IF(I88="Sin Cambios",G88-H88,G88-I88))</f>
        <v/>
      </c>
      <c r="K88" s="189">
        <f>IF(J88&lt;0,"Menor modelo",IF(J88&gt;0,"Mayor modelo","Igual"))</f>
        <v/>
      </c>
      <c r="L88" s="191">
        <f>VLOOKUP(A88,Análisis!B:AN,38,0)</f>
        <v/>
      </c>
      <c r="M88">
        <f>VLOOKUP(A88,'[1]CAMBIOS REALIZADOS'!$C:$L,9,0)</f>
        <v/>
      </c>
      <c r="N88">
        <f>VLOOKUP(A88,'[1]CAMBIOS REALIZADOS'!$C:$L,10,0)</f>
        <v/>
      </c>
      <c r="O88">
        <f>IF(OR(L88="Manual",L88=0),0,IF(N88="Sin Cambios",L88-M88,L88-N88))</f>
        <v/>
      </c>
      <c r="P88" s="189">
        <f>IF(O88&lt;0,"Menor modelo",IF(O88&gt;0,"Mayor modelo","Igual"))</f>
        <v/>
      </c>
      <c r="Q88">
        <f>IF(OR(G88="Manual",B88="Manual"),"Manual",G88-B88)</f>
        <v/>
      </c>
      <c r="R88">
        <f>IF(OR(L88="Manual",G88="Manual"),"Manual",L88-G88)</f>
        <v/>
      </c>
    </row>
    <row r="89" spans="1:23">
      <c r="A89" s="89" t="s">
        <v>56</v>
      </c>
      <c r="B89" s="191">
        <f>VLOOKUP(A89,Análisis!B:P,14,0)</f>
        <v/>
      </c>
      <c r="C89">
        <f>VLOOKUP(A89,'[1]CAMBIOS REALIZADOS'!$C:$F,3,0)</f>
        <v/>
      </c>
      <c r="D89">
        <f>VLOOKUP(A89,'[1]CAMBIOS REALIZADOS'!$C:$F,4,0)</f>
        <v/>
      </c>
      <c r="E89">
        <f>IF(OR(B89="Manual",B89=0),0,IF(D89="Sin Cambios",B89-C89,B89-D89))</f>
        <v/>
      </c>
      <c r="F89" s="189">
        <f>IF(E89&lt;0,"Menor modelo",IF(E89&gt;0,"Mayor modelo","Igual"))</f>
        <v/>
      </c>
      <c r="G89" s="191">
        <f>VLOOKUP(A89,Análisis!B:AB,26,0)</f>
        <v/>
      </c>
      <c r="H89">
        <f>VLOOKUP(A89,'[1]CAMBIOS REALIZADOS'!$C:$I,6,0)</f>
        <v/>
      </c>
      <c r="I89">
        <f>VLOOKUP(A89,'[1]CAMBIOS REALIZADOS'!$C:$I,7,0)</f>
        <v/>
      </c>
      <c r="J89">
        <f>IF(OR(G89="Manual",G89=0),0,IF(I89="Sin Cambios",G89-H89,G89-I89))</f>
        <v/>
      </c>
      <c r="K89" s="189">
        <f>IF(J89&lt;0,"Menor modelo",IF(J89&gt;0,"Mayor modelo","Igual"))</f>
        <v/>
      </c>
      <c r="L89" s="191">
        <f>VLOOKUP(A89,Análisis!B:AN,38,0)</f>
        <v/>
      </c>
      <c r="M89">
        <f>VLOOKUP(A89,'[1]CAMBIOS REALIZADOS'!$C:$L,9,0)</f>
        <v/>
      </c>
      <c r="N89">
        <f>VLOOKUP(A89,'[1]CAMBIOS REALIZADOS'!$C:$L,10,0)</f>
        <v/>
      </c>
      <c r="O89">
        <f>IF(OR(L89="Manual",L89=0),0,IF(N89="Sin Cambios",L89-M89,L89-N89))</f>
        <v/>
      </c>
      <c r="P89" s="189">
        <f>IF(O89&lt;0,"Menor modelo",IF(O89&gt;0,"Mayor modelo","Igual"))</f>
        <v/>
      </c>
      <c r="Q89">
        <f>IF(OR(G89="Manual",B89="Manual"),"Manual",G89-B89)</f>
        <v/>
      </c>
      <c r="R89">
        <f>IF(OR(L89="Manual",G89="Manual"),"Manual",L89-G89)</f>
        <v/>
      </c>
    </row>
    <row r="90" spans="1:23">
      <c r="A90" s="89" t="s">
        <v>92</v>
      </c>
      <c r="B90" s="191">
        <f>VLOOKUP(A90,Análisis!B:P,14,0)</f>
        <v/>
      </c>
      <c r="C90">
        <f>VLOOKUP(A90,'[1]CAMBIOS REALIZADOS'!$C:$F,3,0)</f>
        <v/>
      </c>
      <c r="D90">
        <f>VLOOKUP(A90,'[1]CAMBIOS REALIZADOS'!$C:$F,4,0)</f>
        <v/>
      </c>
      <c r="E90">
        <f>IF(OR(B90="Manual",B90=0),0,IF(D90="Sin Cambios",B90-C90,B90-D90))</f>
        <v/>
      </c>
      <c r="F90" s="189">
        <f>IF(E90&lt;0,"Menor modelo",IF(E90&gt;0,"Mayor modelo","Igual"))</f>
        <v/>
      </c>
      <c r="G90" s="191">
        <f>VLOOKUP(A90,Análisis!B:AB,26,0)</f>
        <v/>
      </c>
      <c r="H90">
        <f>VLOOKUP(A90,'[1]CAMBIOS REALIZADOS'!$C:$I,6,0)</f>
        <v/>
      </c>
      <c r="I90">
        <f>VLOOKUP(A90,'[1]CAMBIOS REALIZADOS'!$C:$I,7,0)</f>
        <v/>
      </c>
      <c r="J90">
        <f>IF(OR(G90="Manual",G90=0),0,IF(I90="Sin Cambios",G90-H90,G90-I90))</f>
        <v/>
      </c>
      <c r="K90" s="189">
        <f>IF(J90&lt;0,"Menor modelo",IF(J90&gt;0,"Mayor modelo","Igual"))</f>
        <v/>
      </c>
      <c r="L90" s="191">
        <f>VLOOKUP(A90,Análisis!B:AN,38,0)</f>
        <v/>
      </c>
      <c r="M90">
        <f>VLOOKUP(A90,'[1]CAMBIOS REALIZADOS'!$C:$L,9,0)</f>
        <v/>
      </c>
      <c r="N90">
        <f>VLOOKUP(A90,'[1]CAMBIOS REALIZADOS'!$C:$L,10,0)</f>
        <v/>
      </c>
      <c r="O90">
        <f>IF(OR(L90="Manual",L90=0),0,IF(N90="Sin Cambios",L90-M90,L90-N90))</f>
        <v/>
      </c>
      <c r="P90" s="189">
        <f>IF(O90&lt;0,"Menor modelo",IF(O90&gt;0,"Mayor modelo","Igual"))</f>
        <v/>
      </c>
      <c r="Q90">
        <f>IF(OR(G90="Manual",B90="Manual"),"Manual",G90-B90)</f>
        <v/>
      </c>
      <c r="R90">
        <f>IF(OR(L90="Manual",G90="Manual"),"Manual",L90-G90)</f>
        <v/>
      </c>
    </row>
    <row r="91" spans="1:23">
      <c r="A91" s="89" t="s">
        <v>87</v>
      </c>
      <c r="B91" s="191">
        <f>VLOOKUP(A91,Análisis!B:P,14,0)</f>
        <v/>
      </c>
      <c r="C91">
        <f>VLOOKUP(A91,'[1]CAMBIOS REALIZADOS'!$C:$F,3,0)</f>
        <v/>
      </c>
      <c r="D91">
        <f>VLOOKUP(A91,'[1]CAMBIOS REALIZADOS'!$C:$F,4,0)</f>
        <v/>
      </c>
      <c r="E91">
        <f>IF(OR(B91="Manual",B91=0),0,IF(D91="Sin Cambios",B91-C91,B91-D91))</f>
        <v/>
      </c>
      <c r="F91" s="189">
        <f>IF(E91&lt;0,"Menor modelo",IF(E91&gt;0,"Mayor modelo","Igual"))</f>
        <v/>
      </c>
      <c r="G91" s="191">
        <f>VLOOKUP(A91,Análisis!B:AB,26,0)</f>
        <v/>
      </c>
      <c r="H91">
        <f>VLOOKUP(A91,'[1]CAMBIOS REALIZADOS'!$C:$I,6,0)</f>
        <v/>
      </c>
      <c r="I91">
        <f>VLOOKUP(A91,'[1]CAMBIOS REALIZADOS'!$C:$I,7,0)</f>
        <v/>
      </c>
      <c r="J91">
        <f>IF(OR(G91="Manual",G91=0),0,IF(I91="Sin Cambios",G91-H91,G91-I91))</f>
        <v/>
      </c>
      <c r="K91" s="189">
        <f>IF(J91&lt;0,"Menor modelo",IF(J91&gt;0,"Mayor modelo","Igual"))</f>
        <v/>
      </c>
      <c r="L91" s="191">
        <f>VLOOKUP(A91,Análisis!B:AN,38,0)</f>
        <v/>
      </c>
      <c r="M91">
        <f>VLOOKUP(A91,'[1]CAMBIOS REALIZADOS'!$C:$L,9,0)</f>
        <v/>
      </c>
      <c r="N91">
        <f>VLOOKUP(A91,'[1]CAMBIOS REALIZADOS'!$C:$L,10,0)</f>
        <v/>
      </c>
      <c r="O91">
        <f>IF(OR(L91="Manual",L91=0),0,IF(N91="Sin Cambios",L91-M91,L91-N91))</f>
        <v/>
      </c>
      <c r="P91" s="189">
        <f>IF(O91&lt;0,"Menor modelo",IF(O91&gt;0,"Mayor modelo","Igual"))</f>
        <v/>
      </c>
      <c r="Q91">
        <f>IF(OR(G91="Manual",B91="Manual"),"Manual",G91-B91)</f>
        <v/>
      </c>
      <c r="R91">
        <f>IF(OR(L91="Manual",G91="Manual"),"Manual",L91-G91)</f>
        <v/>
      </c>
    </row>
    <row r="92" spans="1:23">
      <c r="A92" s="89" t="s">
        <v>99</v>
      </c>
      <c r="B92" s="191">
        <f>VLOOKUP(A92,Análisis!B:P,14,0)</f>
        <v/>
      </c>
      <c r="C92">
        <f>VLOOKUP(A92,'[1]CAMBIOS REALIZADOS'!$C:$F,3,0)</f>
        <v/>
      </c>
      <c r="D92">
        <f>VLOOKUP(A92,'[1]CAMBIOS REALIZADOS'!$C:$F,4,0)</f>
        <v/>
      </c>
      <c r="E92">
        <f>IF(OR(B92="Manual",B92=0),0,IF(D92="Sin Cambios",B92-C92,B92-D92))</f>
        <v/>
      </c>
      <c r="F92" s="189">
        <f>IF(E92&lt;0,"Menor modelo",IF(E92&gt;0,"Mayor modelo","Igual"))</f>
        <v/>
      </c>
      <c r="G92" s="191">
        <f>VLOOKUP(A92,Análisis!B:AB,26,0)</f>
        <v/>
      </c>
      <c r="H92">
        <f>VLOOKUP(A92,'[1]CAMBIOS REALIZADOS'!$C:$I,6,0)</f>
        <v/>
      </c>
      <c r="I92">
        <f>VLOOKUP(A92,'[1]CAMBIOS REALIZADOS'!$C:$I,7,0)</f>
        <v/>
      </c>
      <c r="J92">
        <f>IF(OR(G92="Manual",G92=0),0,IF(I92="Sin Cambios",G92-H92,G92-I92))</f>
        <v/>
      </c>
      <c r="K92" s="189">
        <f>IF(J92&lt;0,"Menor modelo",IF(J92&gt;0,"Mayor modelo","Igual"))</f>
        <v/>
      </c>
      <c r="L92" s="191">
        <f>VLOOKUP(A92,Análisis!B:AN,38,0)</f>
        <v/>
      </c>
      <c r="M92">
        <f>VLOOKUP(A92,'[1]CAMBIOS REALIZADOS'!$C:$L,9,0)</f>
        <v/>
      </c>
      <c r="N92">
        <f>VLOOKUP(A92,'[1]CAMBIOS REALIZADOS'!$C:$L,10,0)</f>
        <v/>
      </c>
      <c r="O92">
        <f>IF(OR(L92="Manual",L92=0),0,IF(N92="Sin Cambios",L92-M92,L92-N92))</f>
        <v/>
      </c>
      <c r="P92" s="189">
        <f>IF(O92&lt;0,"Menor modelo",IF(O92&gt;0,"Mayor modelo","Igual"))</f>
        <v/>
      </c>
      <c r="Q92">
        <f>IF(OR(G92="Manual",B92="Manual"),"Manual",G92-B92)</f>
        <v/>
      </c>
      <c r="R92">
        <f>IF(OR(L92="Manual",G92="Manual"),"Manual",L92-G92)</f>
        <v/>
      </c>
    </row>
    <row r="93" spans="1:23">
      <c r="A93" s="89" t="s">
        <v>62</v>
      </c>
      <c r="B93" s="191">
        <f>VLOOKUP(A93,Análisis!B:P,14,0)</f>
        <v/>
      </c>
      <c r="C93">
        <f>VLOOKUP(A93,'[1]CAMBIOS REALIZADOS'!$C:$F,3,0)</f>
        <v/>
      </c>
      <c r="D93">
        <f>VLOOKUP(A93,'[1]CAMBIOS REALIZADOS'!$C:$F,4,0)</f>
        <v/>
      </c>
      <c r="E93">
        <f>IF(OR(B93="Manual",B93=0),0,IF(D93="Sin Cambios",B93-C93,B93-D93))</f>
        <v/>
      </c>
      <c r="F93" s="189">
        <f>IF(E93&lt;0,"Menor modelo",IF(E93&gt;0,"Mayor modelo","Igual"))</f>
        <v/>
      </c>
      <c r="G93" s="191">
        <f>VLOOKUP(A93,Análisis!B:AB,26,0)</f>
        <v/>
      </c>
      <c r="H93">
        <f>VLOOKUP(A93,'[1]CAMBIOS REALIZADOS'!$C:$I,6,0)</f>
        <v/>
      </c>
      <c r="I93">
        <f>VLOOKUP(A93,'[1]CAMBIOS REALIZADOS'!$C:$I,7,0)</f>
        <v/>
      </c>
      <c r="J93">
        <f>IF(OR(G93="Manual",G93=0),0,IF(I93="Sin Cambios",G93-H93,G93-I93))</f>
        <v/>
      </c>
      <c r="K93" s="189">
        <f>IF(J93&lt;0,"Menor modelo",IF(J93&gt;0,"Mayor modelo","Igual"))</f>
        <v/>
      </c>
      <c r="L93" s="191">
        <f>VLOOKUP(A93,Análisis!B:AN,38,0)</f>
        <v/>
      </c>
      <c r="M93">
        <f>VLOOKUP(A93,'[1]CAMBIOS REALIZADOS'!$C:$L,9,0)</f>
        <v/>
      </c>
      <c r="N93">
        <f>VLOOKUP(A93,'[1]CAMBIOS REALIZADOS'!$C:$L,10,0)</f>
        <v/>
      </c>
      <c r="O93">
        <f>IF(OR(L93="Manual",L93=0),0,IF(N93="Sin Cambios",L93-M93,L93-N93))</f>
        <v/>
      </c>
      <c r="P93" s="189">
        <f>IF(O93&lt;0,"Menor modelo",IF(O93&gt;0,"Mayor modelo","Igual"))</f>
        <v/>
      </c>
      <c r="Q93">
        <f>IF(OR(G93="Manual",B93="Manual"),"Manual",G93-B93)</f>
        <v/>
      </c>
      <c r="R93">
        <f>IF(OR(L93="Manual",G93="Manual"),"Manual",L93-G93)</f>
        <v/>
      </c>
    </row>
    <row r="94" spans="1:23">
      <c r="A94" s="89" t="s">
        <v>69</v>
      </c>
      <c r="B94" s="191">
        <f>VLOOKUP(A94,Análisis!B:P,14,0)</f>
        <v/>
      </c>
      <c r="C94">
        <f>VLOOKUP(A94,'[1]CAMBIOS REALIZADOS'!$C:$F,3,0)</f>
        <v/>
      </c>
      <c r="D94">
        <f>VLOOKUP(A94,'[1]CAMBIOS REALIZADOS'!$C:$F,4,0)</f>
        <v/>
      </c>
      <c r="E94">
        <f>IF(OR(B94="Manual",B94=0),0,IF(D94="Sin Cambios",B94-C94,B94-D94))</f>
        <v/>
      </c>
      <c r="F94" s="189">
        <f>IF(E94&lt;0,"Menor modelo",IF(E94&gt;0,"Mayor modelo","Igual"))</f>
        <v/>
      </c>
      <c r="G94" s="191">
        <f>VLOOKUP(A94,Análisis!B:AB,26,0)</f>
        <v/>
      </c>
      <c r="H94">
        <f>VLOOKUP(A94,'[1]CAMBIOS REALIZADOS'!$C:$I,6,0)</f>
        <v/>
      </c>
      <c r="I94">
        <f>VLOOKUP(A94,'[1]CAMBIOS REALIZADOS'!$C:$I,7,0)</f>
        <v/>
      </c>
      <c r="J94">
        <f>IF(OR(G94="Manual",G94=0),0,IF(I94="Sin Cambios",G94-H94,G94-I94))</f>
        <v/>
      </c>
      <c r="K94" s="189">
        <f>IF(J94&lt;0,"Menor modelo",IF(J94&gt;0,"Mayor modelo","Igual"))</f>
        <v/>
      </c>
      <c r="L94" s="191">
        <f>VLOOKUP(A94,Análisis!B:AN,38,0)</f>
        <v/>
      </c>
      <c r="M94">
        <f>VLOOKUP(A94,'[1]CAMBIOS REALIZADOS'!$C:$L,9,0)</f>
        <v/>
      </c>
      <c r="N94">
        <f>VLOOKUP(A94,'[1]CAMBIOS REALIZADOS'!$C:$L,10,0)</f>
        <v/>
      </c>
      <c r="O94">
        <f>IF(OR(L94="Manual",L94=0),0,IF(N94="Sin Cambios",L94-M94,L94-N94))</f>
        <v/>
      </c>
      <c r="P94" s="189">
        <f>IF(O94&lt;0,"Menor modelo",IF(O94&gt;0,"Mayor modelo","Igual"))</f>
        <v/>
      </c>
      <c r="Q94">
        <f>IF(OR(G94="Manual",B94="Manual"),"Manual",G94-B94)</f>
        <v/>
      </c>
      <c r="R94">
        <f>IF(OR(L94="Manual",G94="Manual"),"Manual",L94-G94)</f>
        <v/>
      </c>
    </row>
    <row customHeight="1" ht="15.75" r="95" s="183" spans="1:23" thickBot="1">
      <c r="A95" s="89" t="s">
        <v>77</v>
      </c>
      <c r="B95" s="192">
        <f>VLOOKUP(A95,Análisis!B:P,14,0)</f>
        <v/>
      </c>
      <c r="C95" s="187">
        <f>VLOOKUP(A95,'[1]CAMBIOS REALIZADOS'!$C:$F,3,0)</f>
        <v/>
      </c>
      <c r="D95" s="187">
        <f>VLOOKUP(A95,'[1]CAMBIOS REALIZADOS'!$C:$F,4,0)</f>
        <v/>
      </c>
      <c r="E95" s="187">
        <f>IF(OR(B95="Manual",B95=0),0,IF(D95="Sin Cambios",B95-C95,B95-D95))</f>
        <v/>
      </c>
      <c r="F95" s="190">
        <f>IF(E95&lt;0,"Menor modelo",IF(E95&gt;0,"Mayor modelo","Igual"))</f>
        <v/>
      </c>
      <c r="G95" s="192">
        <f>VLOOKUP(A95,Análisis!B:AB,26,0)</f>
        <v/>
      </c>
      <c r="H95" s="187">
        <f>VLOOKUP(A95,'[1]CAMBIOS REALIZADOS'!$C:$I,6,0)</f>
        <v/>
      </c>
      <c r="I95" s="187">
        <f>VLOOKUP(A95,'[1]CAMBIOS REALIZADOS'!$C:$I,7,0)</f>
        <v/>
      </c>
      <c r="J95" s="187">
        <f>IF(OR(G95="Manual",G95=0),0,IF(I95="Sin Cambios",G95-H95,G95-I95))</f>
        <v/>
      </c>
      <c r="K95" s="190">
        <f>IF(J95&lt;0,"Menor modelo",IF(J95&gt;0,"Mayor modelo","Igual"))</f>
        <v/>
      </c>
      <c r="L95" s="192">
        <f>VLOOKUP(A95,Análisis!B:AN,38,0)</f>
        <v/>
      </c>
      <c r="M95" s="187">
        <f>VLOOKUP(A95,'[1]CAMBIOS REALIZADOS'!$C:$L,9,0)</f>
        <v/>
      </c>
      <c r="N95" s="187">
        <f>VLOOKUP(A95,'[1]CAMBIOS REALIZADOS'!$C:$L,10,0)</f>
        <v/>
      </c>
      <c r="O95" s="187">
        <f>IF(OR(L95="Manual",L95=0),0,IF(N95="Sin Cambios",L95-M95,L95-N95))</f>
        <v/>
      </c>
      <c r="P95" s="190">
        <f>IF(O95&lt;0,"Menor modelo",IF(O95&gt;0,"Mayor modelo","Igual"))</f>
        <v/>
      </c>
      <c r="Q95">
        <f>IF(OR(G95="Manual",B95="Manual"),"Manual",G95-B95)</f>
        <v/>
      </c>
      <c r="R95">
        <f>IF(OR(L95="Manual",G95="Manual"),"Manual",L95-G95)</f>
        <v/>
      </c>
    </row>
  </sheetData>
  <mergeCells count="3">
    <mergeCell ref="C1:D1"/>
    <mergeCell ref="H1:I1"/>
    <mergeCell ref="M1:N1"/>
  </mergeCells>
  <conditionalFormatting sqref="F1 P1:R1 K1 P96:R1048576 K3:K1048576 F3:F1048576 P2:P95 Q3:R95">
    <cfRule dxfId="2" operator="equal" priority="13" type="cellIs">
      <formula>"Menor modelo"</formula>
    </cfRule>
    <cfRule dxfId="1" operator="equal" priority="14" type="cellIs">
      <formula>"Mayor modelo"</formula>
    </cfRule>
  </conditionalFormatting>
  <conditionalFormatting sqref="Q4:R95">
    <cfRule dxfId="2" operator="equal" priority="9" type="cellIs">
      <formula>"Menor modelo"</formula>
    </cfRule>
    <cfRule dxfId="1" operator="equal" priority="10" type="cellIs">
      <formula>"Mayor modelo"</formula>
    </cfRule>
  </conditionalFormatting>
  <conditionalFormatting sqref="K2">
    <cfRule dxfId="2" operator="equal" priority="7" type="cellIs">
      <formula>"Menor modelo"</formula>
    </cfRule>
    <cfRule dxfId="1" operator="equal" priority="8" type="cellIs">
      <formula>"Mayor modelo"</formula>
    </cfRule>
  </conditionalFormatting>
  <conditionalFormatting sqref="F2">
    <cfRule dxfId="2" operator="equal" priority="5" type="cellIs">
      <formula>"Menor modelo"</formula>
    </cfRule>
    <cfRule dxfId="1" operator="equal" priority="6" type="cellIs">
      <formula>"Mayor modelo"</formula>
    </cfRule>
  </conditionalFormatting>
  <conditionalFormatting sqref="E3:E7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71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7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R95">
    <cfRule dxfId="0" operator="lessThanOrEqual" priority="1" type="cellIs">
      <formula>0</formula>
    </cfRule>
  </conditionalFormatting>
  <pageMargins bottom="0.75" footer="0.3" header="0.3" left="0.7" right="0.7" top="0.75"/>
  <pageSetup orientation="portrait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A99"/>
  <sheetViews>
    <sheetView workbookViewId="0">
      <selection activeCell="A1" sqref="A1"/>
    </sheetView>
  </sheetViews>
  <sheetFormatPr baseColWidth="8" defaultRowHeight="15"/>
  <sheetData>
    <row r="1" spans="1:27">
      <c r="A1" t="s"/>
      <c r="B1" t="s">
        <v>385</v>
      </c>
      <c r="C1" t="s"/>
      <c r="D1" t="s"/>
      <c r="E1" t="s"/>
      <c r="F1" t="s"/>
      <c r="G1" t="s"/>
      <c r="H1" t="s"/>
      <c r="I1" t="s"/>
      <c r="J1" t="s"/>
      <c r="K1" t="s"/>
      <c r="L1" t="s"/>
      <c r="M1" t="s"/>
      <c r="N1" t="s"/>
      <c r="O1" t="s"/>
      <c r="P1" t="s"/>
      <c r="Q1" t="s"/>
      <c r="R1" t="s"/>
      <c r="S1" t="s"/>
      <c r="T1" t="s"/>
      <c r="U1" t="s"/>
      <c r="V1" t="s"/>
      <c r="W1" t="s"/>
      <c r="X1" t="s"/>
      <c r="Y1" t="s"/>
      <c r="Z1" t="s"/>
      <c r="AA1" t="s"/>
    </row>
    <row r="2" spans="1:27">
      <c r="A2" t="s"/>
      <c r="B2" t="s"/>
      <c r="C2" t="s"/>
      <c r="D2" t="s"/>
      <c r="E2" t="s"/>
      <c r="F2" t="s"/>
      <c r="G2" t="s"/>
      <c r="H2" t="s"/>
      <c r="I2" t="s"/>
      <c r="J2" t="s"/>
      <c r="K2" t="s"/>
      <c r="L2" t="s"/>
      <c r="M2" t="s"/>
      <c r="N2" t="s"/>
      <c r="O2" t="s"/>
      <c r="P2" t="s"/>
      <c r="Q2" t="s"/>
      <c r="R2" t="s"/>
      <c r="S2" t="s"/>
      <c r="T2" t="s"/>
      <c r="U2" t="s"/>
      <c r="V2" t="s"/>
      <c r="W2" t="s"/>
      <c r="X2" t="s"/>
      <c r="Y2" t="s"/>
      <c r="Z2" t="s"/>
      <c r="AA2" t="s"/>
    </row>
    <row r="3" spans="1:27">
      <c r="A3" t="s"/>
      <c r="B3" t="s">
        <v>386</v>
      </c>
      <c r="C3" t="s"/>
      <c r="D3" t="s"/>
      <c r="E3" t="s"/>
      <c r="F3" t="s"/>
      <c r="G3" t="s"/>
      <c r="H3" t="s"/>
      <c r="I3" t="s"/>
      <c r="J3" t="s"/>
      <c r="K3" t="s"/>
      <c r="L3" t="s"/>
      <c r="M3" t="s"/>
      <c r="N3" t="s"/>
      <c r="O3" t="s"/>
      <c r="P3" t="s"/>
      <c r="Q3" t="s"/>
      <c r="R3" t="s"/>
      <c r="S3" t="s"/>
      <c r="T3" t="s"/>
      <c r="U3" t="s"/>
      <c r="V3" t="s"/>
      <c r="W3" t="s"/>
      <c r="X3" t="s"/>
      <c r="Y3" t="s"/>
      <c r="Z3" t="s"/>
      <c r="AA3" t="s"/>
    </row>
    <row r="4" spans="1:27">
      <c r="A4" t="s"/>
      <c r="B4" t="s">
        <v>152</v>
      </c>
      <c r="C4" t="s"/>
      <c r="D4" t="s"/>
      <c r="E4" t="s"/>
      <c r="F4" t="s"/>
      <c r="G4" t="s"/>
      <c r="H4" t="s">
        <v>156</v>
      </c>
      <c r="I4" t="s"/>
      <c r="J4" t="s"/>
      <c r="K4" t="s"/>
      <c r="L4" t="s"/>
      <c r="M4" t="s"/>
      <c r="N4" t="s">
        <v>154</v>
      </c>
      <c r="O4" t="s"/>
      <c r="P4" t="s"/>
      <c r="Q4" t="s"/>
      <c r="R4" t="s"/>
      <c r="S4" t="s"/>
      <c r="T4" t="s">
        <v>40</v>
      </c>
      <c r="U4" t="s"/>
      <c r="V4" t="s"/>
      <c r="W4" t="s"/>
      <c r="X4" t="s"/>
      <c r="Y4" t="s"/>
      <c r="Z4" t="s"/>
      <c r="AA4" t="s"/>
    </row>
    <row r="5" spans="1:27">
      <c r="A5" t="s"/>
      <c r="B5" t="s">
        <v>148</v>
      </c>
      <c r="C5" t="s"/>
      <c r="D5" t="s">
        <v>162</v>
      </c>
      <c r="E5" t="s"/>
      <c r="F5" t="s">
        <v>157</v>
      </c>
      <c r="G5" t="s"/>
      <c r="H5" t="s">
        <v>148</v>
      </c>
      <c r="I5" t="s"/>
      <c r="J5" t="s">
        <v>162</v>
      </c>
      <c r="K5" t="s"/>
      <c r="L5" t="s">
        <v>157</v>
      </c>
      <c r="M5" t="s"/>
      <c r="N5" t="s">
        <v>148</v>
      </c>
      <c r="O5" t="s"/>
      <c r="P5" t="s">
        <v>162</v>
      </c>
      <c r="Q5" t="s"/>
      <c r="R5" t="s">
        <v>157</v>
      </c>
      <c r="S5" t="s"/>
      <c r="T5" t="s">
        <v>35</v>
      </c>
      <c r="U5" t="s"/>
      <c r="V5" t="s">
        <v>148</v>
      </c>
      <c r="W5" t="s"/>
      <c r="X5" t="s">
        <v>162</v>
      </c>
      <c r="Y5" t="s"/>
      <c r="Z5" t="s">
        <v>157</v>
      </c>
      <c r="AA5" t="s"/>
    </row>
    <row r="6" spans="1:27">
      <c r="A6" t="s">
        <v>34</v>
      </c>
      <c r="B6" t="s">
        <v>387</v>
      </c>
      <c r="C6" t="s">
        <v>388</v>
      </c>
      <c r="D6" t="s">
        <v>387</v>
      </c>
      <c r="E6" t="s">
        <v>388</v>
      </c>
      <c r="F6" t="s">
        <v>387</v>
      </c>
      <c r="G6" t="s">
        <v>388</v>
      </c>
      <c r="H6" t="s">
        <v>387</v>
      </c>
      <c r="I6" t="s">
        <v>388</v>
      </c>
      <c r="J6" t="s">
        <v>387</v>
      </c>
      <c r="K6" t="s">
        <v>388</v>
      </c>
      <c r="L6" t="s">
        <v>387</v>
      </c>
      <c r="M6" t="s">
        <v>388</v>
      </c>
      <c r="N6" t="s">
        <v>387</v>
      </c>
      <c r="O6" t="s">
        <v>388</v>
      </c>
      <c r="P6" t="s">
        <v>387</v>
      </c>
      <c r="Q6" t="s">
        <v>388</v>
      </c>
      <c r="R6" t="s">
        <v>387</v>
      </c>
      <c r="S6" t="s">
        <v>388</v>
      </c>
      <c r="T6" t="s">
        <v>387</v>
      </c>
      <c r="U6" t="s">
        <v>388</v>
      </c>
      <c r="V6" t="s">
        <v>387</v>
      </c>
      <c r="W6" t="s">
        <v>388</v>
      </c>
      <c r="X6" t="s">
        <v>387</v>
      </c>
      <c r="Y6" t="s">
        <v>388</v>
      </c>
      <c r="Z6" t="s">
        <v>387</v>
      </c>
      <c r="AA6" t="s">
        <v>388</v>
      </c>
    </row>
    <row r="7" spans="1:27">
      <c r="A7" t="s">
        <v>59</v>
      </c>
    </row>
    <row r="8" spans="1:27">
      <c r="A8" t="s">
        <v>37</v>
      </c>
    </row>
    <row r="9" spans="1:27">
      <c r="A9" t="s">
        <v>87</v>
      </c>
    </row>
    <row r="10" spans="1:27">
      <c r="A10" t="s">
        <v>45</v>
      </c>
    </row>
    <row r="11" spans="1:27">
      <c r="A11" t="s">
        <v>106</v>
      </c>
    </row>
    <row r="12" spans="1:27">
      <c r="A12" t="s">
        <v>42</v>
      </c>
    </row>
    <row r="13" spans="1:27">
      <c r="A13" t="s">
        <v>64</v>
      </c>
    </row>
    <row r="14" spans="1:27">
      <c r="A14" t="s">
        <v>107</v>
      </c>
    </row>
    <row r="15" spans="1:27">
      <c r="A15" t="s">
        <v>108</v>
      </c>
    </row>
    <row r="16" spans="1:27">
      <c r="A16" t="s">
        <v>88</v>
      </c>
    </row>
    <row r="17" spans="1:27">
      <c r="A17" t="s">
        <v>231</v>
      </c>
    </row>
    <row r="18" spans="1:27">
      <c r="A18" t="s">
        <v>109</v>
      </c>
    </row>
    <row r="19" spans="1:27">
      <c r="A19" t="s">
        <v>222</v>
      </c>
    </row>
    <row r="20" spans="1:27">
      <c r="A20" t="s">
        <v>110</v>
      </c>
    </row>
    <row r="21" spans="1:27">
      <c r="A21" t="s">
        <v>76</v>
      </c>
    </row>
    <row r="22" spans="1:27">
      <c r="A22" t="s">
        <v>224</v>
      </c>
    </row>
    <row r="23" spans="1:27">
      <c r="A23" t="s">
        <v>52</v>
      </c>
    </row>
    <row r="24" spans="1:27">
      <c r="A24" t="s">
        <v>91</v>
      </c>
    </row>
    <row r="25" spans="1:27">
      <c r="A25" t="s">
        <v>50</v>
      </c>
    </row>
    <row r="26" spans="1:27">
      <c r="A26" t="s">
        <v>256</v>
      </c>
    </row>
    <row r="27" spans="1:27">
      <c r="A27" t="s">
        <v>111</v>
      </c>
    </row>
    <row r="28" spans="1:27">
      <c r="A28" t="s">
        <v>112</v>
      </c>
    </row>
    <row r="29" spans="1:27">
      <c r="A29" t="s">
        <v>113</v>
      </c>
    </row>
    <row r="30" spans="1:27">
      <c r="A30" t="s">
        <v>53</v>
      </c>
    </row>
    <row r="31" spans="1:27">
      <c r="A31" t="s">
        <v>114</v>
      </c>
    </row>
    <row r="32" spans="1:27">
      <c r="A32" t="s">
        <v>74</v>
      </c>
    </row>
    <row r="33" spans="1:27">
      <c r="A33" t="s">
        <v>115</v>
      </c>
    </row>
    <row r="34" spans="1:27">
      <c r="A34" t="s">
        <v>150</v>
      </c>
    </row>
    <row r="35" spans="1:27">
      <c r="A35" t="s">
        <v>116</v>
      </c>
    </row>
    <row r="36" spans="1:27">
      <c r="A36" t="s">
        <v>117</v>
      </c>
    </row>
    <row r="37" spans="1:27">
      <c r="A37" t="s">
        <v>118</v>
      </c>
    </row>
    <row r="38" spans="1:27">
      <c r="A38" t="s">
        <v>119</v>
      </c>
    </row>
    <row r="39" spans="1:27">
      <c r="A39" t="s">
        <v>54</v>
      </c>
    </row>
    <row r="40" spans="1:27">
      <c r="A40" t="s">
        <v>69</v>
      </c>
    </row>
    <row r="41" spans="1:27">
      <c r="A41" t="s">
        <v>120</v>
      </c>
    </row>
    <row r="42" spans="1:27">
      <c r="A42" t="s">
        <v>121</v>
      </c>
    </row>
    <row r="43" spans="1:27">
      <c r="A43" t="s">
        <v>92</v>
      </c>
    </row>
    <row r="44" spans="1:27">
      <c r="A44" t="s">
        <v>77</v>
      </c>
    </row>
    <row r="45" spans="1:27">
      <c r="A45" t="s">
        <v>103</v>
      </c>
    </row>
    <row r="46" spans="1:27">
      <c r="A46" t="s">
        <v>122</v>
      </c>
    </row>
    <row r="47" spans="1:27">
      <c r="A47" t="s">
        <v>123</v>
      </c>
    </row>
    <row r="48" spans="1:27">
      <c r="A48" t="s">
        <v>124</v>
      </c>
    </row>
    <row r="49" spans="1:27">
      <c r="A49" t="s">
        <v>78</v>
      </c>
    </row>
    <row r="50" spans="1:27">
      <c r="A50" t="s">
        <v>250</v>
      </c>
    </row>
    <row r="51" spans="1:27">
      <c r="A51" t="s">
        <v>55</v>
      </c>
    </row>
    <row r="52" spans="1:27">
      <c r="A52" t="s">
        <v>97</v>
      </c>
    </row>
    <row r="53" spans="1:27">
      <c r="A53" t="s">
        <v>125</v>
      </c>
    </row>
    <row r="54" spans="1:27">
      <c r="A54" t="s">
        <v>126</v>
      </c>
    </row>
    <row r="55" spans="1:27">
      <c r="A55" t="s">
        <v>127</v>
      </c>
    </row>
    <row r="56" spans="1:27">
      <c r="A56" t="s">
        <v>226</v>
      </c>
    </row>
    <row r="57" spans="1:27">
      <c r="A57" t="s">
        <v>65</v>
      </c>
    </row>
    <row r="58" spans="1:27">
      <c r="A58" t="s">
        <v>56</v>
      </c>
    </row>
    <row r="59" spans="1:27">
      <c r="A59" t="s">
        <v>129</v>
      </c>
    </row>
    <row r="60" spans="1:27">
      <c r="A60" t="s">
        <v>130</v>
      </c>
    </row>
    <row r="61" spans="1:27">
      <c r="A61" t="s">
        <v>131</v>
      </c>
    </row>
    <row r="62" spans="1:27">
      <c r="A62" t="s">
        <v>270</v>
      </c>
    </row>
    <row r="63" spans="1:27">
      <c r="A63" t="s">
        <v>234</v>
      </c>
    </row>
    <row r="64" spans="1:27">
      <c r="A64" t="s">
        <v>134</v>
      </c>
    </row>
    <row r="65" spans="1:27">
      <c r="A65" t="s">
        <v>60</v>
      </c>
    </row>
    <row r="66" spans="1:27">
      <c r="A66" t="s">
        <v>135</v>
      </c>
    </row>
    <row r="67" spans="1:27">
      <c r="A67" t="s">
        <v>136</v>
      </c>
    </row>
    <row r="68" spans="1:27">
      <c r="A68" t="s">
        <v>66</v>
      </c>
    </row>
    <row r="69" spans="1:27">
      <c r="A69" t="s">
        <v>67</v>
      </c>
    </row>
    <row r="70" spans="1:27">
      <c r="A70" t="s">
        <v>72</v>
      </c>
    </row>
    <row r="71" spans="1:27">
      <c r="A71" t="s">
        <v>137</v>
      </c>
    </row>
    <row r="72" spans="1:27">
      <c r="A72" t="s">
        <v>79</v>
      </c>
    </row>
    <row r="73" spans="1:27">
      <c r="A73" t="s">
        <v>80</v>
      </c>
    </row>
    <row r="74" spans="1:27">
      <c r="A74" t="s">
        <v>138</v>
      </c>
    </row>
    <row r="75" spans="1:27">
      <c r="A75" t="s">
        <v>98</v>
      </c>
    </row>
    <row r="76" spans="1:27">
      <c r="A76" t="s">
        <v>139</v>
      </c>
    </row>
    <row r="77" spans="1:27">
      <c r="A77" t="s">
        <v>140</v>
      </c>
    </row>
    <row r="78" spans="1:27">
      <c r="A78" t="s">
        <v>99</v>
      </c>
    </row>
    <row r="79" spans="1:27">
      <c r="A79" t="s">
        <v>57</v>
      </c>
    </row>
    <row r="80" spans="1:27">
      <c r="A80" t="s">
        <v>81</v>
      </c>
    </row>
    <row r="81" spans="1:27">
      <c r="A81" t="s">
        <v>141</v>
      </c>
    </row>
    <row r="82" spans="1:27">
      <c r="A82" t="s">
        <v>82</v>
      </c>
    </row>
    <row r="83" spans="1:27">
      <c r="A83" t="s">
        <v>100</v>
      </c>
    </row>
    <row r="84" spans="1:27">
      <c r="A84" t="s">
        <v>142</v>
      </c>
    </row>
    <row r="85" spans="1:27">
      <c r="A85" t="s">
        <v>143</v>
      </c>
    </row>
    <row r="86" spans="1:27">
      <c r="A86" t="s">
        <v>94</v>
      </c>
    </row>
    <row r="87" spans="1:27">
      <c r="A87" t="s">
        <v>144</v>
      </c>
    </row>
    <row r="88" spans="1:27">
      <c r="A88" t="s">
        <v>145</v>
      </c>
    </row>
    <row r="89" spans="1:27">
      <c r="A89" t="s">
        <v>146</v>
      </c>
    </row>
    <row r="90" spans="1:27">
      <c r="A90" t="s">
        <v>104</v>
      </c>
    </row>
    <row r="91" spans="1:27">
      <c r="A91" t="s">
        <v>95</v>
      </c>
    </row>
    <row r="92" spans="1:27">
      <c r="A92" t="s">
        <v>61</v>
      </c>
    </row>
    <row r="93" spans="1:27">
      <c r="A93" t="s">
        <v>70</v>
      </c>
    </row>
    <row r="94" spans="1:27">
      <c r="A94" t="s">
        <v>48</v>
      </c>
    </row>
    <row r="95" spans="1:27">
      <c r="A95" t="s">
        <v>83</v>
      </c>
    </row>
    <row r="96" spans="1:27">
      <c r="A96" t="s">
        <v>84</v>
      </c>
    </row>
    <row r="97" spans="1:27">
      <c r="A97" t="s">
        <v>62</v>
      </c>
    </row>
    <row r="98" spans="1:27">
      <c r="A98" t="s">
        <v>85</v>
      </c>
    </row>
    <row r="99" spans="1:27">
      <c r="A99" t="s">
        <v>147</v>
      </c>
    </row>
  </sheetData>
  <pageMargins bottom="1" footer="0.5" header="0.5" left="0.75" right="0.75" top="1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2006-09-16T00:00:00Z</dcterms:created>
  <dcterms:modified xmlns:dcterms="http://purl.org/dc/terms/" xmlns:xsi="http://www.w3.org/2001/XMLSchema-instance" xsi:type="dcterms:W3CDTF">2018-10-03T19:24:54Z</dcterms:modified>
</cp:coreProperties>
</file>